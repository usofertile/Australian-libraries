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ae129afb327456/Lib - PLV 2024-25/4. Output/Completed/"/>
    </mc:Choice>
  </mc:AlternateContent>
  <xr:revisionPtr revIDLastSave="182" documentId="8_{53FCCABB-8E98-45E5-8252-488979063E50}" xr6:coauthVersionLast="47" xr6:coauthVersionMax="47" xr10:uidLastSave="{F682A922-E4DC-40DA-934C-1B88A23BE0E8}"/>
  <bookViews>
    <workbookView xWindow="-120" yWindow="-120" windowWidth="29040" windowHeight="15720" activeTab="3" xr2:uid="{00000000-000D-0000-FFFF-FFFF00000000}"/>
  </bookViews>
  <sheets>
    <sheet name="2024-25" sheetId="28" r:id="rId1"/>
    <sheet name="2023-24" sheetId="27" r:id="rId2"/>
    <sheet name="2022-23" sheetId="25" r:id="rId3"/>
    <sheet name="Service Points June 2025" sheetId="29" r:id="rId4"/>
  </sheets>
  <externalReferences>
    <externalReference r:id="rId5"/>
  </externalReferences>
  <definedNames>
    <definedName name="_xlnm._FilterDatabase" localSheetId="2" hidden="1">'2022-23'!$A$4:$BL$57</definedName>
    <definedName name="_xlnm._FilterDatabase" localSheetId="1" hidden="1">'2023-24'!$A$4:$BV$57</definedName>
    <definedName name="_xlnm._FilterDatabase" localSheetId="0" hidden="1">'2024-25'!$A$4:$BI$57</definedName>
    <definedName name="_xlnm._FilterDatabase" localSheetId="3" hidden="1">'Service Points June 2025'!$A$4:$D$643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H57" i="28" l="1"/>
  <c r="BG57" i="28"/>
  <c r="BF57" i="28"/>
  <c r="BE57" i="28"/>
  <c r="BD57" i="28"/>
  <c r="BC57" i="28"/>
  <c r="BB57" i="28"/>
  <c r="BA57" i="28"/>
  <c r="AZ57" i="28"/>
  <c r="AY57" i="28"/>
  <c r="AX57" i="28"/>
  <c r="AW57" i="28"/>
  <c r="AV57" i="28"/>
  <c r="AU57" i="28"/>
  <c r="AT57" i="28"/>
  <c r="AS57" i="28"/>
  <c r="AR57" i="28"/>
  <c r="AQ57" i="28"/>
  <c r="AP57" i="28"/>
  <c r="AO57" i="28"/>
  <c r="AN57" i="28"/>
  <c r="AM57" i="28"/>
  <c r="AL57" i="28"/>
  <c r="AK57" i="28"/>
  <c r="AJ57" i="28"/>
  <c r="AI57" i="28"/>
  <c r="AH57" i="28"/>
  <c r="AG57" i="28"/>
  <c r="AF57" i="28"/>
  <c r="AE57" i="28"/>
  <c r="AD57" i="28"/>
  <c r="AC57" i="28"/>
  <c r="AB57" i="28"/>
  <c r="AA57" i="28"/>
  <c r="Z57" i="28"/>
  <c r="Y57" i="28"/>
  <c r="X57" i="28"/>
  <c r="W57" i="28"/>
  <c r="V57" i="28"/>
  <c r="U57" i="28"/>
  <c r="T57" i="28"/>
  <c r="S57" i="28"/>
  <c r="R57" i="28"/>
  <c r="Q57" i="28"/>
  <c r="P57" i="28"/>
  <c r="O57" i="28"/>
  <c r="N57" i="28"/>
  <c r="M57" i="28"/>
  <c r="L57" i="28"/>
  <c r="K57" i="28"/>
  <c r="J57" i="28"/>
  <c r="I57" i="28"/>
  <c r="H57" i="28"/>
  <c r="G57" i="28"/>
  <c r="F57" i="28"/>
  <c r="E57" i="28"/>
  <c r="D57" i="28"/>
  <c r="C57" i="28"/>
  <c r="BU57" i="27" l="1"/>
  <c r="BT57" i="27"/>
  <c r="BS57" i="27"/>
  <c r="BR57" i="27"/>
  <c r="BQ57" i="27"/>
  <c r="BP57" i="27"/>
  <c r="BO57" i="27"/>
  <c r="BN57" i="27"/>
  <c r="BM57" i="27"/>
  <c r="BL57" i="27"/>
  <c r="BK57" i="27"/>
  <c r="BJ57" i="27"/>
  <c r="BI57" i="27"/>
  <c r="BH57" i="27"/>
  <c r="BG57" i="27"/>
  <c r="BF57" i="27"/>
  <c r="BE57" i="27"/>
  <c r="BD57" i="27"/>
  <c r="BC57" i="27"/>
  <c r="BB57" i="27"/>
  <c r="BA57" i="27"/>
  <c r="AZ57" i="27"/>
  <c r="AY57" i="27"/>
  <c r="AX57" i="27"/>
  <c r="AW57" i="27"/>
  <c r="AV57" i="27"/>
  <c r="AU57" i="27"/>
  <c r="AT57" i="27"/>
  <c r="AS57" i="27"/>
  <c r="AR57" i="27"/>
  <c r="AQ57" i="27"/>
  <c r="AP57" i="27"/>
  <c r="AO57" i="27"/>
  <c r="AN57" i="27"/>
  <c r="AM57" i="27"/>
  <c r="AL57" i="27"/>
  <c r="AK57" i="27"/>
  <c r="AJ57" i="27"/>
  <c r="AI57" i="27"/>
  <c r="AH57" i="27"/>
  <c r="AG57" i="27"/>
  <c r="AF57" i="27"/>
  <c r="AE57" i="27"/>
  <c r="AD57" i="27"/>
  <c r="AC57" i="27"/>
  <c r="AB57" i="27"/>
  <c r="AA57" i="27"/>
  <c r="Z57" i="27"/>
  <c r="Y57" i="27"/>
  <c r="X57" i="27"/>
  <c r="W57" i="27"/>
  <c r="V57" i="27"/>
  <c r="U57" i="27"/>
  <c r="T57" i="27"/>
  <c r="S57" i="27"/>
  <c r="P57" i="27"/>
  <c r="O57" i="27"/>
  <c r="N57" i="27"/>
  <c r="M57" i="27"/>
  <c r="L57" i="27"/>
  <c r="K57" i="27"/>
  <c r="J57" i="27"/>
  <c r="I57" i="27"/>
  <c r="H57" i="27"/>
  <c r="G57" i="27"/>
  <c r="F57" i="27"/>
  <c r="E57" i="27"/>
  <c r="D57" i="27"/>
  <c r="C57" i="27"/>
  <c r="R25" i="27"/>
  <c r="Q25" i="27"/>
  <c r="BK57" i="25"/>
  <c r="BJ57" i="25"/>
  <c r="BI57" i="25"/>
  <c r="BH57" i="25"/>
  <c r="BG57" i="25"/>
  <c r="BF57" i="25"/>
  <c r="BE57" i="25"/>
  <c r="BD57" i="25"/>
  <c r="BC57" i="25"/>
  <c r="BB57" i="25"/>
  <c r="BA57" i="25"/>
  <c r="AZ57" i="25"/>
  <c r="AY57" i="25"/>
  <c r="AX57" i="25"/>
  <c r="AW57" i="25"/>
  <c r="AV57" i="25"/>
  <c r="AU57" i="25"/>
  <c r="AT57" i="25"/>
  <c r="AS57" i="25"/>
  <c r="AR57" i="25"/>
  <c r="AQ57" i="25"/>
  <c r="AP57" i="25"/>
  <c r="AO57" i="25"/>
  <c r="AN57" i="25"/>
  <c r="AM57" i="25"/>
  <c r="AL57" i="25"/>
  <c r="AJ57" i="25"/>
  <c r="AI57" i="25"/>
  <c r="AH57" i="25"/>
  <c r="AG57" i="25"/>
  <c r="AF57" i="25"/>
  <c r="AE57" i="25"/>
  <c r="AD57" i="25"/>
  <c r="AC57" i="25"/>
  <c r="AB57" i="25"/>
  <c r="AA57" i="25"/>
  <c r="Z57" i="25"/>
  <c r="Y57" i="25"/>
  <c r="X57" i="25"/>
  <c r="W57" i="25"/>
  <c r="V57" i="25"/>
  <c r="U57" i="25"/>
  <c r="S57" i="25"/>
  <c r="R57" i="25"/>
  <c r="Q57" i="25"/>
  <c r="P57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T35" i="25"/>
  <c r="AK22" i="25"/>
  <c r="R57" i="27" l="1"/>
  <c r="Q57" i="27"/>
  <c r="T57" i="25"/>
  <c r="AK57" i="25"/>
</calcChain>
</file>

<file path=xl/sharedStrings.xml><?xml version="1.0" encoding="utf-8"?>
<sst xmlns="http://schemas.openxmlformats.org/spreadsheetml/2006/main" count="2821" uniqueCount="875">
  <si>
    <t>Bayside</t>
  </si>
  <si>
    <t>Brimbank</t>
  </si>
  <si>
    <t>Campaspe</t>
  </si>
  <si>
    <t>Central Highlands</t>
  </si>
  <si>
    <t>Boroondara</t>
  </si>
  <si>
    <t>Darebin</t>
  </si>
  <si>
    <t>East Gippsland</t>
  </si>
  <si>
    <t>Frankston</t>
  </si>
  <si>
    <t>Gannawarra</t>
  </si>
  <si>
    <t>Glen Eira</t>
  </si>
  <si>
    <t>Glenelg</t>
  </si>
  <si>
    <t>Goldfields</t>
  </si>
  <si>
    <t>Greater Dandenong</t>
  </si>
  <si>
    <t>High Country</t>
  </si>
  <si>
    <t>Hobsons Bay</t>
  </si>
  <si>
    <t>Hume</t>
  </si>
  <si>
    <t>Indigo</t>
  </si>
  <si>
    <t>Kingston</t>
  </si>
  <si>
    <t>Latrobe</t>
  </si>
  <si>
    <t>Maribyrnong</t>
  </si>
  <si>
    <t>Melbourne</t>
  </si>
  <si>
    <t>Melton</t>
  </si>
  <si>
    <t>Mildura</t>
  </si>
  <si>
    <t>Mitchell</t>
  </si>
  <si>
    <t>Monash</t>
  </si>
  <si>
    <t>Moonee Valley</t>
  </si>
  <si>
    <t>Mornington Peninsula</t>
  </si>
  <si>
    <t>Murrindindi</t>
  </si>
  <si>
    <t>Port Phillip</t>
  </si>
  <si>
    <t>Stonnington</t>
  </si>
  <si>
    <t>Swan Hill</t>
  </si>
  <si>
    <t>Towong</t>
  </si>
  <si>
    <t>Wellington</t>
  </si>
  <si>
    <t>Wodonga</t>
  </si>
  <si>
    <t>Wyndham</t>
  </si>
  <si>
    <t>Yarra</t>
  </si>
  <si>
    <t>Wimmera</t>
  </si>
  <si>
    <t>x</t>
  </si>
  <si>
    <t>2. Operational funding from federal government</t>
  </si>
  <si>
    <t>3. Operational funding from state government</t>
  </si>
  <si>
    <t>4. Operational funding from local government</t>
  </si>
  <si>
    <t>5. Capital funding from federal government</t>
  </si>
  <si>
    <t>6. Capital funding from state government</t>
  </si>
  <si>
    <t>7. Capital funding from local government</t>
  </si>
  <si>
    <t>-</t>
  </si>
  <si>
    <t>1. Municipal population</t>
  </si>
  <si>
    <t>Name</t>
  </si>
  <si>
    <t>9. Other income not included above</t>
  </si>
  <si>
    <t>10. Employee costs</t>
  </si>
  <si>
    <t>11. Operating and corporate expenses</t>
  </si>
  <si>
    <t>12a. Total expenditure on library materials (physical)</t>
  </si>
  <si>
    <t>Buloke</t>
  </si>
  <si>
    <t>Geelong</t>
  </si>
  <si>
    <t>Goulburn Valley</t>
  </si>
  <si>
    <t>Whitehorse Manningham</t>
  </si>
  <si>
    <t>Yarra Plenty</t>
  </si>
  <si>
    <t>Vision Australia</t>
  </si>
  <si>
    <t>8. User fees and charges</t>
  </si>
  <si>
    <t>12b. Processing expenditure on library materials (physical)</t>
  </si>
  <si>
    <t>13. Total expenditure on library materials (digital)</t>
  </si>
  <si>
    <t>14. Capital expenditure</t>
  </si>
  <si>
    <t>15. Depreciation</t>
  </si>
  <si>
    <t>16. Other expenditure not included above</t>
  </si>
  <si>
    <t>17. Number of equivalent full time (EFT) employees</t>
  </si>
  <si>
    <t>18a. Total number of physical items</t>
  </si>
  <si>
    <t>18b. Total number of ebooks</t>
  </si>
  <si>
    <t>19a. Total number of physical items for loan</t>
  </si>
  <si>
    <t>19b. Total number of digital items for loan</t>
  </si>
  <si>
    <t>20a. Number of physical items purchased in the last 5 years</t>
  </si>
  <si>
    <t>20b. Number of digital items purchased in the last 5 years</t>
  </si>
  <si>
    <t>Hindmarsh</t>
  </si>
  <si>
    <t>Yarriambiack</t>
  </si>
  <si>
    <t>Victoria (Total)</t>
  </si>
  <si>
    <t>Warrnambool</t>
  </si>
  <si>
    <t>Corangamite Moyne</t>
  </si>
  <si>
    <t>Myli</t>
  </si>
  <si>
    <t>22a. Total number of loans of physical items</t>
  </si>
  <si>
    <t>22b. Total number of loans of ebooks</t>
  </si>
  <si>
    <t>23. Total number of members</t>
  </si>
  <si>
    <t>24. Total number of active borrowers</t>
  </si>
  <si>
    <t>25a. Total number of branch library visits</t>
  </si>
  <si>
    <t>25b. Total number of mobile library visits</t>
  </si>
  <si>
    <t>25c. Total number of collection delivery visits</t>
  </si>
  <si>
    <t>25d. Total number of outreach program visits</t>
  </si>
  <si>
    <t>25e. Total number of website visits</t>
  </si>
  <si>
    <t>25f. Total number of website visitors</t>
  </si>
  <si>
    <t>25g. Total number of library app visits</t>
  </si>
  <si>
    <t>26. Program/event attendance</t>
  </si>
  <si>
    <t>27a. Number of wifi hours</t>
  </si>
  <si>
    <t>27b. GB of wifi downloads</t>
  </si>
  <si>
    <t>28. Hours of computer use</t>
  </si>
  <si>
    <t>29. Number of library branches</t>
  </si>
  <si>
    <t>30a. PAFS of library branches</t>
  </si>
  <si>
    <t>30b. GFA of library branches</t>
  </si>
  <si>
    <t>31a. Number of bookable meeting rooms</t>
  </si>
  <si>
    <t>31b. Number of hours booked</t>
  </si>
  <si>
    <t>32a. Number of mobile library vehicles</t>
  </si>
  <si>
    <t>32b. Number of mobile stops</t>
  </si>
  <si>
    <t>33. Number of other library outlets</t>
  </si>
  <si>
    <t>34a. Total opening hours - Branch staffed</t>
  </si>
  <si>
    <t>34b. Total opening hours - Branch unstaffed</t>
  </si>
  <si>
    <t>34c. Total opening hours - Mobile</t>
  </si>
  <si>
    <t>34d. Total opening hours - Other outlets</t>
  </si>
  <si>
    <t>35a. Home Library Service</t>
  </si>
  <si>
    <t>35b. Number of home library customers</t>
  </si>
  <si>
    <t>36. Number of library facilitated book clubs</t>
  </si>
  <si>
    <t>37. Number of local partnerships</t>
  </si>
  <si>
    <t>38a. Number of desktops, laptops and tablets</t>
  </si>
  <si>
    <t>38b. Number of OPAC and catalogue only devices</t>
  </si>
  <si>
    <t>39. Satisfaction rating from customer survey</t>
  </si>
  <si>
    <t>Yes</t>
  </si>
  <si>
    <t>No</t>
  </si>
  <si>
    <t>21. Local History Collection</t>
  </si>
  <si>
    <t>22c. Total number of loans of digital devices</t>
  </si>
  <si>
    <t>Note</t>
  </si>
  <si>
    <t>2022-23 PLV STATISTICAL SURVEY</t>
  </si>
  <si>
    <t>NA</t>
  </si>
  <si>
    <t>Connected Libraries (Casey)</t>
  </si>
  <si>
    <t>Merri-bek</t>
  </si>
  <si>
    <t>Your Library (Eastern)</t>
  </si>
  <si>
    <t>Population total includes Unincorporated Victoria (954).</t>
  </si>
  <si>
    <t>39. Satisfaction rating from 2021-22 customer survey</t>
  </si>
  <si>
    <t>As at 21 November 2023</t>
  </si>
  <si>
    <t>2023-24 PLV STATISTICAL SURVEY</t>
  </si>
  <si>
    <t>F1. Operational funding from federal government</t>
  </si>
  <si>
    <t>F2. Operational funding from state government</t>
  </si>
  <si>
    <t>F3. Operational funding from local government</t>
  </si>
  <si>
    <t>F4. Capital funding from federal government</t>
  </si>
  <si>
    <t>F5. Capital funding from state government</t>
  </si>
  <si>
    <t>F6. Capital funding from local government</t>
  </si>
  <si>
    <t>F7. User fees and charges</t>
  </si>
  <si>
    <t>F8. Other income not included above</t>
  </si>
  <si>
    <t>F9. Employee costs</t>
  </si>
  <si>
    <t>F10a. Total expenditure on library materials (physical)</t>
  </si>
  <si>
    <t>F10b. Processing expenditure on library materials (physical)</t>
  </si>
  <si>
    <t>F11. Total expenditure on library materials (digital)</t>
  </si>
  <si>
    <t>2a. Full time staff</t>
  </si>
  <si>
    <t>2b. Part time staff</t>
  </si>
  <si>
    <t>2c. Casual staff</t>
  </si>
  <si>
    <t>2d. FTE Full/part time</t>
  </si>
  <si>
    <t>2e. FTE Casual</t>
  </si>
  <si>
    <t>3a. Total number of physical items</t>
  </si>
  <si>
    <t>3b. Total number of digital items</t>
  </si>
  <si>
    <t>4a. Total number of physical items for loan</t>
  </si>
  <si>
    <t>4b. Total number of digital items for loan</t>
  </si>
  <si>
    <t>5a. Number of physical items purchased in the last 5 years</t>
  </si>
  <si>
    <t>5b. Number of digital items purchased in the last 5 years</t>
  </si>
  <si>
    <t>6a. LOT?</t>
  </si>
  <si>
    <t>6b. LOT items</t>
  </si>
  <si>
    <t>8a. Total number of loans of physical items</t>
  </si>
  <si>
    <t>8b. Total number of loans of ebooks</t>
  </si>
  <si>
    <t>8b. Total number of loans of digital devices</t>
  </si>
  <si>
    <t>9a. Total number of members</t>
  </si>
  <si>
    <t>9b. Total number of active members</t>
  </si>
  <si>
    <t>9c. Total number of active borrowers</t>
  </si>
  <si>
    <t>10a. Total number of branch library visits</t>
  </si>
  <si>
    <t>10b. Total number of mobile library visits</t>
  </si>
  <si>
    <t>10c. Total number of collection delivery visits</t>
  </si>
  <si>
    <t>10d. Total number of outreach program visits</t>
  </si>
  <si>
    <t>10e. Total number of website visits</t>
  </si>
  <si>
    <t>10f. Total number of OPAC visits</t>
  </si>
  <si>
    <t>10g. Total number of website visitors</t>
  </si>
  <si>
    <t>10h. Total number of library app visits</t>
  </si>
  <si>
    <t>11. Program/event attendance</t>
  </si>
  <si>
    <t>12a. Number of wifi hours</t>
  </si>
  <si>
    <t>12b. GB of wifi downloads</t>
  </si>
  <si>
    <t>13. Hours of computer use</t>
  </si>
  <si>
    <t>14a. Number of library branches</t>
  </si>
  <si>
    <t>14b. Number of open access branches</t>
  </si>
  <si>
    <t>14c. Number of self service points</t>
  </si>
  <si>
    <t>14d. Number of kiosks</t>
  </si>
  <si>
    <t>14e. Number of mobile library vehicles</t>
  </si>
  <si>
    <t>14f. Number of mobile stops</t>
  </si>
  <si>
    <t>14g. Number of outreach vehicles</t>
  </si>
  <si>
    <t>14h. Number of other access points</t>
  </si>
  <si>
    <t>15a. Total opening hours - Branch staffed</t>
  </si>
  <si>
    <t>15b. Total opening hours - Branch unstaffed</t>
  </si>
  <si>
    <t>15c. Total opening hours - Mobile</t>
  </si>
  <si>
    <t>15d. Total opening hours - Other outlets</t>
  </si>
  <si>
    <t>16a. Home Library Service</t>
  </si>
  <si>
    <t>16b. Number of home library customers</t>
  </si>
  <si>
    <t>16c. HLS volunteers?</t>
  </si>
  <si>
    <t>16d. HLS volunteer numbers</t>
  </si>
  <si>
    <t>17a. Number of bookable meeting rooms</t>
  </si>
  <si>
    <t>17b. Number of hours booked</t>
  </si>
  <si>
    <t>18. Number of library facilitated book clubs</t>
  </si>
  <si>
    <t>19. Number of local partnerships</t>
  </si>
  <si>
    <t>20a. Number of desktops, laptops and tablets</t>
  </si>
  <si>
    <t>20b. Number of OPAC and catalogue only devices</t>
  </si>
  <si>
    <t>21. Satisfaction rating from customer survey</t>
  </si>
  <si>
    <t>22a. EY hours per week</t>
  </si>
  <si>
    <t>22b. EY children per week</t>
  </si>
  <si>
    <t>22c. EY adults per week</t>
  </si>
  <si>
    <t>Connected Libraries</t>
  </si>
  <si>
    <t>Your Library</t>
  </si>
  <si>
    <t>Population total includes Unincorporated Victoria (953).</t>
  </si>
  <si>
    <t>2024-25 PLV STATISTICAL SURVEY</t>
  </si>
  <si>
    <t>Type</t>
  </si>
  <si>
    <t>7. Local History Collection</t>
  </si>
  <si>
    <t>10g. Total number of library app visits</t>
  </si>
  <si>
    <t>14a. Home Library Service</t>
  </si>
  <si>
    <t>14b. Number of home library customers</t>
  </si>
  <si>
    <t>14c. HLS volunteers?</t>
  </si>
  <si>
    <t>14d. HLS volunteer numbers</t>
  </si>
  <si>
    <t>15a. Number of bookable meeting rooms</t>
  </si>
  <si>
    <t>15b. Number of hours booked</t>
  </si>
  <si>
    <t>16. Number of library facilitated book clubs</t>
  </si>
  <si>
    <t>17. Number of local partnerships</t>
  </si>
  <si>
    <t>18a. Number of desktops, laptops and tablets</t>
  </si>
  <si>
    <t>18b. Number of OPAC and catalogue only devices</t>
  </si>
  <si>
    <t>19. Satisfaction rating from customer survey</t>
  </si>
  <si>
    <t>20a. EY hours per week</t>
  </si>
  <si>
    <t>20b. EY children per week</t>
  </si>
  <si>
    <t>20c. EY adults per week</t>
  </si>
  <si>
    <t>yes</t>
  </si>
  <si>
    <t>n/a</t>
  </si>
  <si>
    <t xml:space="preserve"> - </t>
  </si>
  <si>
    <t>Hyphen</t>
  </si>
  <si>
    <t>As at 6 November 2024</t>
  </si>
  <si>
    <t>As at 11 November 2025</t>
  </si>
  <si>
    <t>Library service</t>
  </si>
  <si>
    <t>Service point</t>
  </si>
  <si>
    <t>Library staffed hours</t>
  </si>
  <si>
    <t>Highett</t>
  </si>
  <si>
    <t>Book drop/collection</t>
  </si>
  <si>
    <t>Beaumaris</t>
  </si>
  <si>
    <t>Branch</t>
  </si>
  <si>
    <t>Brighton</t>
  </si>
  <si>
    <t>Sandringham</t>
  </si>
  <si>
    <t>Hampton</t>
  </si>
  <si>
    <t>Branch - open access</t>
  </si>
  <si>
    <t>Hurlingham Park</t>
  </si>
  <si>
    <t>Locker</t>
  </si>
  <si>
    <t>Ashburton</t>
  </si>
  <si>
    <t>Balwyn</t>
  </si>
  <si>
    <t>Camberwell</t>
  </si>
  <si>
    <t>Hawthorn</t>
  </si>
  <si>
    <t>Kew</t>
  </si>
  <si>
    <t>Greythorn</t>
  </si>
  <si>
    <t>Hawthorn Arts Centre</t>
  </si>
  <si>
    <t>Lounge</t>
  </si>
  <si>
    <t>Deer Park</t>
  </si>
  <si>
    <t>Keilor</t>
  </si>
  <si>
    <t>St Albans</t>
  </si>
  <si>
    <t>Sunshine</t>
  </si>
  <si>
    <t>Sydenham</t>
  </si>
  <si>
    <t>Wycheproof</t>
  </si>
  <si>
    <t>Agency (3rd party/volunteer)</t>
  </si>
  <si>
    <t>Birchip</t>
  </si>
  <si>
    <t>Charlton</t>
  </si>
  <si>
    <t>Donald</t>
  </si>
  <si>
    <t>Sea Lake</t>
  </si>
  <si>
    <t>Berriwillock</t>
  </si>
  <si>
    <t>Outreach stop</t>
  </si>
  <si>
    <t>Culgoa</t>
  </si>
  <si>
    <t>Nandaly</t>
  </si>
  <si>
    <t>Nullawil</t>
  </si>
  <si>
    <t>Watchem</t>
  </si>
  <si>
    <t>Buloke Outreach Van</t>
  </si>
  <si>
    <t>Outreach vehicle</t>
  </si>
  <si>
    <t>Colbinabbin</t>
  </si>
  <si>
    <t>Girgarre</t>
  </si>
  <si>
    <t>Gunbower</t>
  </si>
  <si>
    <t>Lockington</t>
  </si>
  <si>
    <t>Stanhope</t>
  </si>
  <si>
    <t>Echuca Station</t>
  </si>
  <si>
    <t>Echuca</t>
  </si>
  <si>
    <t>Kyabram</t>
  </si>
  <si>
    <t>Rochester</t>
  </si>
  <si>
    <t>Rushworth</t>
  </si>
  <si>
    <t>Tongala</t>
  </si>
  <si>
    <t>Ararat</t>
  </si>
  <si>
    <t>Lake Bolac</t>
  </si>
  <si>
    <t>Pomonal</t>
  </si>
  <si>
    <t>Ararat Mobile</t>
  </si>
  <si>
    <t>Mobile library (articulated)</t>
  </si>
  <si>
    <t>Elmhurst</t>
  </si>
  <si>
    <t>Mobile stop</t>
  </si>
  <si>
    <t>Moyston</t>
  </si>
  <si>
    <t>Streatham</t>
  </si>
  <si>
    <t>Willaura</t>
  </si>
  <si>
    <t>Ballarat Research Hub</t>
  </si>
  <si>
    <t>Ballarat</t>
  </si>
  <si>
    <t>Sebastopol</t>
  </si>
  <si>
    <t>Wendouree</t>
  </si>
  <si>
    <t>Lucas</t>
  </si>
  <si>
    <t>Kiosk</t>
  </si>
  <si>
    <t>Buninyong</t>
  </si>
  <si>
    <t>Ballarat Outreach Van</t>
  </si>
  <si>
    <t>Maryborough</t>
  </si>
  <si>
    <t>Dunolly</t>
  </si>
  <si>
    <t>Talbot</t>
  </si>
  <si>
    <t>Central Goldfields Outreach Van</t>
  </si>
  <si>
    <t>Clunes</t>
  </si>
  <si>
    <t>Creswick</t>
  </si>
  <si>
    <t>Daylesford</t>
  </si>
  <si>
    <t>Trentham</t>
  </si>
  <si>
    <t>Bacchus Marsh</t>
  </si>
  <si>
    <t>Ballan</t>
  </si>
  <si>
    <t>Dunnstown</t>
  </si>
  <si>
    <t>Bungaree</t>
  </si>
  <si>
    <t>Gordon</t>
  </si>
  <si>
    <t>Greendale</t>
  </si>
  <si>
    <t>Blackwood Senior Citizens Hall</t>
  </si>
  <si>
    <t>Blackwood Main Street</t>
  </si>
  <si>
    <t>Moorabool Outreach Van</t>
  </si>
  <si>
    <t>Stawell</t>
  </si>
  <si>
    <t>St Arnaud</t>
  </si>
  <si>
    <t>Avoca</t>
  </si>
  <si>
    <t>Beaufort</t>
  </si>
  <si>
    <t>Amphitheatre</t>
  </si>
  <si>
    <t>Lexton</t>
  </si>
  <si>
    <t>Avoca Hostel</t>
  </si>
  <si>
    <t>Landsborough PS</t>
  </si>
  <si>
    <t>Barkly</t>
  </si>
  <si>
    <t>Redbank</t>
  </si>
  <si>
    <t>Raglan</t>
  </si>
  <si>
    <t>Trawalla</t>
  </si>
  <si>
    <t>Snake Valley</t>
  </si>
  <si>
    <t>Moonambel</t>
  </si>
  <si>
    <t>Natte Yallock</t>
  </si>
  <si>
    <t>Waubra</t>
  </si>
  <si>
    <t>Landsborough</t>
  </si>
  <si>
    <t>Navarre</t>
  </si>
  <si>
    <t>Pyrenees Outreach Van</t>
  </si>
  <si>
    <t>Hamilton</t>
  </si>
  <si>
    <t>Southern Grampians Mobile</t>
  </si>
  <si>
    <t>Glenthompson</t>
  </si>
  <si>
    <t>Mirranatwa</t>
  </si>
  <si>
    <t>Coleraine</t>
  </si>
  <si>
    <t>Cavendish</t>
  </si>
  <si>
    <t>Dunkeld</t>
  </si>
  <si>
    <t>Penshurst</t>
  </si>
  <si>
    <t>Balmoral</t>
  </si>
  <si>
    <t>Narre Warren</t>
  </si>
  <si>
    <t>Cranbourne</t>
  </si>
  <si>
    <t>Cranbourne West</t>
  </si>
  <si>
    <t>Doveton</t>
  </si>
  <si>
    <t>Endeavour Hills</t>
  </si>
  <si>
    <t>Hampton Park</t>
  </si>
  <si>
    <t>Manna Gum FCC</t>
  </si>
  <si>
    <t>Orana Community Place</t>
  </si>
  <si>
    <t>Connected Libraries Outreach Van</t>
  </si>
  <si>
    <t>Macarthur</t>
  </si>
  <si>
    <t>Skipton</t>
  </si>
  <si>
    <t>Hawkesdale</t>
  </si>
  <si>
    <t>Camperdown</t>
  </si>
  <si>
    <t>Cobden</t>
  </si>
  <si>
    <t>Derrinallum</t>
  </si>
  <si>
    <t>Koroit</t>
  </si>
  <si>
    <t>Port Fairy</t>
  </si>
  <si>
    <t>Mortlake</t>
  </si>
  <si>
    <t>Terang</t>
  </si>
  <si>
    <t>Timboon</t>
  </si>
  <si>
    <t>Preston</t>
  </si>
  <si>
    <t>Northcote</t>
  </si>
  <si>
    <t>Fairfield</t>
  </si>
  <si>
    <t>Reservoir</t>
  </si>
  <si>
    <t>Outreach vehicle - home library service only</t>
  </si>
  <si>
    <t>Bemm River</t>
  </si>
  <si>
    <t>Bendoc</t>
  </si>
  <si>
    <t>Buchan</t>
  </si>
  <si>
    <t>Swifts Creek</t>
  </si>
  <si>
    <t>Tubbut</t>
  </si>
  <si>
    <t>Benambra</t>
  </si>
  <si>
    <t>Cann River</t>
  </si>
  <si>
    <t>Bairnsdale</t>
  </si>
  <si>
    <t>Lakes Entrance</t>
  </si>
  <si>
    <t>Mallacoota</t>
  </si>
  <si>
    <t>Omeo</t>
  </si>
  <si>
    <t>Orbost</t>
  </si>
  <si>
    <t>Paynesville</t>
  </si>
  <si>
    <t>East Gippsland West Mobile</t>
  </si>
  <si>
    <t>East Gippsland East Mobile</t>
  </si>
  <si>
    <t>Bairnsdale - Bairnsdale Christian College</t>
  </si>
  <si>
    <t>Bairnsdale - GEGAC</t>
  </si>
  <si>
    <t>Bairnsdale - BUPA Eastwood and Opal Parklands</t>
  </si>
  <si>
    <t>Bairnsdale - Maddocks Gardens Aged Care</t>
  </si>
  <si>
    <t>Bonang</t>
  </si>
  <si>
    <t>Bruthen - Kindergarten</t>
  </si>
  <si>
    <t>Bruthen - Main Street</t>
  </si>
  <si>
    <t>Buchan - Neighbourhood House</t>
  </si>
  <si>
    <t>Buchan - Primary School</t>
  </si>
  <si>
    <t>Buchan South</t>
  </si>
  <si>
    <t>Cabbage Tree Creek</t>
  </si>
  <si>
    <t>Clifton Creek</t>
  </si>
  <si>
    <t>Club Terrace</t>
  </si>
  <si>
    <t>Delegate River</t>
  </si>
  <si>
    <t>Eagle Point</t>
  </si>
  <si>
    <t>East Bairnsdale</t>
  </si>
  <si>
    <t>Ensay</t>
  </si>
  <si>
    <t>Gelantipy</t>
  </si>
  <si>
    <t>Genoa</t>
  </si>
  <si>
    <t>Goongerah</t>
  </si>
  <si>
    <t>Johnsonville</t>
  </si>
  <si>
    <t>Lindenow - Main Street</t>
  </si>
  <si>
    <t>Lindenow - Lindenow Primary School</t>
  </si>
  <si>
    <t>Lindenow - Lindenow South Primary School</t>
  </si>
  <si>
    <t>Marlo</t>
  </si>
  <si>
    <t>Metung - Primary School</t>
  </si>
  <si>
    <t>Metung - Patterson Park</t>
  </si>
  <si>
    <t>Newlands Arm</t>
  </si>
  <si>
    <t>Newmerella</t>
  </si>
  <si>
    <t>Noorinbee</t>
  </si>
  <si>
    <t>Nowa Nowa</t>
  </si>
  <si>
    <t>Nungurner</t>
  </si>
  <si>
    <t>Sarsfield</t>
  </si>
  <si>
    <t>Swan Reach - Kindergarten</t>
  </si>
  <si>
    <t>Swan Reach - Primary School</t>
  </si>
  <si>
    <t>Swifts Creek - Primary School</t>
  </si>
  <si>
    <t>Swifts Creek - Steam Engine</t>
  </si>
  <si>
    <t>Tambo Upper</t>
  </si>
  <si>
    <t>Tostaree</t>
  </si>
  <si>
    <t>Wairewa</t>
  </si>
  <si>
    <t>W-Tree</t>
  </si>
  <si>
    <t>Frankston North</t>
  </si>
  <si>
    <t>Frankston South</t>
  </si>
  <si>
    <t>Karingal</t>
  </si>
  <si>
    <t>Langwarrin</t>
  </si>
  <si>
    <t>Carrum Downs</t>
  </si>
  <si>
    <t>Seaford</t>
  </si>
  <si>
    <t>Frankston Outreach Van</t>
  </si>
  <si>
    <t>Quambatook</t>
  </si>
  <si>
    <t>Cohuna</t>
  </si>
  <si>
    <t>Kerang</t>
  </si>
  <si>
    <t>Leitchville</t>
  </si>
  <si>
    <t>Apollo Bay</t>
  </si>
  <si>
    <t>Bannockburn</t>
  </si>
  <si>
    <t>Barwon Heads</t>
  </si>
  <si>
    <t>Belmont</t>
  </si>
  <si>
    <t>Chilwell</t>
  </si>
  <si>
    <t>Colac</t>
  </si>
  <si>
    <t>Corio</t>
  </si>
  <si>
    <t>Drysdale</t>
  </si>
  <si>
    <t>Geelong West</t>
  </si>
  <si>
    <t>Highton</t>
  </si>
  <si>
    <t>Lara</t>
  </si>
  <si>
    <t>Leopold</t>
  </si>
  <si>
    <t>Newcomb</t>
  </si>
  <si>
    <t>Ocean Grove</t>
  </si>
  <si>
    <t>Queenscliff</t>
  </si>
  <si>
    <t>Torquay</t>
  </si>
  <si>
    <t>Waurn Ponds</t>
  </si>
  <si>
    <t>Western Heights</t>
  </si>
  <si>
    <t>Armstrong Creek</t>
  </si>
  <si>
    <t>Smythesdale (The Well)</t>
  </si>
  <si>
    <t>Bellarine and Surf Coast Mobile</t>
  </si>
  <si>
    <t>Golden Plains Mobile</t>
  </si>
  <si>
    <t>Aireys Inlet</t>
  </si>
  <si>
    <t>Anakie</t>
  </si>
  <si>
    <t>Anglesea</t>
  </si>
  <si>
    <t>Beeac</t>
  </si>
  <si>
    <t>Beech Forest</t>
  </si>
  <si>
    <t>Birregurra</t>
  </si>
  <si>
    <t>Cape Clear</t>
  </si>
  <si>
    <t>Corragulac</t>
  </si>
  <si>
    <t>Cressy</t>
  </si>
  <si>
    <t>Deans Marsh</t>
  </si>
  <si>
    <t>Dereel</t>
  </si>
  <si>
    <t>Enfield</t>
  </si>
  <si>
    <t>Forrest</t>
  </si>
  <si>
    <t>Gellibrand</t>
  </si>
  <si>
    <t>Grenville</t>
  </si>
  <si>
    <t>Haddon</t>
  </si>
  <si>
    <t>Lavers Hill</t>
  </si>
  <si>
    <t>Linton</t>
  </si>
  <si>
    <t>Lorne</t>
  </si>
  <si>
    <t>Meredith</t>
  </si>
  <si>
    <t>Portarlington</t>
  </si>
  <si>
    <t>Rokewood</t>
  </si>
  <si>
    <t>Smythesdale</t>
  </si>
  <si>
    <t>St Leonards</t>
  </si>
  <si>
    <t>Winchelsea</t>
  </si>
  <si>
    <t>Colac Otway Mobile</t>
  </si>
  <si>
    <t>Bentleigh</t>
  </si>
  <si>
    <t>Carnegie</t>
  </si>
  <si>
    <t>Caulfield</t>
  </si>
  <si>
    <t>Elsternwick</t>
  </si>
  <si>
    <t>Nelson</t>
  </si>
  <si>
    <t>Casterton</t>
  </si>
  <si>
    <t>Heywood</t>
  </si>
  <si>
    <t>Portland</t>
  </si>
  <si>
    <t>Dartmoor</t>
  </si>
  <si>
    <t>Digby</t>
  </si>
  <si>
    <t>Merino</t>
  </si>
  <si>
    <t>Glenelg Outreach Van</t>
  </si>
  <si>
    <t>Axedale</t>
  </si>
  <si>
    <t>Boort</t>
  </si>
  <si>
    <t>Dingee</t>
  </si>
  <si>
    <t>Elmore</t>
  </si>
  <si>
    <t>Inglewood</t>
  </si>
  <si>
    <t>Pyramid Hill</t>
  </si>
  <si>
    <t>Wedderburn</t>
  </si>
  <si>
    <t>Bendigo</t>
  </si>
  <si>
    <t>Castlemaine</t>
  </si>
  <si>
    <t>Eaglehawk</t>
  </si>
  <si>
    <t>Gisborne</t>
  </si>
  <si>
    <t>Heathcote</t>
  </si>
  <si>
    <t>Kangaroo Flat</t>
  </si>
  <si>
    <t>Kyneton</t>
  </si>
  <si>
    <t>Romsey</t>
  </si>
  <si>
    <t>Woodend</t>
  </si>
  <si>
    <t>Goldfields Outreach Van</t>
  </si>
  <si>
    <t>Nagambie</t>
  </si>
  <si>
    <t>Yarrawonga</t>
  </si>
  <si>
    <t>Avenel</t>
  </si>
  <si>
    <t>Cobram</t>
  </si>
  <si>
    <t>Euroa</t>
  </si>
  <si>
    <t>Mooroopna</t>
  </si>
  <si>
    <t>Nathalia</t>
  </si>
  <si>
    <t>Numurkah</t>
  </si>
  <si>
    <t>Shepparton</t>
  </si>
  <si>
    <t>Tatura</t>
  </si>
  <si>
    <t>Violet Town</t>
  </si>
  <si>
    <t>Murchison</t>
  </si>
  <si>
    <t>Dookie</t>
  </si>
  <si>
    <t>Longwood</t>
  </si>
  <si>
    <t>Merrigum</t>
  </si>
  <si>
    <t>St James</t>
  </si>
  <si>
    <t>Strathbogie</t>
  </si>
  <si>
    <t>Tungamah</t>
  </si>
  <si>
    <t>Goulburn Valley Mobile</t>
  </si>
  <si>
    <t>Dandenong</t>
  </si>
  <si>
    <t>Springvale</t>
  </si>
  <si>
    <t>Little Library Menzies Ave</t>
  </si>
  <si>
    <t>Benalla</t>
  </si>
  <si>
    <t>Bright</t>
  </si>
  <si>
    <t>Mansfield</t>
  </si>
  <si>
    <t>Mt Beauty</t>
  </si>
  <si>
    <t>Myrtleford</t>
  </si>
  <si>
    <t>Wangaratta</t>
  </si>
  <si>
    <t>Gaffneys Creek</t>
  </si>
  <si>
    <t>Woods Point</t>
  </si>
  <si>
    <t>High Country Outreach Van</t>
  </si>
  <si>
    <t>Dimboola</t>
  </si>
  <si>
    <t>Jeparit</t>
  </si>
  <si>
    <t>Nhill</t>
  </si>
  <si>
    <t>Rainbow</t>
  </si>
  <si>
    <t>Altona</t>
  </si>
  <si>
    <t>Altona Meadows</t>
  </si>
  <si>
    <t>Altona North</t>
  </si>
  <si>
    <t>Newport</t>
  </si>
  <si>
    <t>Williamstown</t>
  </si>
  <si>
    <t>Laverton</t>
  </si>
  <si>
    <t>Seabrook</t>
  </si>
  <si>
    <t>Altona - Civic Centre</t>
  </si>
  <si>
    <t>Broadmeadows</t>
  </si>
  <si>
    <t>Craigieburn</t>
  </si>
  <si>
    <t>Gladstone Park</t>
  </si>
  <si>
    <t>Sunbury</t>
  </si>
  <si>
    <t>Tullamarine</t>
  </si>
  <si>
    <t>Greenvale West</t>
  </si>
  <si>
    <t>Kalkallo</t>
  </si>
  <si>
    <t>Mickleham North</t>
  </si>
  <si>
    <t>Roxburgh Park</t>
  </si>
  <si>
    <t>The Reading Vroom</t>
  </si>
  <si>
    <t>Van Go</t>
  </si>
  <si>
    <t>Beechworth</t>
  </si>
  <si>
    <t>Chiltern</t>
  </si>
  <si>
    <t>Rutherglen</t>
  </si>
  <si>
    <t>Yackandandah</t>
  </si>
  <si>
    <t>Indigo Outreach Van</t>
  </si>
  <si>
    <t>Chelsea</t>
  </si>
  <si>
    <t>Cheltenham</t>
  </si>
  <si>
    <t>Clarinda</t>
  </si>
  <si>
    <t>Parkdale</t>
  </si>
  <si>
    <t>Westall</t>
  </si>
  <si>
    <t>Dingley Village</t>
  </si>
  <si>
    <t>Patterson Lakes</t>
  </si>
  <si>
    <t>Churchill</t>
  </si>
  <si>
    <t>Moe</t>
  </si>
  <si>
    <t>Morwell</t>
  </si>
  <si>
    <t>Traralgon</t>
  </si>
  <si>
    <t>Braybrook</t>
  </si>
  <si>
    <t>Footscray</t>
  </si>
  <si>
    <t>West Footscray</t>
  </si>
  <si>
    <t>Yarraville</t>
  </si>
  <si>
    <t>Maribyrnong - Aquatic Centre</t>
  </si>
  <si>
    <t>Maribyrnong Outreach Vehicle No. 1</t>
  </si>
  <si>
    <t>Maribyrnong Outreach Vehicle No. 2</t>
  </si>
  <si>
    <t>Carlton Toy Library</t>
  </si>
  <si>
    <t>Melbourne Toy Library</t>
  </si>
  <si>
    <t>City</t>
  </si>
  <si>
    <t>East Melbourne</t>
  </si>
  <si>
    <t>Kathleen Syme</t>
  </si>
  <si>
    <t>Library at the Dock</t>
  </si>
  <si>
    <t>narrm ngarrgu</t>
  </si>
  <si>
    <t>North Melbourne</t>
  </si>
  <si>
    <t>Southbank</t>
  </si>
  <si>
    <t>Kensington</t>
  </si>
  <si>
    <t>South Yarra</t>
  </si>
  <si>
    <t>Mel-van</t>
  </si>
  <si>
    <t>Caroline Springs</t>
  </si>
  <si>
    <t>Strathtulloh</t>
  </si>
  <si>
    <t>Aintree</t>
  </si>
  <si>
    <t>Diggers Rest</t>
  </si>
  <si>
    <t>Fraser Rise</t>
  </si>
  <si>
    <t>Brunswick</t>
  </si>
  <si>
    <t>Brunswick West</t>
  </si>
  <si>
    <t>Coburg</t>
  </si>
  <si>
    <t>Fawkner</t>
  </si>
  <si>
    <t>Glenroy</t>
  </si>
  <si>
    <t>Irymple</t>
  </si>
  <si>
    <t>Merbein</t>
  </si>
  <si>
    <t>Ouyen</t>
  </si>
  <si>
    <t>Red Cliffs</t>
  </si>
  <si>
    <t>Murrayville</t>
  </si>
  <si>
    <t>Cullulleraine</t>
  </si>
  <si>
    <t>Underbool</t>
  </si>
  <si>
    <t>Walpeup</t>
  </si>
  <si>
    <t>Broadford</t>
  </si>
  <si>
    <t>Kilmore</t>
  </si>
  <si>
    <t>Seymour</t>
  </si>
  <si>
    <t>Wallan</t>
  </si>
  <si>
    <t>Beveridge</t>
  </si>
  <si>
    <t>Power Neighbourhood House</t>
  </si>
  <si>
    <t>Clayton</t>
  </si>
  <si>
    <t>Glen Waverley</t>
  </si>
  <si>
    <t>Mount Waverley</t>
  </si>
  <si>
    <t>Mulgrave</t>
  </si>
  <si>
    <t>Oakleigh</t>
  </si>
  <si>
    <t>Wheelers Hill</t>
  </si>
  <si>
    <t>Ascot Vale</t>
  </si>
  <si>
    <t>Avondale Heights</t>
  </si>
  <si>
    <t>Flemington</t>
  </si>
  <si>
    <t>Sam Merrifield (Moonee Ponds)</t>
  </si>
  <si>
    <t>Niddrie</t>
  </si>
  <si>
    <t>Library on the Move</t>
  </si>
  <si>
    <t>Hastings</t>
  </si>
  <si>
    <t>Mornington</t>
  </si>
  <si>
    <t>Rosebud</t>
  </si>
  <si>
    <t>Somerville</t>
  </si>
  <si>
    <t>Sorrento</t>
  </si>
  <si>
    <t>Balnarring</t>
  </si>
  <si>
    <t>Blairgowrie</t>
  </si>
  <si>
    <t>Capel Sound</t>
  </si>
  <si>
    <t>Flinders</t>
  </si>
  <si>
    <t>Mornington U3A</t>
  </si>
  <si>
    <t>Mount Martha</t>
  </si>
  <si>
    <t>Mt Eliza</t>
  </si>
  <si>
    <t>Red Hill</t>
  </si>
  <si>
    <t>Rye</t>
  </si>
  <si>
    <t>Somers</t>
  </si>
  <si>
    <t>Sorrento - Community Centre</t>
  </si>
  <si>
    <t>Tootgarook</t>
  </si>
  <si>
    <t>O-Liv Van</t>
  </si>
  <si>
    <t>Alexandra</t>
  </si>
  <si>
    <t>Kinglake</t>
  </si>
  <si>
    <t>Yea</t>
  </si>
  <si>
    <t>Murrindindi Mobile</t>
  </si>
  <si>
    <t>Buxton</t>
  </si>
  <si>
    <t>Eildon</t>
  </si>
  <si>
    <t>Flowerdale</t>
  </si>
  <si>
    <t>Glenburn</t>
  </si>
  <si>
    <t>Highlands</t>
  </si>
  <si>
    <t>Marysville</t>
  </si>
  <si>
    <t>Strath Creek</t>
  </si>
  <si>
    <t>Toolangi</t>
  </si>
  <si>
    <t>Corinella</t>
  </si>
  <si>
    <t>Coronet Bay</t>
  </si>
  <si>
    <t>Toora</t>
  </si>
  <si>
    <t>Drouin</t>
  </si>
  <si>
    <t>Emerald</t>
  </si>
  <si>
    <t>Inverloch</t>
  </si>
  <si>
    <t>Leongatha</t>
  </si>
  <si>
    <t>Neerim South</t>
  </si>
  <si>
    <t>Pakenham</t>
  </si>
  <si>
    <t>Phillip Island</t>
  </si>
  <si>
    <t>Warragul</t>
  </si>
  <si>
    <t>Welshpool</t>
  </si>
  <si>
    <t>Wonthaggi</t>
  </si>
  <si>
    <t>Foster</t>
  </si>
  <si>
    <t>Grantville</t>
  </si>
  <si>
    <t>Korumburra</t>
  </si>
  <si>
    <t>Mirboo North</t>
  </si>
  <si>
    <t>Poowong</t>
  </si>
  <si>
    <t>San Remo</t>
  </si>
  <si>
    <t>Baw Baw Mobile</t>
  </si>
  <si>
    <t>Cardinia Mobile</t>
  </si>
  <si>
    <t>Beaconsfield</t>
  </si>
  <si>
    <t>Bunyip</t>
  </si>
  <si>
    <t>Cockatoo</t>
  </si>
  <si>
    <t>Erica</t>
  </si>
  <si>
    <t>Garfield</t>
  </si>
  <si>
    <t>Gembrook</t>
  </si>
  <si>
    <t>Koo Wee Rup</t>
  </si>
  <si>
    <t>Lang Lang</t>
  </si>
  <si>
    <t>Longwarry</t>
  </si>
  <si>
    <t>Maryknoll</t>
  </si>
  <si>
    <t>Nar Nar Goon</t>
  </si>
  <si>
    <t>Nyora</t>
  </si>
  <si>
    <t>Rawson</t>
  </si>
  <si>
    <t>Thorpdale</t>
  </si>
  <si>
    <t>Trafalgar</t>
  </si>
  <si>
    <t>Tynong</t>
  </si>
  <si>
    <t>Upper Beaconsfield</t>
  </si>
  <si>
    <t>Willow Grove</t>
  </si>
  <si>
    <t>Yarragon</t>
  </si>
  <si>
    <t>Albert Park</t>
  </si>
  <si>
    <t>Emerald Hill</t>
  </si>
  <si>
    <t>Middle Park</t>
  </si>
  <si>
    <t>Port Melbourne</t>
  </si>
  <si>
    <t>St Kilda</t>
  </si>
  <si>
    <t>Malvern</t>
  </si>
  <si>
    <t>Phoenix Park</t>
  </si>
  <si>
    <t>Prahran</t>
  </si>
  <si>
    <t>Toorak South Yarra</t>
  </si>
  <si>
    <t>Stonnington History Centre</t>
  </si>
  <si>
    <t>Study@Greville</t>
  </si>
  <si>
    <t>Robinvale</t>
  </si>
  <si>
    <t>Swan Hill Mobile</t>
  </si>
  <si>
    <t>Alcheringa</t>
  </si>
  <si>
    <t>Beverford</t>
  </si>
  <si>
    <t>Lake Boga - Community Garden</t>
  </si>
  <si>
    <t>Lake Boga - Kindergarten</t>
  </si>
  <si>
    <t>Lake Boga - Primary School</t>
  </si>
  <si>
    <t>Manangatang - Playgroup</t>
  </si>
  <si>
    <t>Manangatang - P-12 College</t>
  </si>
  <si>
    <t>Manangatang - Hospital</t>
  </si>
  <si>
    <t>Manangatang - Kindergarten</t>
  </si>
  <si>
    <t>Manangatang - Main Street</t>
  </si>
  <si>
    <t>Nyah West - Playgroup</t>
  </si>
  <si>
    <t>Nyah West - Kindergarten</t>
  </si>
  <si>
    <t>Nyah West - Primary School</t>
  </si>
  <si>
    <t>Nyah West - Park</t>
  </si>
  <si>
    <t>Nyah West - Jacaranda Lodge</t>
  </si>
  <si>
    <t>Swan Hill North</t>
  </si>
  <si>
    <t>Ultima</t>
  </si>
  <si>
    <t>Woorinen Primary School</t>
  </si>
  <si>
    <t>Woorinen Kendergarten</t>
  </si>
  <si>
    <t>Corryong</t>
  </si>
  <si>
    <t>Tallangatta</t>
  </si>
  <si>
    <t>Vision</t>
  </si>
  <si>
    <t>Kooyong</t>
  </si>
  <si>
    <t>Warrnambool Library</t>
  </si>
  <si>
    <t>Reservation Locker</t>
  </si>
  <si>
    <t>West Warrnambool Neighbourhood House</t>
  </si>
  <si>
    <t>Kinder Outreach</t>
  </si>
  <si>
    <t>Warrnambool Outreach Van</t>
  </si>
  <si>
    <t>Gormandale</t>
  </si>
  <si>
    <t>Heyfield</t>
  </si>
  <si>
    <t>Maffra</t>
  </si>
  <si>
    <t>Rosedale</t>
  </si>
  <si>
    <t>Sale</t>
  </si>
  <si>
    <t>Stratford</t>
  </si>
  <si>
    <t>Yarram</t>
  </si>
  <si>
    <t>Briagolong</t>
  </si>
  <si>
    <t>Golden Beach</t>
  </si>
  <si>
    <t>Loch Sport</t>
  </si>
  <si>
    <t>Wellington Outreach Van</t>
  </si>
  <si>
    <t>WML Outreach Van</t>
  </si>
  <si>
    <t>Bulleen</t>
  </si>
  <si>
    <t>Doncaster</t>
  </si>
  <si>
    <t>The Pines</t>
  </si>
  <si>
    <t>Warrandyte</t>
  </si>
  <si>
    <t>Blackburn</t>
  </si>
  <si>
    <t>Box Hill</t>
  </si>
  <si>
    <t>Nunawading</t>
  </si>
  <si>
    <t>Vermont South</t>
  </si>
  <si>
    <t>Edenhope</t>
  </si>
  <si>
    <t>Goroke</t>
  </si>
  <si>
    <t>Harrow</t>
  </si>
  <si>
    <t>Horsham</t>
  </si>
  <si>
    <t>Kaniva</t>
  </si>
  <si>
    <t>Kaniva Locker</t>
  </si>
  <si>
    <t>Natimuk Locker</t>
  </si>
  <si>
    <t>Laharum Locker</t>
  </si>
  <si>
    <t>Library Van</t>
  </si>
  <si>
    <t>Saltwater</t>
  </si>
  <si>
    <t>Hoppers Crossing</t>
  </si>
  <si>
    <t>Manor Lakes</t>
  </si>
  <si>
    <t>Tarneit - Julia Gillard</t>
  </si>
  <si>
    <t>Truganina</t>
  </si>
  <si>
    <t>Werribee</t>
  </si>
  <si>
    <t>Williams Landing</t>
  </si>
  <si>
    <t>Point Cook</t>
  </si>
  <si>
    <t>Little River</t>
  </si>
  <si>
    <t>Tarneit - Bembit Bag-Rook Community Centre</t>
  </si>
  <si>
    <t>Tarneit West</t>
  </si>
  <si>
    <t>Wyndham Vale</t>
  </si>
  <si>
    <t>Pop Up Library Van</t>
  </si>
  <si>
    <t>Wyndham Outreach Van No. 2</t>
  </si>
  <si>
    <t>Fitzroy</t>
  </si>
  <si>
    <t>Carlton</t>
  </si>
  <si>
    <t>Collingwood</t>
  </si>
  <si>
    <t>North Fitzroy</t>
  </si>
  <si>
    <t>Richmond</t>
  </si>
  <si>
    <t>Yarra Outreach Van</t>
  </si>
  <si>
    <t>Bellfield</t>
  </si>
  <si>
    <t>Epping</t>
  </si>
  <si>
    <t>Hurstbridge</t>
  </si>
  <si>
    <t>Wollert</t>
  </si>
  <si>
    <t>Lalor</t>
  </si>
  <si>
    <t>Mill Park</t>
  </si>
  <si>
    <t>Rosanna</t>
  </si>
  <si>
    <t>Watsonia</t>
  </si>
  <si>
    <t>YPRL Mobile</t>
  </si>
  <si>
    <t>Arthurs Creek</t>
  </si>
  <si>
    <t>Christmas Hills</t>
  </si>
  <si>
    <t>Diamond Creek</t>
  </si>
  <si>
    <t>Doreen - Laurimar Primary School</t>
  </si>
  <si>
    <t>Doreen - Community Centre</t>
  </si>
  <si>
    <t>Heidelberg West</t>
  </si>
  <si>
    <t>Kangaroo Ground</t>
  </si>
  <si>
    <t>Panton Hill</t>
  </si>
  <si>
    <t>St Andrews</t>
  </si>
  <si>
    <t>Warrandyte North</t>
  </si>
  <si>
    <t>Yarrambat</t>
  </si>
  <si>
    <t>YPRL Outreach Van</t>
  </si>
  <si>
    <t>Ivanhoe</t>
  </si>
  <si>
    <t>Diamond Valley</t>
  </si>
  <si>
    <t>Eltham</t>
  </si>
  <si>
    <t>Mernda</t>
  </si>
  <si>
    <t>Thomastown</t>
  </si>
  <si>
    <t>Whittlesea</t>
  </si>
  <si>
    <t>Hopetoun</t>
  </si>
  <si>
    <t>Brim</t>
  </si>
  <si>
    <t>Warracknabeal</t>
  </si>
  <si>
    <t>Lascelles</t>
  </si>
  <si>
    <t>Speed</t>
  </si>
  <si>
    <t>Yaapet</t>
  </si>
  <si>
    <t>Rupanyup</t>
  </si>
  <si>
    <t>Beulah</t>
  </si>
  <si>
    <t>Minyip</t>
  </si>
  <si>
    <t>Murtoa</t>
  </si>
  <si>
    <t>Patchewollock</t>
  </si>
  <si>
    <t>Woomelang</t>
  </si>
  <si>
    <t>Yarriambiack Outreach Van</t>
  </si>
  <si>
    <t>Monbulk</t>
  </si>
  <si>
    <t>Mt Evelyn</t>
  </si>
  <si>
    <t>Yarra Glen</t>
  </si>
  <si>
    <t>Bayswater</t>
  </si>
  <si>
    <t>Belgrave</t>
  </si>
  <si>
    <t>Boronia</t>
  </si>
  <si>
    <t>Boronia - Miller's Homestead</t>
  </si>
  <si>
    <t>Croydon</t>
  </si>
  <si>
    <t>Ferntree Gully</t>
  </si>
  <si>
    <t>Healesville</t>
  </si>
  <si>
    <t>Knox</t>
  </si>
  <si>
    <t>Lilydale</t>
  </si>
  <si>
    <t>Montrose</t>
  </si>
  <si>
    <t>Mooroolbark</t>
  </si>
  <si>
    <t>Ringwood</t>
  </si>
  <si>
    <t>Rowville</t>
  </si>
  <si>
    <t>Yarra Junction</t>
  </si>
  <si>
    <t>Millgrove</t>
  </si>
  <si>
    <t>Woori Yallock</t>
  </si>
  <si>
    <t>Your Library Outreach Van</t>
  </si>
  <si>
    <t>Service Points as at June 2025</t>
  </si>
  <si>
    <t>Central Highlands (Ball)</t>
  </si>
  <si>
    <t>Central Highlands (Ararat)</t>
  </si>
  <si>
    <t>Central Highlands (CentGold)</t>
  </si>
  <si>
    <t>Central Highlands (Hepburn)</t>
  </si>
  <si>
    <t>Central Highlands (Moor)</t>
  </si>
  <si>
    <t>Central Highlands (NorthGram)</t>
  </si>
  <si>
    <t>Central Highlands (Pyr)</t>
  </si>
  <si>
    <t>Central Highlands (SouthGram)</t>
  </si>
  <si>
    <t>Whitehorse Manningham (Mann)</t>
  </si>
  <si>
    <t>Whitehorse Manningham (White)</t>
  </si>
  <si>
    <t>Yarra Plenty (Ban)</t>
  </si>
  <si>
    <t>Yarra Plenty (Nill)</t>
  </si>
  <si>
    <t>Yarra Plenty (Whitt)</t>
  </si>
  <si>
    <t>North Melbourne LLC</t>
  </si>
  <si>
    <t>Corangamite Moyne (Moy)</t>
  </si>
  <si>
    <t>Corangamite Moyne (Cor)</t>
  </si>
  <si>
    <t>Geelong (Colac)</t>
  </si>
  <si>
    <t>Geelong (Gold)</t>
  </si>
  <si>
    <t>Geelong (Geel)</t>
  </si>
  <si>
    <t>Geelong (Queen)</t>
  </si>
  <si>
    <t>Geelong (Surf)</t>
  </si>
  <si>
    <t>Wimmera (WestW)</t>
  </si>
  <si>
    <t>Wimmera (Hors)</t>
  </si>
  <si>
    <t>Your Library (Knox)</t>
  </si>
  <si>
    <t>Your Library (Yarra)</t>
  </si>
  <si>
    <t>Your Library (Mar)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</si>
</sst>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_(&quot;$&quot;* #,##0_);_(&quot;$&quot;* \(#,##0\);_(&quot;$&quot;* &quot;-&quot;??_);_(@_)"/>
    <numFmt numFmtId="169" formatCode="[&lt;=9999999]###\-####;\(###\)\ ###\-####"/>
    <numFmt numFmtId="170" formatCode="[&lt;=999999999999999]###\-####;\(###\)\ ###\-####\ \x#####"/>
    <numFmt numFmtId="171" formatCode="[&lt;=99999]00000;[&lt;=999999999]00000\-0000"/>
    <numFmt numFmtId="172" formatCode="_-* #,##0_-;\-* #,##0_-;_-* &quot;-&quot;??_-;_-@_-"/>
    <numFmt numFmtId="173" formatCode="_-&quot;$&quot;* #,##0_-;\-&quot;$&quot;* #,##0_-;_-&quot;$&quot;* &quot;-&quot;??_-;_-@_-"/>
    <numFmt numFmtId="174" formatCode="_-* #,##0.0_-;\-* #,##0.0_-;_-* &quot;-&quot;??_-;_-@_-"/>
    <numFmt numFmtId="175" formatCode="0.0%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5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left" vertical="center"/>
    </xf>
    <xf numFmtId="8" fontId="1" fillId="0" borderId="0" applyFont="0" applyFill="0" applyBorder="0" applyAlignment="0" applyProtection="0"/>
    <xf numFmtId="22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5" fontId="1" fillId="0" borderId="0" applyFont="0" applyFill="0" applyBorder="0" applyAlignment="0" applyProtection="0"/>
    <xf numFmtId="19" fontId="1" fillId="0" borderId="0" applyFont="0" applyFill="0" applyBorder="0" applyAlignment="0" applyProtection="0"/>
    <xf numFmtId="15" fontId="1" fillId="0" borderId="0" applyFont="0" applyFill="0" applyBorder="0" applyAlignment="0" applyProtection="0"/>
    <xf numFmtId="1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left" vertical="center"/>
    </xf>
    <xf numFmtId="14" fontId="1" fillId="0" borderId="0" applyFont="0" applyFill="0" applyBorder="0" applyAlignment="0" applyProtection="0"/>
    <xf numFmtId="20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left" vertical="center"/>
    </xf>
    <xf numFmtId="171" fontId="1" fillId="0" borderId="0" applyFont="0" applyFill="0" applyBorder="0" applyAlignment="0" applyProtection="0"/>
    <xf numFmtId="0" fontId="1" fillId="0" borderId="0"/>
    <xf numFmtId="0" fontId="8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66">
    <xf numFmtId="0" fontId="0" fillId="0" borderId="0" xfId="0"/>
    <xf numFmtId="0" fontId="7" fillId="2" borderId="0" xfId="1" applyFont="1" applyFill="1" applyAlignment="1">
      <alignment horizontal="left" wrapText="1"/>
    </xf>
    <xf numFmtId="168" fontId="4" fillId="0" borderId="0" xfId="6" applyNumberFormat="1" applyFont="1" applyFill="1" applyBorder="1" applyAlignment="1">
      <alignment horizontal="left" vertical="center"/>
    </xf>
    <xf numFmtId="173" fontId="4" fillId="0" borderId="0" xfId="31" applyNumberFormat="1" applyFont="1" applyFill="1" applyBorder="1"/>
    <xf numFmtId="0" fontId="5" fillId="0" borderId="0" xfId="27" applyFont="1"/>
    <xf numFmtId="0" fontId="4" fillId="0" borderId="0" xfId="27" applyFont="1"/>
    <xf numFmtId="15" fontId="6" fillId="0" borderId="0" xfId="27" quotePrefix="1" applyNumberFormat="1" applyFont="1" applyAlignment="1">
      <alignment horizontal="left"/>
    </xf>
    <xf numFmtId="0" fontId="7" fillId="2" borderId="0" xfId="27" applyFont="1" applyFill="1" applyAlignment="1">
      <alignment horizontal="left" wrapText="1"/>
    </xf>
    <xf numFmtId="0" fontId="7" fillId="3" borderId="0" xfId="27" applyFont="1" applyFill="1" applyAlignment="1">
      <alignment horizontal="left" wrapText="1"/>
    </xf>
    <xf numFmtId="0" fontId="4" fillId="7" borderId="0" xfId="27" applyFont="1" applyFill="1"/>
    <xf numFmtId="0" fontId="7" fillId="0" borderId="0" xfId="27" applyFont="1"/>
    <xf numFmtId="0" fontId="4" fillId="0" borderId="0" xfId="27" applyFont="1" applyAlignment="1">
      <alignment horizontal="left"/>
    </xf>
    <xf numFmtId="0" fontId="4" fillId="3" borderId="0" xfId="27" applyFont="1" applyFill="1" applyAlignment="1">
      <alignment horizontal="left"/>
    </xf>
    <xf numFmtId="166" fontId="4" fillId="0" borderId="0" xfId="32" applyNumberFormat="1" applyFont="1" applyFill="1" applyBorder="1"/>
    <xf numFmtId="168" fontId="4" fillId="0" borderId="0" xfId="6" applyNumberFormat="1" applyFont="1" applyFill="1" applyBorder="1"/>
    <xf numFmtId="166" fontId="4" fillId="0" borderId="0" xfId="32" applyNumberFormat="1" applyFont="1" applyFill="1" applyBorder="1" applyAlignment="1">
      <alignment horizontal="right"/>
    </xf>
    <xf numFmtId="166" fontId="4" fillId="5" borderId="0" xfId="32" applyNumberFormat="1" applyFont="1" applyFill="1" applyBorder="1"/>
    <xf numFmtId="166" fontId="4" fillId="0" borderId="0" xfId="32" applyNumberFormat="1" applyFont="1" applyFill="1" applyBorder="1" applyAlignment="1">
      <alignment horizontal="left" vertical="center"/>
    </xf>
    <xf numFmtId="168" fontId="4" fillId="0" borderId="0" xfId="6" applyNumberFormat="1" applyFont="1" applyFill="1" applyBorder="1" applyAlignment="1">
      <alignment horizontal="left"/>
    </xf>
    <xf numFmtId="0" fontId="4" fillId="4" borderId="0" xfId="27" applyFont="1" applyFill="1"/>
    <xf numFmtId="168" fontId="4" fillId="4" borderId="0" xfId="6" applyNumberFormat="1" applyFont="1" applyFill="1" applyBorder="1"/>
    <xf numFmtId="166" fontId="4" fillId="4" borderId="0" xfId="32" applyNumberFormat="1" applyFont="1" applyFill="1" applyBorder="1"/>
    <xf numFmtId="173" fontId="4" fillId="4" borderId="0" xfId="31" applyNumberFormat="1" applyFont="1" applyFill="1" applyBorder="1"/>
    <xf numFmtId="174" fontId="4" fillId="4" borderId="0" xfId="30" applyNumberFormat="1" applyFont="1" applyFill="1" applyBorder="1"/>
    <xf numFmtId="165" fontId="4" fillId="4" borderId="0" xfId="32" applyFont="1" applyFill="1" applyBorder="1"/>
    <xf numFmtId="0" fontId="9" fillId="0" borderId="0" xfId="27" applyFont="1"/>
    <xf numFmtId="166" fontId="4" fillId="0" borderId="0" xfId="2" applyNumberFormat="1" applyFont="1" applyFill="1" applyBorder="1"/>
    <xf numFmtId="167" fontId="4" fillId="0" borderId="0" xfId="2" applyNumberFormat="1" applyFont="1" applyFill="1" applyBorder="1"/>
    <xf numFmtId="165" fontId="4" fillId="0" borderId="0" xfId="2" applyFont="1" applyFill="1" applyBorder="1"/>
    <xf numFmtId="174" fontId="4" fillId="5" borderId="0" xfId="30" applyNumberFormat="1" applyFont="1" applyFill="1" applyBorder="1" applyAlignment="1">
      <alignment horizontal="right"/>
    </xf>
    <xf numFmtId="166" fontId="4" fillId="0" borderId="0" xfId="2" applyNumberFormat="1" applyFont="1" applyFill="1" applyBorder="1" applyAlignment="1">
      <alignment horizontal="right"/>
    </xf>
    <xf numFmtId="0" fontId="7" fillId="6" borderId="0" xfId="1" applyFont="1" applyFill="1" applyAlignment="1">
      <alignment horizontal="left" wrapText="1"/>
    </xf>
    <xf numFmtId="165" fontId="4" fillId="6" borderId="0" xfId="2" applyFont="1" applyFill="1" applyBorder="1"/>
    <xf numFmtId="15" fontId="6" fillId="0" borderId="0" xfId="27" quotePrefix="1" applyNumberFormat="1" applyFont="1"/>
    <xf numFmtId="167" fontId="4" fillId="0" borderId="0" xfId="2" applyNumberFormat="1" applyFont="1" applyFill="1" applyBorder="1" applyAlignment="1">
      <alignment horizontal="left" vertical="center"/>
    </xf>
    <xf numFmtId="166" fontId="4" fillId="0" borderId="0" xfId="29" applyNumberFormat="1" applyFont="1" applyFill="1" applyBorder="1" applyAlignment="1"/>
    <xf numFmtId="166" fontId="4" fillId="0" borderId="0" xfId="29" applyNumberFormat="1" applyFont="1" applyFill="1" applyBorder="1" applyAlignment="1">
      <alignment horizontal="right"/>
    </xf>
    <xf numFmtId="0" fontId="4" fillId="0" borderId="0" xfId="29" applyNumberFormat="1" applyFont="1" applyFill="1" applyBorder="1" applyAlignment="1">
      <alignment horizontal="left"/>
    </xf>
    <xf numFmtId="165" fontId="4" fillId="0" borderId="0" xfId="2" applyFont="1" applyFill="1" applyBorder="1" applyAlignment="1">
      <alignment horizontal="right"/>
    </xf>
    <xf numFmtId="172" fontId="4" fillId="0" borderId="0" xfId="30" applyNumberFormat="1" applyFont="1" applyFill="1" applyBorder="1" applyAlignment="1"/>
    <xf numFmtId="166" fontId="4" fillId="0" borderId="0" xfId="29" applyNumberFormat="1" applyFont="1" applyFill="1" applyBorder="1"/>
    <xf numFmtId="166" fontId="10" fillId="0" borderId="0" xfId="29" applyNumberFormat="1" applyFont="1" applyFill="1" applyBorder="1" applyAlignment="1">
      <alignment horizontal="right"/>
    </xf>
    <xf numFmtId="167" fontId="4" fillId="0" borderId="0" xfId="30" applyNumberFormat="1" applyFont="1" applyFill="1" applyBorder="1" applyAlignment="1">
      <alignment horizontal="left" vertical="center"/>
    </xf>
    <xf numFmtId="175" fontId="4" fillId="0" borderId="0" xfId="33" applyNumberFormat="1" applyFont="1"/>
    <xf numFmtId="9" fontId="4" fillId="0" borderId="0" xfId="33" applyFont="1"/>
    <xf numFmtId="166" fontId="4" fillId="8" borderId="0" xfId="2" applyNumberFormat="1" applyFont="1" applyFill="1" applyBorder="1" applyAlignment="1">
      <alignment horizontal="right"/>
    </xf>
    <xf numFmtId="166" fontId="4" fillId="8" borderId="0" xfId="29" applyNumberFormat="1" applyFont="1" applyFill="1" applyBorder="1" applyAlignment="1">
      <alignment horizontal="right"/>
    </xf>
    <xf numFmtId="174" fontId="4" fillId="8" borderId="0" xfId="30" applyNumberFormat="1" applyFont="1" applyFill="1" applyBorder="1" applyAlignment="1">
      <alignment horizontal="right"/>
    </xf>
    <xf numFmtId="0" fontId="4" fillId="0" borderId="0" xfId="27" applyFont="1" applyAlignment="1">
      <alignment horizontal="right"/>
    </xf>
    <xf numFmtId="166" fontId="4" fillId="5" borderId="0" xfId="2" applyNumberFormat="1" applyFont="1" applyFill="1" applyBorder="1"/>
    <xf numFmtId="165" fontId="4" fillId="5" borderId="0" xfId="2" applyFont="1" applyFill="1" applyBorder="1"/>
    <xf numFmtId="167" fontId="4" fillId="5" borderId="0" xfId="2" applyNumberFormat="1" applyFont="1" applyFill="1" applyBorder="1" applyAlignment="1">
      <alignment horizontal="left" vertical="center"/>
    </xf>
    <xf numFmtId="165" fontId="4" fillId="5" borderId="0" xfId="2" applyFont="1" applyFill="1" applyBorder="1" applyAlignment="1">
      <alignment horizontal="right"/>
    </xf>
    <xf numFmtId="166" fontId="4" fillId="5" borderId="0" xfId="2" applyNumberFormat="1" applyFont="1" applyFill="1" applyBorder="1" applyAlignment="1">
      <alignment horizontal="right"/>
    </xf>
    <xf numFmtId="166" fontId="4" fillId="5" borderId="0" xfId="29" applyNumberFormat="1" applyFont="1" applyFill="1" applyBorder="1" applyAlignment="1">
      <alignment horizontal="right"/>
    </xf>
    <xf numFmtId="166" fontId="4" fillId="5" borderId="0" xfId="32" applyNumberFormat="1" applyFont="1" applyFill="1" applyBorder="1" applyAlignment="1">
      <alignment horizontal="right"/>
    </xf>
    <xf numFmtId="166" fontId="10" fillId="0" borderId="0" xfId="2" applyNumberFormat="1" applyFont="1" applyFill="1" applyBorder="1" applyAlignment="1">
      <alignment horizontal="right"/>
    </xf>
    <xf numFmtId="166" fontId="4" fillId="4" borderId="0" xfId="2" applyNumberFormat="1" applyFont="1" applyFill="1" applyBorder="1"/>
    <xf numFmtId="166" fontId="4" fillId="8" borderId="0" xfId="29" applyNumberFormat="1" applyFont="1" applyFill="1" applyBorder="1"/>
    <xf numFmtId="0" fontId="12" fillId="7" borderId="0" xfId="27" applyFont="1" applyFill="1"/>
    <xf numFmtId="0" fontId="11" fillId="0" borderId="0" xfId="0" applyFont="1"/>
    <xf numFmtId="174" fontId="0" fillId="0" borderId="0" xfId="30" applyNumberFormat="1" applyFont="1" applyFill="1"/>
    <xf numFmtId="0" fontId="0" fillId="4" borderId="0" xfId="0" applyFill="1"/>
    <xf numFmtId="0" fontId="11" fillId="0" borderId="0" xfId="0" applyFont="1" applyFill="1"/>
    <xf numFmtId="0" fontId="11" fillId="0" borderId="0" xfId="0" applyFont="1" applyFill="1" applyAlignment="1">
      <alignment horizontal="center" wrapText="1"/>
    </xf>
    <xf numFmtId="0" fontId="0" fillId="0" borderId="0" xfId="0" applyFill="1"/>
  </cellXfs>
  <cellStyles count="35">
    <cellStyle name="Comma" xfId="2" builtinId="3"/>
    <cellStyle name="Comma 2" xfId="5" xr:uid="{00000000-0005-0000-0000-000001000000}"/>
    <cellStyle name="Comma 3" xfId="30" xr:uid="{F6E91F03-FDF9-41ED-87F6-2B7A5359ADE6}"/>
    <cellStyle name="Comma 4" xfId="29" xr:uid="{9FE1EEB3-B74D-495D-9A08-18464F28785D}"/>
    <cellStyle name="Comma 5" xfId="32" xr:uid="{1AC803F1-79D3-4F29-BF37-6800B9F3B5E3}"/>
    <cellStyle name="Currency 2" xfId="6" xr:uid="{00000000-0005-0000-0000-000003000000}"/>
    <cellStyle name="Currency 3" xfId="31" xr:uid="{FD6359A1-A720-4CD9-B678-7A731814B1B0}"/>
    <cellStyle name="Currency 4" xfId="34" xr:uid="{EE90B99C-A90E-47C5-BF95-18EAF0F7AEA3}"/>
    <cellStyle name="Normal" xfId="0" builtinId="0"/>
    <cellStyle name="Normal 2" xfId="3" xr:uid="{00000000-0005-0000-0000-000005000000}"/>
    <cellStyle name="Normal 2 2" xfId="27" xr:uid="{00000000-0005-0000-0000-000006000000}"/>
    <cellStyle name="Normal 3" xfId="1" xr:uid="{00000000-0005-0000-0000-000007000000}"/>
    <cellStyle name="Normal 4" xfId="28" xr:uid="{B4954E5C-69B9-4799-96C9-E2D508995734}"/>
    <cellStyle name="Percent 2" xfId="4" xr:uid="{00000000-0005-0000-0000-000009000000}"/>
    <cellStyle name="Percent 3" xfId="33" xr:uid="{34C77D64-C6E8-4522-860F-66A66008349B}"/>
    <cellStyle name="sCurrency" xfId="8" xr:uid="{00000000-0005-0000-0000-00000A000000}"/>
    <cellStyle name="sDate" xfId="9" xr:uid="{00000000-0005-0000-0000-00000B000000}"/>
    <cellStyle name="sDecimal" xfId="10" xr:uid="{00000000-0005-0000-0000-00000C000000}"/>
    <cellStyle name="sInteger" xfId="11" xr:uid="{00000000-0005-0000-0000-00000D000000}"/>
    <cellStyle name="sInteger 2" xfId="12" xr:uid="{00000000-0005-0000-0000-00000E000000}"/>
    <cellStyle name="sLongDate" xfId="13" xr:uid="{00000000-0005-0000-0000-00000F000000}"/>
    <cellStyle name="sLongTime" xfId="14" xr:uid="{00000000-0005-0000-0000-000010000000}"/>
    <cellStyle name="sMediumDate" xfId="15" xr:uid="{00000000-0005-0000-0000-000011000000}"/>
    <cellStyle name="sMediumTime" xfId="16" xr:uid="{00000000-0005-0000-0000-000012000000}"/>
    <cellStyle name="sNumber" xfId="17" xr:uid="{00000000-0005-0000-0000-000013000000}"/>
    <cellStyle name="sPercent" xfId="18" xr:uid="{00000000-0005-0000-0000-000014000000}"/>
    <cellStyle name="sPhone" xfId="19" xr:uid="{00000000-0005-0000-0000-000015000000}"/>
    <cellStyle name="sPhoneExt" xfId="20" xr:uid="{00000000-0005-0000-0000-000016000000}"/>
    <cellStyle name="sRichText" xfId="21" xr:uid="{00000000-0005-0000-0000-000017000000}"/>
    <cellStyle name="sShortDate" xfId="22" xr:uid="{00000000-0005-0000-0000-000018000000}"/>
    <cellStyle name="sShortTime" xfId="23" xr:uid="{00000000-0005-0000-0000-000019000000}"/>
    <cellStyle name="sStandard" xfId="24" xr:uid="{00000000-0005-0000-0000-00001A000000}"/>
    <cellStyle name="sText" xfId="7" xr:uid="{00000000-0005-0000-0000-00001B000000}"/>
    <cellStyle name="sText 2" xfId="25" xr:uid="{00000000-0005-0000-0000-00001C000000}"/>
    <cellStyle name="sZip" xfId="26" xr:uid="{00000000-0005-0000-0000-00001D000000}"/>
  </cellStyles>
  <dxfs count="0"/>
  <tableStyles count="0" defaultTableStyle="TableStyleMedium2" defaultPivotStyle="PivotStyleLight16"/>
  <colors>
    <mruColors>
      <color rgb="FFFFCCFF"/>
      <color rgb="FFFFFFCC"/>
      <color rgb="FF59963A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8ae129afb327456/Lib%20-%20PLV%202024-25/AAA%20-%20IP%20Comparative%20Date%20File%20-%20For%202024-25%20Benchmarking%20Report.xlsx" TargetMode="External"/><Relationship Id="rId1" Type="http://schemas.openxmlformats.org/officeDocument/2006/relationships/externalLinkPath" Target="/b8ae129afb327456/Lib%20-%20PLV%202024-25/AAA%20-%20IP%20Comparative%20Date%20File%20-%20For%202024-25%20Benchmarking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4"/>
      <sheetName val="2023"/>
      <sheetName val="2022"/>
      <sheetName val="2021"/>
      <sheetName val="1920"/>
      <sheetName val="1819"/>
      <sheetName val="1718"/>
      <sheetName val="Output Lib"/>
      <sheetName val="IP Scorecard"/>
      <sheetName val="IP Ranking Chart"/>
      <sheetName val="Sheet1"/>
      <sheetName val="$ vs Visits"/>
      <sheetName val="Names"/>
      <sheetName val="eRes"/>
      <sheetName val="2015-16"/>
    </sheetNames>
    <sheetDataSet>
      <sheetData sheetId="0">
        <row r="4">
          <cell r="GY4" t="str">
            <v>% Digital</v>
          </cell>
        </row>
        <row r="5">
          <cell r="GX5">
            <v>0.24181451064022869</v>
          </cell>
          <cell r="GY5">
            <v>0.53104200719520755</v>
          </cell>
        </row>
        <row r="6">
          <cell r="GX6">
            <v>0.28510364072229377</v>
          </cell>
          <cell r="GY6">
            <v>0.32843298961758521</v>
          </cell>
        </row>
        <row r="7">
          <cell r="GX7">
            <v>0.13763194600948975</v>
          </cell>
          <cell r="GY7">
            <v>0.17078945421362862</v>
          </cell>
        </row>
        <row r="8">
          <cell r="GX8">
            <v>6.5168240457507645E-2</v>
          </cell>
          <cell r="GY8">
            <v>8.4830866807610997E-2</v>
          </cell>
        </row>
        <row r="9">
          <cell r="GX9">
            <v>0.16321729549447606</v>
          </cell>
          <cell r="GY9">
            <v>5.6960018689093582E-2</v>
          </cell>
        </row>
        <row r="10">
          <cell r="GX10">
            <v>0.19492539520192892</v>
          </cell>
          <cell r="GY10">
            <v>0.17102669882113872</v>
          </cell>
        </row>
        <row r="11">
          <cell r="GX11">
            <v>0.46393551924666049</v>
          </cell>
          <cell r="GY11">
            <v>0.1567317652217963</v>
          </cell>
        </row>
        <row r="12">
          <cell r="GX12">
            <v>0.56306591277529561</v>
          </cell>
          <cell r="GY12">
            <v>0.22740431435851599</v>
          </cell>
        </row>
        <row r="13">
          <cell r="GX13">
            <v>0.26253978785786658</v>
          </cell>
          <cell r="GY13">
            <v>0.19228406304538115</v>
          </cell>
        </row>
        <row r="14">
          <cell r="GX14">
            <v>0.24099202497442221</v>
          </cell>
          <cell r="GY14">
            <v>0.17335001191327137</v>
          </cell>
        </row>
        <row r="15">
          <cell r="GX15">
            <v>0.22036740423003234</v>
          </cell>
          <cell r="GY15">
            <v>0.15647637031140002</v>
          </cell>
        </row>
        <row r="16">
          <cell r="GX16">
            <v>0.18533584681019943</v>
          </cell>
          <cell r="GY16">
            <v>0.10074453234062354</v>
          </cell>
        </row>
        <row r="17">
          <cell r="GX17">
            <v>0.17531376403368287</v>
          </cell>
          <cell r="GY17">
            <v>8.7223022112230958E-2</v>
          </cell>
        </row>
        <row r="18">
          <cell r="GX18">
            <v>0.23722850179813929</v>
          </cell>
          <cell r="GY18">
            <v>0.14355671682535084</v>
          </cell>
        </row>
        <row r="19">
          <cell r="GX19">
            <v>0.15805156604804016</v>
          </cell>
          <cell r="GY19">
            <v>8.6816635459795885E-2</v>
          </cell>
        </row>
        <row r="20">
          <cell r="GX20">
            <v>0.37879586212157751</v>
          </cell>
          <cell r="GY20">
            <v>0.11255961952060138</v>
          </cell>
        </row>
        <row r="21">
          <cell r="GX21">
            <v>0.24905183025664626</v>
          </cell>
          <cell r="GY21">
            <v>0.20953948623473176</v>
          </cell>
        </row>
        <row r="22">
          <cell r="GX22">
            <v>0.11073235371581581</v>
          </cell>
          <cell r="GY22">
            <v>0.62557013334914202</v>
          </cell>
        </row>
        <row r="23">
          <cell r="GX23">
            <v>0.31317176416838188</v>
          </cell>
          <cell r="GY23">
            <v>0.4986246322386203</v>
          </cell>
        </row>
        <row r="24">
          <cell r="GX24">
            <v>0.16009532062391682</v>
          </cell>
          <cell r="GY24">
            <v>0.31443298969072164</v>
          </cell>
        </row>
        <row r="25">
          <cell r="GX25">
            <v>0.17245422467947943</v>
          </cell>
          <cell r="GY25">
            <v>0.14135760369386108</v>
          </cell>
        </row>
        <row r="26">
          <cell r="GX26">
            <v>0.17701922135561141</v>
          </cell>
          <cell r="GY26">
            <v>0.29457733160467686</v>
          </cell>
        </row>
        <row r="27">
          <cell r="GX27">
            <v>0.23634947198338047</v>
          </cell>
          <cell r="GY27">
            <v>0.38729291825960316</v>
          </cell>
        </row>
        <row r="28">
          <cell r="GX28">
            <v>0.29481500150247664</v>
          </cell>
          <cell r="GY28">
            <v>0.16928094885100073</v>
          </cell>
        </row>
        <row r="29">
          <cell r="GX29">
            <v>0.27728338865062152</v>
          </cell>
          <cell r="GY29">
            <v>0.20843239735784208</v>
          </cell>
        </row>
        <row r="30">
          <cell r="GX30">
            <v>0.28602460290141796</v>
          </cell>
          <cell r="GY30">
            <v>0.23469933324946535</v>
          </cell>
        </row>
        <row r="31">
          <cell r="GX31">
            <v>0.21695550075590472</v>
          </cell>
          <cell r="GY31">
            <v>0.34313607834195398</v>
          </cell>
        </row>
        <row r="32">
          <cell r="GX32">
            <v>0.3030156704340618</v>
          </cell>
          <cell r="GY32">
            <v>0.19309984355253879</v>
          </cell>
        </row>
        <row r="33">
          <cell r="GX33">
            <v>0.1056095370781958</v>
          </cell>
          <cell r="GY33">
            <v>0.37866074051368509</v>
          </cell>
        </row>
        <row r="34">
          <cell r="GX34">
            <v>0.22368880121297097</v>
          </cell>
          <cell r="GY34">
            <v>0.23653260718796312</v>
          </cell>
        </row>
        <row r="35">
          <cell r="GX35">
            <v>0.20140918435105551</v>
          </cell>
          <cell r="GY35">
            <v>0.29397970323050177</v>
          </cell>
        </row>
        <row r="36">
          <cell r="GX36">
            <v>0.13416797709769768</v>
          </cell>
          <cell r="GY36">
            <v>0.50582145337875828</v>
          </cell>
        </row>
        <row r="37">
          <cell r="GX37">
            <v>0.21547050766345782</v>
          </cell>
          <cell r="GY37">
            <v>0.21495043205188727</v>
          </cell>
        </row>
        <row r="38">
          <cell r="GX38">
            <v>0.33318407161159053</v>
          </cell>
          <cell r="GY38">
            <v>0.27943228767327305</v>
          </cell>
        </row>
        <row r="39">
          <cell r="GX39">
            <v>0.27658711037552774</v>
          </cell>
          <cell r="GY39">
            <v>6.1304708885676497E-2</v>
          </cell>
        </row>
        <row r="40">
          <cell r="GX40">
            <v>0.24484188632249285</v>
          </cell>
          <cell r="GY40">
            <v>0.40857137746614913</v>
          </cell>
        </row>
        <row r="41">
          <cell r="GX41">
            <v>0.37856483657306456</v>
          </cell>
          <cell r="GY41">
            <v>0.17591625881521902</v>
          </cell>
        </row>
        <row r="42">
          <cell r="GX42">
            <v>0.21556855525641411</v>
          </cell>
          <cell r="GY42">
            <v>0.20433903273988996</v>
          </cell>
        </row>
        <row r="43">
          <cell r="GX43">
            <v>0.4320875968275828</v>
          </cell>
          <cell r="GY43">
            <v>0.51025480468185536</v>
          </cell>
        </row>
        <row r="44">
          <cell r="GX44">
            <v>0.22469851083324849</v>
          </cell>
          <cell r="GY44">
            <v>0.1990201659507668</v>
          </cell>
        </row>
        <row r="45">
          <cell r="GX45">
            <v>0.28690228690228692</v>
          </cell>
          <cell r="GY45">
            <v>0.30326693227091633</v>
          </cell>
        </row>
        <row r="46">
          <cell r="GX46">
            <v>0.20543230776297056</v>
          </cell>
          <cell r="GY46">
            <v>0.35319906190706279</v>
          </cell>
        </row>
        <row r="47">
          <cell r="GX47">
            <v>0.21831408631147026</v>
          </cell>
          <cell r="GY47">
            <v>0.12371805796433119</v>
          </cell>
        </row>
        <row r="48">
          <cell r="GX48">
            <v>0.29262801091949331</v>
          </cell>
          <cell r="GY48">
            <v>0.20138387699929736</v>
          </cell>
        </row>
        <row r="49">
          <cell r="GX49">
            <v>0.29404918830976046</v>
          </cell>
          <cell r="GY49">
            <v>0.17298171589310829</v>
          </cell>
        </row>
        <row r="50">
          <cell r="GX50">
            <v>0.12108615947414174</v>
          </cell>
          <cell r="GY50">
            <v>0.10717217133601122</v>
          </cell>
        </row>
        <row r="51">
          <cell r="GX51">
            <v>0.32760678928603781</v>
          </cell>
          <cell r="GY51">
            <v>0.40176253586555538</v>
          </cell>
        </row>
        <row r="52">
          <cell r="GX52">
            <v>0.20598680040894246</v>
          </cell>
          <cell r="GY52">
            <v>0.32761047576693497</v>
          </cell>
        </row>
        <row r="53">
          <cell r="GX53">
            <v>0.14197974518131329</v>
          </cell>
          <cell r="GY53">
            <v>7.2607662788572822E-2</v>
          </cell>
        </row>
        <row r="54">
          <cell r="GX54">
            <v>0.33480014753943477</v>
          </cell>
          <cell r="GY54">
            <v>0.40285209774633829</v>
          </cell>
        </row>
        <row r="55">
          <cell r="GX55">
            <v>0.27</v>
          </cell>
          <cell r="GY55">
            <v>0.27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4">
          <cell r="E54">
            <v>6459786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1BDE-90A9-4A1C-83EE-349B01034624}">
  <dimension ref="A1:BI5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A2"/>
    </sheetView>
  </sheetViews>
  <sheetFormatPr defaultColWidth="9.140625" defaultRowHeight="12.75" x14ac:dyDescent="0.2"/>
  <cols>
    <col min="1" max="1" width="27.42578125" style="5" bestFit="1" customWidth="1"/>
    <col min="2" max="2" width="2.7109375" style="5" customWidth="1"/>
    <col min="3" max="3" width="15.42578125" style="5" customWidth="1"/>
    <col min="4" max="4" width="12.7109375" style="5" customWidth="1"/>
    <col min="5" max="5" width="18.85546875" style="5" customWidth="1"/>
    <col min="6" max="6" width="15.7109375" style="5" customWidth="1"/>
    <col min="7" max="7" width="13.7109375" style="5" customWidth="1"/>
    <col min="8" max="8" width="12.7109375" style="5" customWidth="1"/>
    <col min="9" max="11" width="13.7109375" style="5" customWidth="1"/>
    <col min="12" max="12" width="14.7109375" style="5" customWidth="1"/>
    <col min="13" max="13" width="13.7109375" style="5" customWidth="1"/>
    <col min="14" max="14" width="12.7109375" style="5" customWidth="1"/>
    <col min="15" max="15" width="13.7109375" style="5" customWidth="1"/>
    <col min="16" max="16" width="12.7109375" style="5" customWidth="1"/>
    <col min="17" max="17" width="14.7109375" style="5" customWidth="1"/>
    <col min="18" max="29" width="12.7109375" style="5" customWidth="1"/>
    <col min="30" max="30" width="13.5703125" style="5" customWidth="1"/>
    <col min="31" max="60" width="12.7109375" style="5" customWidth="1"/>
    <col min="61" max="61" width="2.7109375" style="5" customWidth="1"/>
    <col min="62" max="16384" width="9.140625" style="5"/>
  </cols>
  <sheetData>
    <row r="1" spans="1:61" ht="21" x14ac:dyDescent="0.35">
      <c r="A1" s="4" t="s">
        <v>196</v>
      </c>
    </row>
    <row r="2" spans="1:61" ht="15.75" x14ac:dyDescent="0.25">
      <c r="A2" s="6" t="s">
        <v>219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</row>
    <row r="3" spans="1:6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</row>
    <row r="4" spans="1:61" s="10" customFormat="1" ht="76.5" x14ac:dyDescent="0.2">
      <c r="A4" s="7" t="s">
        <v>46</v>
      </c>
      <c r="B4" s="8" t="s">
        <v>37</v>
      </c>
      <c r="C4" s="1" t="s">
        <v>45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  <c r="L4" s="1" t="s">
        <v>132</v>
      </c>
      <c r="M4" s="1" t="s">
        <v>133</v>
      </c>
      <c r="N4" s="1" t="s">
        <v>134</v>
      </c>
      <c r="O4" s="1" t="s">
        <v>135</v>
      </c>
      <c r="P4" s="1" t="s">
        <v>136</v>
      </c>
      <c r="Q4" s="1" t="s">
        <v>137</v>
      </c>
      <c r="R4" s="1" t="s">
        <v>138</v>
      </c>
      <c r="S4" s="1" t="s">
        <v>139</v>
      </c>
      <c r="T4" s="1" t="s">
        <v>140</v>
      </c>
      <c r="U4" s="1" t="s">
        <v>141</v>
      </c>
      <c r="V4" s="1" t="s">
        <v>142</v>
      </c>
      <c r="W4" s="1" t="s">
        <v>143</v>
      </c>
      <c r="X4" s="1" t="s">
        <v>144</v>
      </c>
      <c r="Y4" s="1" t="s">
        <v>145</v>
      </c>
      <c r="Z4" s="1" t="s">
        <v>146</v>
      </c>
      <c r="AA4" s="1" t="s">
        <v>147</v>
      </c>
      <c r="AB4" s="1" t="s">
        <v>148</v>
      </c>
      <c r="AC4" s="1" t="s">
        <v>198</v>
      </c>
      <c r="AD4" s="1" t="s">
        <v>149</v>
      </c>
      <c r="AE4" s="1" t="s">
        <v>150</v>
      </c>
      <c r="AF4" s="1" t="s">
        <v>151</v>
      </c>
      <c r="AG4" s="1" t="s">
        <v>152</v>
      </c>
      <c r="AH4" s="1" t="s">
        <v>153</v>
      </c>
      <c r="AI4" s="1" t="s">
        <v>154</v>
      </c>
      <c r="AJ4" s="1" t="s">
        <v>155</v>
      </c>
      <c r="AK4" s="1" t="s">
        <v>156</v>
      </c>
      <c r="AL4" s="1" t="s">
        <v>157</v>
      </c>
      <c r="AM4" s="1" t="s">
        <v>158</v>
      </c>
      <c r="AN4" s="1" t="s">
        <v>159</v>
      </c>
      <c r="AO4" s="1" t="s">
        <v>160</v>
      </c>
      <c r="AP4" s="1" t="s">
        <v>199</v>
      </c>
      <c r="AQ4" s="1" t="s">
        <v>163</v>
      </c>
      <c r="AR4" s="1" t="s">
        <v>164</v>
      </c>
      <c r="AS4" s="1" t="s">
        <v>165</v>
      </c>
      <c r="AT4" s="1" t="s">
        <v>166</v>
      </c>
      <c r="AU4" s="1" t="s">
        <v>200</v>
      </c>
      <c r="AV4" s="1" t="s">
        <v>201</v>
      </c>
      <c r="AW4" s="1" t="s">
        <v>202</v>
      </c>
      <c r="AX4" s="1" t="s">
        <v>203</v>
      </c>
      <c r="AY4" s="1" t="s">
        <v>204</v>
      </c>
      <c r="AZ4" s="1" t="s">
        <v>205</v>
      </c>
      <c r="BA4" s="1" t="s">
        <v>206</v>
      </c>
      <c r="BB4" s="1" t="s">
        <v>207</v>
      </c>
      <c r="BC4" s="1" t="s">
        <v>208</v>
      </c>
      <c r="BD4" s="1" t="s">
        <v>209</v>
      </c>
      <c r="BE4" s="1" t="s">
        <v>210</v>
      </c>
      <c r="BF4" s="1" t="s">
        <v>211</v>
      </c>
      <c r="BG4" s="1" t="s">
        <v>212</v>
      </c>
      <c r="BH4" s="1" t="s">
        <v>213</v>
      </c>
      <c r="BI4" s="8" t="s">
        <v>37</v>
      </c>
    </row>
    <row r="5" spans="1:61" x14ac:dyDescent="0.2">
      <c r="A5" s="11" t="s">
        <v>0</v>
      </c>
      <c r="B5" s="12"/>
      <c r="C5" s="13">
        <v>106118</v>
      </c>
      <c r="D5" s="14">
        <v>0</v>
      </c>
      <c r="E5" s="14">
        <v>715196</v>
      </c>
      <c r="F5" s="14">
        <v>3569714</v>
      </c>
      <c r="G5" s="14">
        <v>0</v>
      </c>
      <c r="H5" s="14">
        <v>0</v>
      </c>
      <c r="I5" s="14">
        <v>0</v>
      </c>
      <c r="J5" s="14">
        <v>15143</v>
      </c>
      <c r="K5" s="14">
        <v>0</v>
      </c>
      <c r="L5" s="14">
        <v>3380852</v>
      </c>
      <c r="M5" s="14">
        <v>470000</v>
      </c>
      <c r="N5" s="14">
        <v>140000</v>
      </c>
      <c r="O5" s="14">
        <v>314000</v>
      </c>
      <c r="P5" s="34">
        <v>18</v>
      </c>
      <c r="Q5" s="34">
        <v>16</v>
      </c>
      <c r="R5" s="34">
        <v>16</v>
      </c>
      <c r="S5" s="34">
        <v>27.4</v>
      </c>
      <c r="T5" s="34">
        <v>2.5</v>
      </c>
      <c r="U5" s="35">
        <v>115623</v>
      </c>
      <c r="V5" s="36">
        <v>130930</v>
      </c>
      <c r="W5" s="36">
        <v>114089</v>
      </c>
      <c r="X5" s="36">
        <v>130930</v>
      </c>
      <c r="Y5" s="36">
        <v>69416</v>
      </c>
      <c r="Z5" s="36">
        <v>116577</v>
      </c>
      <c r="AA5" s="36" t="s">
        <v>110</v>
      </c>
      <c r="AB5" s="36">
        <v>227</v>
      </c>
      <c r="AC5" s="37" t="s">
        <v>110</v>
      </c>
      <c r="AD5" s="36">
        <v>668386</v>
      </c>
      <c r="AE5" s="36">
        <v>213174</v>
      </c>
      <c r="AF5" s="36">
        <v>18</v>
      </c>
      <c r="AG5" s="36">
        <v>42693</v>
      </c>
      <c r="AH5" s="36">
        <v>27137</v>
      </c>
      <c r="AI5" s="36">
        <v>27137</v>
      </c>
      <c r="AJ5" s="13">
        <v>453479</v>
      </c>
      <c r="AK5" s="16"/>
      <c r="AL5" s="13">
        <v>1822</v>
      </c>
      <c r="AM5" s="13">
        <v>1502</v>
      </c>
      <c r="AN5" s="36">
        <v>46032</v>
      </c>
      <c r="AO5" s="36">
        <v>262873</v>
      </c>
      <c r="AP5" s="13">
        <v>155324</v>
      </c>
      <c r="AQ5" s="13">
        <v>36227</v>
      </c>
      <c r="AR5" s="30">
        <v>116066</v>
      </c>
      <c r="AS5" s="30">
        <v>35880</v>
      </c>
      <c r="AT5" s="30">
        <v>11520</v>
      </c>
      <c r="AU5" s="36" t="s">
        <v>110</v>
      </c>
      <c r="AV5" s="36">
        <v>159</v>
      </c>
      <c r="AW5" s="36" t="s">
        <v>110</v>
      </c>
      <c r="AX5" s="36">
        <v>29</v>
      </c>
      <c r="AY5" s="30">
        <v>6</v>
      </c>
      <c r="AZ5" s="30">
        <v>7843</v>
      </c>
      <c r="BA5" s="36">
        <v>9</v>
      </c>
      <c r="BB5" s="36">
        <v>2</v>
      </c>
      <c r="BC5" s="36">
        <v>15</v>
      </c>
      <c r="BD5" s="36">
        <v>12</v>
      </c>
      <c r="BE5" s="38">
        <v>8.5</v>
      </c>
      <c r="BF5" s="38">
        <v>5.5</v>
      </c>
      <c r="BG5" s="30">
        <v>352</v>
      </c>
      <c r="BH5" s="30">
        <v>286</v>
      </c>
      <c r="BI5" s="12"/>
    </row>
    <row r="6" spans="1:61" x14ac:dyDescent="0.2">
      <c r="A6" s="11" t="s">
        <v>4</v>
      </c>
      <c r="B6" s="12"/>
      <c r="C6" s="13">
        <v>178008</v>
      </c>
      <c r="D6" s="2">
        <v>0</v>
      </c>
      <c r="E6" s="14">
        <v>1211509</v>
      </c>
      <c r="F6" s="14">
        <v>10553452</v>
      </c>
      <c r="G6" s="2">
        <v>0</v>
      </c>
      <c r="H6" s="2">
        <v>0</v>
      </c>
      <c r="I6" s="2">
        <v>533993.9</v>
      </c>
      <c r="J6" s="2">
        <v>110104.8</v>
      </c>
      <c r="K6" s="14">
        <v>39633.449999999997</v>
      </c>
      <c r="L6" s="14">
        <v>8747399</v>
      </c>
      <c r="M6" s="2">
        <v>912903.8</v>
      </c>
      <c r="N6" s="2">
        <v>16368.66</v>
      </c>
      <c r="O6" s="14">
        <v>824930.9</v>
      </c>
      <c r="P6" s="34">
        <v>50</v>
      </c>
      <c r="Q6" s="34">
        <v>44</v>
      </c>
      <c r="R6" s="34">
        <v>40</v>
      </c>
      <c r="S6" s="34">
        <v>73.650000000000006</v>
      </c>
      <c r="T6" s="34">
        <v>3.52</v>
      </c>
      <c r="U6" s="35">
        <v>378655</v>
      </c>
      <c r="V6" s="35">
        <v>185183</v>
      </c>
      <c r="W6" s="36">
        <v>359419</v>
      </c>
      <c r="X6" s="36">
        <v>185183</v>
      </c>
      <c r="Y6" s="36">
        <v>148811</v>
      </c>
      <c r="Z6" s="36">
        <v>217203</v>
      </c>
      <c r="AA6" s="36" t="s">
        <v>110</v>
      </c>
      <c r="AB6" s="36">
        <v>28</v>
      </c>
      <c r="AC6" s="37" t="s">
        <v>110</v>
      </c>
      <c r="AD6" s="36">
        <v>1505383</v>
      </c>
      <c r="AE6" s="36">
        <v>600353</v>
      </c>
      <c r="AF6" s="54"/>
      <c r="AG6" s="36">
        <v>78175</v>
      </c>
      <c r="AH6" s="36">
        <v>35581</v>
      </c>
      <c r="AI6" s="36">
        <v>34528</v>
      </c>
      <c r="AJ6" s="13">
        <v>972360</v>
      </c>
      <c r="AK6" s="16"/>
      <c r="AL6" s="13">
        <v>3098</v>
      </c>
      <c r="AM6" s="15">
        <v>2879</v>
      </c>
      <c r="AN6" s="15">
        <v>351462</v>
      </c>
      <c r="AO6" s="15">
        <v>3227464</v>
      </c>
      <c r="AP6" s="16"/>
      <c r="AQ6" s="13">
        <v>38789</v>
      </c>
      <c r="AR6" s="49"/>
      <c r="AS6" s="30">
        <v>38710</v>
      </c>
      <c r="AT6" s="30">
        <v>34126</v>
      </c>
      <c r="AU6" s="36" t="s">
        <v>110</v>
      </c>
      <c r="AV6" s="36">
        <v>281</v>
      </c>
      <c r="AW6" s="36" t="s">
        <v>110</v>
      </c>
      <c r="AX6" s="36">
        <v>44</v>
      </c>
      <c r="AY6" s="30">
        <v>18</v>
      </c>
      <c r="AZ6" s="30">
        <v>37230</v>
      </c>
      <c r="BA6" s="36">
        <v>94</v>
      </c>
      <c r="BB6" s="36">
        <v>81</v>
      </c>
      <c r="BC6" s="36">
        <v>40</v>
      </c>
      <c r="BD6" s="36">
        <v>15</v>
      </c>
      <c r="BE6" s="38">
        <v>8.1</v>
      </c>
      <c r="BF6" s="38">
        <v>16</v>
      </c>
      <c r="BG6" s="30">
        <v>366</v>
      </c>
      <c r="BH6" s="30">
        <v>268</v>
      </c>
      <c r="BI6" s="12"/>
    </row>
    <row r="7" spans="1:61" x14ac:dyDescent="0.2">
      <c r="A7" s="11" t="s">
        <v>1</v>
      </c>
      <c r="B7" s="12"/>
      <c r="C7" s="13">
        <v>198152</v>
      </c>
      <c r="D7" s="2">
        <v>0</v>
      </c>
      <c r="E7" s="14">
        <v>1409632</v>
      </c>
      <c r="F7" s="14">
        <v>8032595</v>
      </c>
      <c r="G7" s="2">
        <v>0</v>
      </c>
      <c r="H7" s="2">
        <v>0</v>
      </c>
      <c r="I7" s="2">
        <v>56000</v>
      </c>
      <c r="J7" s="2">
        <v>157390</v>
      </c>
      <c r="K7" s="14">
        <v>17006</v>
      </c>
      <c r="L7" s="14">
        <v>7637734</v>
      </c>
      <c r="M7" s="2">
        <v>862420</v>
      </c>
      <c r="N7" s="2">
        <v>245590</v>
      </c>
      <c r="O7" s="14">
        <v>301865</v>
      </c>
      <c r="P7" s="34">
        <v>37</v>
      </c>
      <c r="Q7" s="34">
        <v>41</v>
      </c>
      <c r="R7" s="34">
        <v>0</v>
      </c>
      <c r="S7" s="34">
        <v>61.7</v>
      </c>
      <c r="T7" s="34">
        <v>4.2</v>
      </c>
      <c r="U7" s="35">
        <v>168110</v>
      </c>
      <c r="V7" s="35">
        <v>34625</v>
      </c>
      <c r="W7" s="36">
        <v>159718</v>
      </c>
      <c r="X7" s="36">
        <v>34625</v>
      </c>
      <c r="Y7" s="36">
        <v>145608</v>
      </c>
      <c r="Z7" s="36">
        <v>25436</v>
      </c>
      <c r="AA7" s="36" t="s">
        <v>110</v>
      </c>
      <c r="AB7" s="36">
        <v>38</v>
      </c>
      <c r="AC7" s="37" t="s">
        <v>110</v>
      </c>
      <c r="AD7" s="36">
        <v>849486</v>
      </c>
      <c r="AE7" s="36">
        <v>135576</v>
      </c>
      <c r="AF7" s="36">
        <v>2266</v>
      </c>
      <c r="AG7" s="36">
        <v>85208</v>
      </c>
      <c r="AH7" s="36">
        <v>42430</v>
      </c>
      <c r="AI7" s="36">
        <v>18605</v>
      </c>
      <c r="AJ7" s="13">
        <v>825275</v>
      </c>
      <c r="AK7" s="16"/>
      <c r="AL7" s="13">
        <v>544</v>
      </c>
      <c r="AM7" s="15">
        <v>0</v>
      </c>
      <c r="AN7" s="15">
        <v>1526071</v>
      </c>
      <c r="AO7" s="15">
        <v>1306708</v>
      </c>
      <c r="AP7" s="16"/>
      <c r="AQ7" s="13">
        <v>57499</v>
      </c>
      <c r="AR7" s="49"/>
      <c r="AS7" s="30">
        <v>141706</v>
      </c>
      <c r="AT7" s="26">
        <v>93690</v>
      </c>
      <c r="AU7" s="36" t="s">
        <v>110</v>
      </c>
      <c r="AV7" s="36">
        <v>69</v>
      </c>
      <c r="AW7" s="36" t="s">
        <v>110</v>
      </c>
      <c r="AX7" s="36">
        <v>25</v>
      </c>
      <c r="AY7" s="30">
        <v>23</v>
      </c>
      <c r="AZ7" s="30">
        <v>22600</v>
      </c>
      <c r="BA7" s="36">
        <v>7</v>
      </c>
      <c r="BB7" s="36">
        <v>63</v>
      </c>
      <c r="BC7" s="36">
        <v>119</v>
      </c>
      <c r="BD7" s="36">
        <v>30</v>
      </c>
      <c r="BE7" s="28">
        <v>8.6</v>
      </c>
      <c r="BF7" s="38">
        <v>14</v>
      </c>
      <c r="BG7" s="30">
        <v>295</v>
      </c>
      <c r="BH7" s="30">
        <v>301</v>
      </c>
      <c r="BI7" s="12"/>
    </row>
    <row r="8" spans="1:61" x14ac:dyDescent="0.2">
      <c r="A8" s="11" t="s">
        <v>51</v>
      </c>
      <c r="B8" s="12"/>
      <c r="C8" s="13">
        <v>5956</v>
      </c>
      <c r="D8" s="14">
        <v>0</v>
      </c>
      <c r="E8" s="14">
        <v>130830</v>
      </c>
      <c r="F8" s="14">
        <v>158665.81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151260.89000000001</v>
      </c>
      <c r="M8" s="14">
        <v>13262.36</v>
      </c>
      <c r="N8" s="14">
        <v>0</v>
      </c>
      <c r="O8" s="14">
        <v>8219.11</v>
      </c>
      <c r="P8" s="34">
        <v>1</v>
      </c>
      <c r="Q8" s="34">
        <v>1</v>
      </c>
      <c r="R8" s="34">
        <v>1</v>
      </c>
      <c r="S8" s="34">
        <v>1.3</v>
      </c>
      <c r="T8" s="34">
        <v>0.1</v>
      </c>
      <c r="U8" s="35">
        <v>17315</v>
      </c>
      <c r="V8" s="35">
        <v>1605</v>
      </c>
      <c r="W8" s="36">
        <v>17315</v>
      </c>
      <c r="X8" s="36">
        <v>1605</v>
      </c>
      <c r="Y8" s="36">
        <v>3961</v>
      </c>
      <c r="Z8" s="36">
        <v>1063</v>
      </c>
      <c r="AA8" s="36" t="s">
        <v>111</v>
      </c>
      <c r="AB8" s="54"/>
      <c r="AC8" s="37" t="s">
        <v>110</v>
      </c>
      <c r="AD8" s="36">
        <v>7029</v>
      </c>
      <c r="AE8" s="36">
        <v>490</v>
      </c>
      <c r="AF8" s="54"/>
      <c r="AG8" s="36">
        <v>866</v>
      </c>
      <c r="AH8" s="36">
        <v>315</v>
      </c>
      <c r="AI8" s="36">
        <v>315</v>
      </c>
      <c r="AJ8" s="13">
        <v>10682</v>
      </c>
      <c r="AK8" s="13">
        <v>2935</v>
      </c>
      <c r="AL8" s="13">
        <v>0</v>
      </c>
      <c r="AM8" s="15">
        <v>600</v>
      </c>
      <c r="AN8" s="15">
        <v>3714</v>
      </c>
      <c r="AO8" s="15">
        <v>1312</v>
      </c>
      <c r="AP8" s="16"/>
      <c r="AQ8" s="13">
        <v>1596</v>
      </c>
      <c r="AR8" s="49"/>
      <c r="AS8" s="49"/>
      <c r="AT8" s="49"/>
      <c r="AU8" s="36" t="s">
        <v>111</v>
      </c>
      <c r="AV8" s="49"/>
      <c r="AW8" s="49"/>
      <c r="AX8" s="49"/>
      <c r="AY8" s="30">
        <v>0</v>
      </c>
      <c r="AZ8" s="30">
        <v>0</v>
      </c>
      <c r="BA8" s="36">
        <v>6</v>
      </c>
      <c r="BB8" s="36">
        <v>9</v>
      </c>
      <c r="BC8" s="36">
        <v>3</v>
      </c>
      <c r="BD8" s="36">
        <v>0</v>
      </c>
      <c r="BE8" s="28">
        <v>8.6999999999999993</v>
      </c>
      <c r="BF8" s="38">
        <v>1</v>
      </c>
      <c r="BG8" s="30">
        <v>12</v>
      </c>
      <c r="BH8" s="30">
        <v>10</v>
      </c>
      <c r="BI8" s="12"/>
    </row>
    <row r="9" spans="1:61" x14ac:dyDescent="0.2">
      <c r="A9" s="11" t="s">
        <v>2</v>
      </c>
      <c r="B9" s="12"/>
      <c r="C9" s="13">
        <v>38153</v>
      </c>
      <c r="D9" s="14">
        <v>0</v>
      </c>
      <c r="E9" s="14">
        <v>321800</v>
      </c>
      <c r="F9" s="14">
        <v>884713</v>
      </c>
      <c r="G9" s="14">
        <v>0</v>
      </c>
      <c r="H9" s="14">
        <v>0</v>
      </c>
      <c r="I9" s="14">
        <v>0</v>
      </c>
      <c r="J9" s="14">
        <v>15681</v>
      </c>
      <c r="K9" s="14">
        <v>134345</v>
      </c>
      <c r="L9" s="14">
        <v>1121452</v>
      </c>
      <c r="M9" s="14">
        <v>129942</v>
      </c>
      <c r="N9" s="14">
        <v>9228</v>
      </c>
      <c r="O9" s="14">
        <v>72613</v>
      </c>
      <c r="P9" s="34">
        <v>3</v>
      </c>
      <c r="Q9" s="34">
        <v>13</v>
      </c>
      <c r="R9" s="34">
        <v>8</v>
      </c>
      <c r="S9" s="34">
        <v>10.5</v>
      </c>
      <c r="T9" s="34">
        <v>1.5</v>
      </c>
      <c r="U9" s="35">
        <v>113029</v>
      </c>
      <c r="V9" s="35">
        <v>6827</v>
      </c>
      <c r="W9" s="36">
        <v>111719</v>
      </c>
      <c r="X9" s="36">
        <v>6827</v>
      </c>
      <c r="Y9" s="36">
        <v>33548</v>
      </c>
      <c r="Z9" s="36">
        <v>4570</v>
      </c>
      <c r="AA9" s="36" t="s">
        <v>111</v>
      </c>
      <c r="AB9" s="54"/>
      <c r="AC9" s="37" t="s">
        <v>110</v>
      </c>
      <c r="AD9" s="36">
        <v>168600</v>
      </c>
      <c r="AE9" s="36">
        <v>32886</v>
      </c>
      <c r="AF9" s="36">
        <v>171</v>
      </c>
      <c r="AG9" s="36">
        <v>9379</v>
      </c>
      <c r="AH9" s="36">
        <v>4306</v>
      </c>
      <c r="AI9" s="36">
        <v>4306</v>
      </c>
      <c r="AJ9" s="13">
        <v>131075</v>
      </c>
      <c r="AK9" s="16"/>
      <c r="AL9" s="13">
        <v>1199</v>
      </c>
      <c r="AM9" s="13">
        <v>3159</v>
      </c>
      <c r="AN9" s="16"/>
      <c r="AO9" s="13">
        <v>40307</v>
      </c>
      <c r="AP9" s="13">
        <v>7630</v>
      </c>
      <c r="AQ9" s="13">
        <v>25144</v>
      </c>
      <c r="AR9" s="26">
        <v>11310</v>
      </c>
      <c r="AS9" s="49"/>
      <c r="AT9" s="26">
        <v>6043</v>
      </c>
      <c r="AU9" s="36" t="s">
        <v>110</v>
      </c>
      <c r="AV9" s="36">
        <v>92</v>
      </c>
      <c r="AW9" s="36" t="s">
        <v>110</v>
      </c>
      <c r="AX9" s="36">
        <v>55</v>
      </c>
      <c r="AY9" s="30">
        <v>9</v>
      </c>
      <c r="AZ9" s="30">
        <v>1251</v>
      </c>
      <c r="BA9" s="36">
        <v>20</v>
      </c>
      <c r="BB9" s="36">
        <v>50</v>
      </c>
      <c r="BC9" s="36">
        <v>27</v>
      </c>
      <c r="BD9" s="36">
        <v>4</v>
      </c>
      <c r="BE9" s="38">
        <v>9</v>
      </c>
      <c r="BF9" s="38">
        <v>9</v>
      </c>
      <c r="BG9" s="30">
        <v>80</v>
      </c>
      <c r="BH9" s="30">
        <v>50</v>
      </c>
      <c r="BI9" s="12"/>
    </row>
    <row r="10" spans="1:61" x14ac:dyDescent="0.2">
      <c r="A10" s="11" t="s">
        <v>3</v>
      </c>
      <c r="B10" s="12"/>
      <c r="C10" s="13">
        <v>239369</v>
      </c>
      <c r="D10" s="14">
        <v>8715</v>
      </c>
      <c r="E10" s="14">
        <v>2128552</v>
      </c>
      <c r="F10" s="14">
        <v>4486497</v>
      </c>
      <c r="G10" s="14">
        <v>0</v>
      </c>
      <c r="H10" s="14">
        <v>280261</v>
      </c>
      <c r="I10" s="14">
        <v>359289</v>
      </c>
      <c r="J10" s="14">
        <v>165706</v>
      </c>
      <c r="K10" s="14">
        <v>42878</v>
      </c>
      <c r="L10" s="14">
        <v>6472862</v>
      </c>
      <c r="M10" s="14">
        <v>890617</v>
      </c>
      <c r="N10" s="14">
        <v>260647</v>
      </c>
      <c r="O10" s="14">
        <v>297937</v>
      </c>
      <c r="P10" s="34">
        <v>23</v>
      </c>
      <c r="Q10" s="34">
        <v>97</v>
      </c>
      <c r="R10" s="34">
        <v>43</v>
      </c>
      <c r="S10" s="34">
        <v>63.6</v>
      </c>
      <c r="T10" s="34">
        <v>3.3</v>
      </c>
      <c r="U10" s="35">
        <v>270872</v>
      </c>
      <c r="V10" s="35">
        <v>55884</v>
      </c>
      <c r="W10" s="36">
        <v>256812</v>
      </c>
      <c r="X10" s="36">
        <v>55884</v>
      </c>
      <c r="Y10" s="36">
        <v>168979</v>
      </c>
      <c r="Z10" s="36">
        <v>32041</v>
      </c>
      <c r="AA10" s="36" t="s">
        <v>110</v>
      </c>
      <c r="AB10" s="36">
        <v>74</v>
      </c>
      <c r="AC10" s="37" t="s">
        <v>110</v>
      </c>
      <c r="AD10" s="36">
        <v>991009</v>
      </c>
      <c r="AE10" s="36">
        <v>239944</v>
      </c>
      <c r="AF10" s="36">
        <v>20</v>
      </c>
      <c r="AG10" s="36">
        <v>50531</v>
      </c>
      <c r="AH10" s="36">
        <v>23456</v>
      </c>
      <c r="AI10" s="36">
        <v>23456</v>
      </c>
      <c r="AJ10" s="13">
        <v>578462</v>
      </c>
      <c r="AK10" s="13">
        <v>7774</v>
      </c>
      <c r="AL10" s="13">
        <v>1691</v>
      </c>
      <c r="AM10" s="13">
        <v>7550</v>
      </c>
      <c r="AN10" s="55"/>
      <c r="AO10" s="15">
        <v>660907</v>
      </c>
      <c r="AP10" s="13">
        <v>132324</v>
      </c>
      <c r="AQ10" s="13">
        <v>70330</v>
      </c>
      <c r="AR10" s="49"/>
      <c r="AS10" s="26">
        <v>28014</v>
      </c>
      <c r="AT10" s="26">
        <v>26211</v>
      </c>
      <c r="AU10" s="36" t="s">
        <v>110</v>
      </c>
      <c r="AV10" s="36">
        <v>498</v>
      </c>
      <c r="AW10" s="36" t="s">
        <v>110</v>
      </c>
      <c r="AX10" s="36">
        <v>6</v>
      </c>
      <c r="AY10" s="30">
        <v>21</v>
      </c>
      <c r="AZ10" s="30">
        <v>7334</v>
      </c>
      <c r="BA10" s="36">
        <v>168</v>
      </c>
      <c r="BB10" s="36">
        <v>210</v>
      </c>
      <c r="BC10" s="36">
        <v>100</v>
      </c>
      <c r="BD10" s="36">
        <v>13</v>
      </c>
      <c r="BE10" s="38">
        <v>7.4</v>
      </c>
      <c r="BF10" s="38">
        <v>37</v>
      </c>
      <c r="BG10" s="30">
        <v>431</v>
      </c>
      <c r="BH10" s="30">
        <v>333</v>
      </c>
      <c r="BI10" s="12"/>
    </row>
    <row r="11" spans="1:61" x14ac:dyDescent="0.2">
      <c r="A11" s="11" t="s">
        <v>193</v>
      </c>
      <c r="B11" s="12"/>
      <c r="C11" s="13">
        <v>405415</v>
      </c>
      <c r="D11" s="14">
        <v>5148.1499999999996</v>
      </c>
      <c r="E11" s="14">
        <v>2175404</v>
      </c>
      <c r="F11" s="14">
        <v>6791027.0099999998</v>
      </c>
      <c r="G11" s="14">
        <v>0</v>
      </c>
      <c r="H11" s="14">
        <v>0</v>
      </c>
      <c r="I11" s="14">
        <v>282805.53000000003</v>
      </c>
      <c r="J11" s="14">
        <v>87134.46</v>
      </c>
      <c r="K11" s="14">
        <v>233931.85</v>
      </c>
      <c r="L11" s="14">
        <v>6720909</v>
      </c>
      <c r="M11" s="14">
        <v>992413.73</v>
      </c>
      <c r="N11" s="14">
        <v>151885.68</v>
      </c>
      <c r="O11" s="14">
        <v>311963.90000000002</v>
      </c>
      <c r="P11" s="34">
        <v>21</v>
      </c>
      <c r="Q11" s="34">
        <v>82</v>
      </c>
      <c r="R11" s="34">
        <v>11</v>
      </c>
      <c r="S11" s="34">
        <v>57.5</v>
      </c>
      <c r="T11" s="34">
        <v>1.68</v>
      </c>
      <c r="U11" s="35">
        <v>223063</v>
      </c>
      <c r="V11" s="35">
        <v>41459</v>
      </c>
      <c r="W11" s="36">
        <v>222542</v>
      </c>
      <c r="X11" s="36">
        <v>41459</v>
      </c>
      <c r="Y11" s="36">
        <v>146800</v>
      </c>
      <c r="Z11" s="36">
        <v>41459</v>
      </c>
      <c r="AA11" s="36" t="s">
        <v>110</v>
      </c>
      <c r="AB11" s="36">
        <v>183</v>
      </c>
      <c r="AC11" s="37" t="s">
        <v>110</v>
      </c>
      <c r="AD11" s="36">
        <v>1249428</v>
      </c>
      <c r="AE11" s="36">
        <v>1081314</v>
      </c>
      <c r="AF11" s="36">
        <v>32</v>
      </c>
      <c r="AG11" s="36">
        <v>97123</v>
      </c>
      <c r="AH11" s="36">
        <v>62303</v>
      </c>
      <c r="AI11" s="36">
        <v>28462</v>
      </c>
      <c r="AJ11" s="13">
        <v>776322</v>
      </c>
      <c r="AK11" s="16"/>
      <c r="AL11" s="13">
        <v>1171</v>
      </c>
      <c r="AM11" s="15">
        <v>10510</v>
      </c>
      <c r="AN11" s="15">
        <v>457503</v>
      </c>
      <c r="AO11" s="15">
        <v>145170</v>
      </c>
      <c r="AP11" s="15">
        <v>235802</v>
      </c>
      <c r="AQ11" s="13">
        <v>72038</v>
      </c>
      <c r="AR11" s="49"/>
      <c r="AS11" s="30">
        <v>50893</v>
      </c>
      <c r="AT11" s="30">
        <v>47319</v>
      </c>
      <c r="AU11" s="36" t="s">
        <v>110</v>
      </c>
      <c r="AV11" s="36">
        <v>160</v>
      </c>
      <c r="AW11" s="36" t="s">
        <v>110</v>
      </c>
      <c r="AX11" s="36">
        <v>8</v>
      </c>
      <c r="AY11" s="30">
        <v>3</v>
      </c>
      <c r="AZ11" s="30">
        <v>1598</v>
      </c>
      <c r="BA11" s="36">
        <v>55</v>
      </c>
      <c r="BB11" s="36">
        <v>55</v>
      </c>
      <c r="BC11" s="36">
        <v>70</v>
      </c>
      <c r="BD11" s="36">
        <v>24</v>
      </c>
      <c r="BE11" s="28">
        <v>8.8000000000000007</v>
      </c>
      <c r="BF11" s="38">
        <v>16.25</v>
      </c>
      <c r="BG11" s="30">
        <v>432</v>
      </c>
      <c r="BH11" s="30">
        <v>337</v>
      </c>
      <c r="BI11" s="12"/>
    </row>
    <row r="12" spans="1:61" x14ac:dyDescent="0.2">
      <c r="A12" s="11" t="s">
        <v>74</v>
      </c>
      <c r="B12" s="12"/>
      <c r="C12" s="13">
        <v>33563</v>
      </c>
      <c r="D12" s="14">
        <v>10000</v>
      </c>
      <c r="E12" s="14">
        <v>370288</v>
      </c>
      <c r="F12" s="14">
        <v>1166840.95</v>
      </c>
      <c r="G12" s="2">
        <v>0</v>
      </c>
      <c r="H12" s="14">
        <v>0</v>
      </c>
      <c r="I12" s="2">
        <v>61124.08</v>
      </c>
      <c r="J12" s="14">
        <v>6515.4500000000007</v>
      </c>
      <c r="K12" s="14">
        <v>0</v>
      </c>
      <c r="L12" s="14">
        <v>750621</v>
      </c>
      <c r="M12" s="2">
        <v>121508</v>
      </c>
      <c r="N12" s="2">
        <v>29002.739999999998</v>
      </c>
      <c r="O12" s="14">
        <v>73605</v>
      </c>
      <c r="P12" s="34">
        <v>2</v>
      </c>
      <c r="Q12" s="34">
        <v>14</v>
      </c>
      <c r="R12" s="34">
        <v>11</v>
      </c>
      <c r="S12" s="34">
        <v>7.5404999999999998</v>
      </c>
      <c r="T12" s="34">
        <v>0.86</v>
      </c>
      <c r="U12" s="35">
        <v>57913</v>
      </c>
      <c r="V12" s="35">
        <v>17046</v>
      </c>
      <c r="W12" s="36">
        <v>57913</v>
      </c>
      <c r="X12" s="36">
        <v>17046</v>
      </c>
      <c r="Y12" s="36">
        <v>27711</v>
      </c>
      <c r="Z12" s="36">
        <v>16920</v>
      </c>
      <c r="AA12" s="36" t="s">
        <v>111</v>
      </c>
      <c r="AB12" s="54"/>
      <c r="AC12" s="37" t="s">
        <v>110</v>
      </c>
      <c r="AD12" s="36">
        <v>88404</v>
      </c>
      <c r="AE12" s="36">
        <v>113924</v>
      </c>
      <c r="AF12" s="54"/>
      <c r="AG12" s="36">
        <v>6125</v>
      </c>
      <c r="AH12" s="36">
        <v>2724</v>
      </c>
      <c r="AI12" s="36">
        <v>2724</v>
      </c>
      <c r="AJ12" s="13">
        <v>62639</v>
      </c>
      <c r="AK12" s="16"/>
      <c r="AL12" s="13">
        <v>301</v>
      </c>
      <c r="AM12" s="15">
        <v>33</v>
      </c>
      <c r="AN12" s="13">
        <v>24054</v>
      </c>
      <c r="AO12" s="13">
        <v>111296</v>
      </c>
      <c r="AP12" s="16"/>
      <c r="AQ12" s="13">
        <v>8104</v>
      </c>
      <c r="AR12" s="30">
        <v>8024</v>
      </c>
      <c r="AS12" s="30">
        <v>972</v>
      </c>
      <c r="AT12" s="30">
        <v>1221</v>
      </c>
      <c r="AU12" s="36" t="s">
        <v>111</v>
      </c>
      <c r="AV12" s="46"/>
      <c r="AW12" s="36" t="s">
        <v>111</v>
      </c>
      <c r="AX12" s="36" t="s">
        <v>44</v>
      </c>
      <c r="AY12" s="30">
        <v>1</v>
      </c>
      <c r="AZ12" s="30">
        <v>0</v>
      </c>
      <c r="BA12" s="36">
        <v>5</v>
      </c>
      <c r="BB12" s="36">
        <v>17</v>
      </c>
      <c r="BC12" s="36">
        <v>14</v>
      </c>
      <c r="BD12" s="36">
        <v>8</v>
      </c>
      <c r="BE12" s="49"/>
      <c r="BF12" s="38">
        <v>7</v>
      </c>
      <c r="BG12" s="30">
        <v>50</v>
      </c>
      <c r="BH12" s="30">
        <v>37</v>
      </c>
      <c r="BI12" s="12"/>
    </row>
    <row r="13" spans="1:61" x14ac:dyDescent="0.2">
      <c r="A13" s="11" t="s">
        <v>5</v>
      </c>
      <c r="B13" s="12"/>
      <c r="C13" s="13">
        <v>159963</v>
      </c>
      <c r="D13" s="14">
        <v>0</v>
      </c>
      <c r="E13" s="14">
        <v>1088883</v>
      </c>
      <c r="F13" s="14">
        <v>5672922</v>
      </c>
      <c r="G13" s="14">
        <v>0</v>
      </c>
      <c r="H13" s="14">
        <v>0</v>
      </c>
      <c r="I13" s="14">
        <v>111198</v>
      </c>
      <c r="J13" s="14">
        <v>119495</v>
      </c>
      <c r="K13" s="14">
        <v>0</v>
      </c>
      <c r="L13" s="14">
        <v>5103426</v>
      </c>
      <c r="M13" s="14">
        <v>481740.7</v>
      </c>
      <c r="N13" s="14">
        <v>150464</v>
      </c>
      <c r="O13" s="14">
        <v>317639.77</v>
      </c>
      <c r="P13" s="34">
        <v>34</v>
      </c>
      <c r="Q13" s="34">
        <v>19</v>
      </c>
      <c r="R13" s="34">
        <v>22</v>
      </c>
      <c r="S13" s="34">
        <v>43.6</v>
      </c>
      <c r="T13" s="34">
        <v>1</v>
      </c>
      <c r="U13" s="35">
        <v>148564</v>
      </c>
      <c r="V13" s="35">
        <v>35367</v>
      </c>
      <c r="W13" s="36">
        <v>147533</v>
      </c>
      <c r="X13" s="36">
        <v>38910</v>
      </c>
      <c r="Y13" s="36">
        <v>65941</v>
      </c>
      <c r="Z13" s="36">
        <v>31534</v>
      </c>
      <c r="AA13" s="36" t="s">
        <v>110</v>
      </c>
      <c r="AB13" s="36">
        <v>21</v>
      </c>
      <c r="AC13" s="37" t="s">
        <v>110</v>
      </c>
      <c r="AD13" s="36">
        <v>822482</v>
      </c>
      <c r="AE13" s="36">
        <v>292808</v>
      </c>
      <c r="AF13" s="36">
        <v>7953</v>
      </c>
      <c r="AG13" s="36">
        <v>61434</v>
      </c>
      <c r="AH13" s="36">
        <v>40903</v>
      </c>
      <c r="AI13" s="36">
        <v>24770</v>
      </c>
      <c r="AJ13" s="13">
        <v>546384</v>
      </c>
      <c r="AK13" s="16"/>
      <c r="AL13" s="13">
        <v>507</v>
      </c>
      <c r="AM13" s="13">
        <v>2270</v>
      </c>
      <c r="AN13" s="15">
        <v>424454</v>
      </c>
      <c r="AO13" s="15">
        <v>155729</v>
      </c>
      <c r="AP13" s="13">
        <v>249693</v>
      </c>
      <c r="AQ13" s="13">
        <v>35031</v>
      </c>
      <c r="AR13" s="26">
        <v>410155</v>
      </c>
      <c r="AS13" s="26">
        <v>43125</v>
      </c>
      <c r="AT13" s="26">
        <v>33652</v>
      </c>
      <c r="AU13" s="36" t="s">
        <v>110</v>
      </c>
      <c r="AV13" s="36">
        <v>87</v>
      </c>
      <c r="AW13" s="36" t="s">
        <v>111</v>
      </c>
      <c r="AX13" s="36">
        <v>0</v>
      </c>
      <c r="AY13" s="30">
        <v>2</v>
      </c>
      <c r="AZ13" s="30">
        <v>2009</v>
      </c>
      <c r="BA13" s="36">
        <v>32</v>
      </c>
      <c r="BB13" s="36">
        <v>80</v>
      </c>
      <c r="BC13" s="36">
        <v>73</v>
      </c>
      <c r="BD13" s="36">
        <v>16</v>
      </c>
      <c r="BE13" s="28">
        <v>8.6</v>
      </c>
      <c r="BF13" s="38">
        <v>9</v>
      </c>
      <c r="BG13" s="30">
        <v>360</v>
      </c>
      <c r="BH13" s="30">
        <v>333</v>
      </c>
      <c r="BI13" s="12"/>
    </row>
    <row r="14" spans="1:61" x14ac:dyDescent="0.2">
      <c r="A14" s="11" t="s">
        <v>6</v>
      </c>
      <c r="B14" s="12"/>
      <c r="C14" s="13">
        <v>49422</v>
      </c>
      <c r="D14" s="14">
        <v>0</v>
      </c>
      <c r="E14" s="14">
        <v>382982</v>
      </c>
      <c r="F14" s="2">
        <v>2094673</v>
      </c>
      <c r="G14" s="14">
        <v>0</v>
      </c>
      <c r="H14" s="14">
        <v>63129</v>
      </c>
      <c r="I14" s="14">
        <v>0</v>
      </c>
      <c r="J14" s="14">
        <v>49700</v>
      </c>
      <c r="K14" s="14">
        <v>18680</v>
      </c>
      <c r="L14" s="14">
        <v>1658350</v>
      </c>
      <c r="M14" s="14">
        <v>207301</v>
      </c>
      <c r="N14" s="14">
        <v>0</v>
      </c>
      <c r="O14" s="14">
        <v>56609</v>
      </c>
      <c r="P14" s="34">
        <v>5</v>
      </c>
      <c r="Q14" s="34">
        <v>26</v>
      </c>
      <c r="R14" s="34">
        <v>13</v>
      </c>
      <c r="S14" s="34">
        <v>16.899999999999999</v>
      </c>
      <c r="T14" s="34">
        <v>3.3</v>
      </c>
      <c r="U14" s="35">
        <v>69389</v>
      </c>
      <c r="V14" s="35">
        <v>14551</v>
      </c>
      <c r="W14" s="36">
        <v>65966</v>
      </c>
      <c r="X14" s="36">
        <v>14551</v>
      </c>
      <c r="Y14" s="36">
        <v>35868</v>
      </c>
      <c r="Z14" s="36">
        <v>3194</v>
      </c>
      <c r="AA14" s="36" t="s">
        <v>110</v>
      </c>
      <c r="AB14" s="36">
        <v>377</v>
      </c>
      <c r="AC14" s="37" t="s">
        <v>214</v>
      </c>
      <c r="AD14" s="36">
        <v>231461</v>
      </c>
      <c r="AE14" s="36">
        <v>73491</v>
      </c>
      <c r="AF14" s="54"/>
      <c r="AG14" s="36">
        <v>14309</v>
      </c>
      <c r="AH14" s="36">
        <v>5989</v>
      </c>
      <c r="AI14" s="36">
        <v>5989</v>
      </c>
      <c r="AJ14" s="13">
        <v>245974</v>
      </c>
      <c r="AK14" s="13">
        <v>5031</v>
      </c>
      <c r="AL14" s="13">
        <v>0</v>
      </c>
      <c r="AM14" s="15" t="s">
        <v>215</v>
      </c>
      <c r="AN14" s="15">
        <v>29581</v>
      </c>
      <c r="AO14" s="15">
        <v>29098</v>
      </c>
      <c r="AP14" s="16"/>
      <c r="AQ14" s="13">
        <v>14412</v>
      </c>
      <c r="AR14" s="30">
        <v>118980</v>
      </c>
      <c r="AS14" s="26">
        <v>12648</v>
      </c>
      <c r="AT14" s="30">
        <v>8805</v>
      </c>
      <c r="AU14" s="36" t="s">
        <v>110</v>
      </c>
      <c r="AV14" s="36">
        <v>10</v>
      </c>
      <c r="AW14" s="36" t="s">
        <v>110</v>
      </c>
      <c r="AX14" s="36">
        <v>12</v>
      </c>
      <c r="AY14" s="30">
        <v>11</v>
      </c>
      <c r="AZ14" s="30">
        <v>2170</v>
      </c>
      <c r="BA14" s="36">
        <v>31</v>
      </c>
      <c r="BB14" s="36">
        <v>45</v>
      </c>
      <c r="BC14" s="36">
        <v>71</v>
      </c>
      <c r="BD14" s="36">
        <v>7</v>
      </c>
      <c r="BE14" s="28">
        <v>7.5</v>
      </c>
      <c r="BF14" s="38">
        <v>10</v>
      </c>
      <c r="BG14" s="30">
        <v>99</v>
      </c>
      <c r="BH14" s="30">
        <v>67</v>
      </c>
      <c r="BI14" s="12"/>
    </row>
    <row r="15" spans="1:61" x14ac:dyDescent="0.2">
      <c r="A15" s="11" t="s">
        <v>7</v>
      </c>
      <c r="B15" s="12"/>
      <c r="C15" s="13">
        <v>144615</v>
      </c>
      <c r="D15" s="14">
        <v>0</v>
      </c>
      <c r="E15" s="14">
        <v>971651</v>
      </c>
      <c r="F15" s="14">
        <v>3350138</v>
      </c>
      <c r="G15" s="14">
        <v>0</v>
      </c>
      <c r="H15" s="14">
        <v>0</v>
      </c>
      <c r="I15" s="14">
        <v>75000</v>
      </c>
      <c r="J15" s="14">
        <v>85216</v>
      </c>
      <c r="K15" s="14">
        <v>1000</v>
      </c>
      <c r="L15" s="14">
        <v>3592396</v>
      </c>
      <c r="M15" s="14">
        <v>369902</v>
      </c>
      <c r="N15" s="14">
        <v>85718</v>
      </c>
      <c r="O15" s="14">
        <v>377889</v>
      </c>
      <c r="P15" s="34">
        <v>10</v>
      </c>
      <c r="Q15" s="34">
        <v>33</v>
      </c>
      <c r="R15" s="34">
        <v>14</v>
      </c>
      <c r="S15" s="34">
        <v>30.95</v>
      </c>
      <c r="T15" s="34">
        <v>0.3</v>
      </c>
      <c r="U15" s="39">
        <v>128208</v>
      </c>
      <c r="V15" s="35">
        <v>23783</v>
      </c>
      <c r="W15" s="36">
        <v>128208</v>
      </c>
      <c r="X15" s="36">
        <v>23783</v>
      </c>
      <c r="Y15" s="36">
        <v>64336</v>
      </c>
      <c r="Z15" s="36">
        <v>23783</v>
      </c>
      <c r="AA15" s="36" t="s">
        <v>110</v>
      </c>
      <c r="AB15" s="36">
        <v>83</v>
      </c>
      <c r="AC15" s="37" t="s">
        <v>110</v>
      </c>
      <c r="AD15" s="36">
        <v>684855</v>
      </c>
      <c r="AE15" s="36">
        <v>193578</v>
      </c>
      <c r="AF15" s="36">
        <v>22</v>
      </c>
      <c r="AG15" s="36">
        <v>49901</v>
      </c>
      <c r="AH15" s="36">
        <v>19583</v>
      </c>
      <c r="AI15" s="36">
        <v>19583</v>
      </c>
      <c r="AJ15" s="13">
        <v>259023</v>
      </c>
      <c r="AK15" s="16"/>
      <c r="AL15" s="13">
        <v>1206</v>
      </c>
      <c r="AM15" s="15">
        <v>4718</v>
      </c>
      <c r="AN15" s="17">
        <v>201451</v>
      </c>
      <c r="AO15" s="17">
        <v>108150</v>
      </c>
      <c r="AP15" s="13">
        <v>62377</v>
      </c>
      <c r="AQ15" s="13">
        <v>47835</v>
      </c>
      <c r="AR15" s="30">
        <v>10164</v>
      </c>
      <c r="AS15" s="30">
        <v>4519</v>
      </c>
      <c r="AT15" s="30">
        <v>23224</v>
      </c>
      <c r="AU15" s="36" t="s">
        <v>110</v>
      </c>
      <c r="AV15" s="36">
        <v>118</v>
      </c>
      <c r="AW15" s="36" t="s">
        <v>110</v>
      </c>
      <c r="AX15" s="36">
        <v>15</v>
      </c>
      <c r="AY15" s="30">
        <v>2</v>
      </c>
      <c r="AZ15" s="30">
        <v>1294.5</v>
      </c>
      <c r="BA15" s="36">
        <v>45</v>
      </c>
      <c r="BB15" s="36">
        <v>128</v>
      </c>
      <c r="BC15" s="36">
        <v>44</v>
      </c>
      <c r="BD15" s="36">
        <v>4</v>
      </c>
      <c r="BE15" s="38">
        <v>8.6</v>
      </c>
      <c r="BF15" s="38">
        <v>9</v>
      </c>
      <c r="BG15" s="30">
        <v>361</v>
      </c>
      <c r="BH15" s="30">
        <v>304</v>
      </c>
      <c r="BI15" s="12"/>
    </row>
    <row r="16" spans="1:61" x14ac:dyDescent="0.2">
      <c r="A16" s="11" t="s">
        <v>8</v>
      </c>
      <c r="B16" s="12"/>
      <c r="C16" s="13">
        <v>10404</v>
      </c>
      <c r="D16" s="14">
        <v>0</v>
      </c>
      <c r="E16" s="14">
        <v>146421</v>
      </c>
      <c r="F16" s="14">
        <v>619387</v>
      </c>
      <c r="G16" s="14">
        <v>0</v>
      </c>
      <c r="H16" s="14">
        <v>0</v>
      </c>
      <c r="I16" s="14">
        <v>5985</v>
      </c>
      <c r="J16" s="14">
        <v>5543</v>
      </c>
      <c r="K16" s="14">
        <v>0</v>
      </c>
      <c r="L16" s="14">
        <v>470446</v>
      </c>
      <c r="M16" s="14">
        <v>58876</v>
      </c>
      <c r="N16" s="14">
        <v>0</v>
      </c>
      <c r="O16" s="14">
        <v>37689</v>
      </c>
      <c r="P16" s="34">
        <v>3</v>
      </c>
      <c r="Q16" s="34">
        <v>3</v>
      </c>
      <c r="R16" s="34">
        <v>3</v>
      </c>
      <c r="S16" s="34">
        <v>4.5</v>
      </c>
      <c r="T16" s="34">
        <v>0.2</v>
      </c>
      <c r="U16" s="35">
        <v>30920</v>
      </c>
      <c r="V16" s="35">
        <v>3464</v>
      </c>
      <c r="W16" s="36">
        <v>30142</v>
      </c>
      <c r="X16" s="36">
        <v>3464</v>
      </c>
      <c r="Y16" s="36">
        <v>9722</v>
      </c>
      <c r="Z16" s="36">
        <v>2508</v>
      </c>
      <c r="AA16" s="36" t="s">
        <v>110</v>
      </c>
      <c r="AB16" s="36">
        <v>11</v>
      </c>
      <c r="AC16" s="37" t="s">
        <v>110</v>
      </c>
      <c r="AD16" s="36">
        <v>41055</v>
      </c>
      <c r="AE16" s="36">
        <v>9340</v>
      </c>
      <c r="AF16" s="54"/>
      <c r="AG16" s="36">
        <v>2348</v>
      </c>
      <c r="AH16" s="36">
        <v>1093</v>
      </c>
      <c r="AI16" s="36">
        <v>1334</v>
      </c>
      <c r="AJ16" s="13">
        <v>54232</v>
      </c>
      <c r="AK16" s="16"/>
      <c r="AL16" s="13">
        <v>182</v>
      </c>
      <c r="AM16" s="13">
        <v>805</v>
      </c>
      <c r="AN16" s="13">
        <v>5849</v>
      </c>
      <c r="AO16" s="13">
        <v>7627</v>
      </c>
      <c r="AP16" s="13">
        <v>2749</v>
      </c>
      <c r="AQ16" s="13">
        <v>3288</v>
      </c>
      <c r="AR16" s="49"/>
      <c r="AS16" s="26">
        <v>776</v>
      </c>
      <c r="AT16" s="49"/>
      <c r="AU16" s="36" t="s">
        <v>110</v>
      </c>
      <c r="AV16" s="36">
        <v>21</v>
      </c>
      <c r="AW16" s="36" t="s">
        <v>111</v>
      </c>
      <c r="AX16" s="36">
        <v>0</v>
      </c>
      <c r="AY16" s="30">
        <v>1</v>
      </c>
      <c r="AZ16" s="30">
        <v>402</v>
      </c>
      <c r="BA16" s="36">
        <v>1</v>
      </c>
      <c r="BB16" s="36">
        <v>21</v>
      </c>
      <c r="BC16" s="36">
        <v>10</v>
      </c>
      <c r="BD16" s="36">
        <v>1</v>
      </c>
      <c r="BE16" s="38">
        <v>7</v>
      </c>
      <c r="BF16" s="38">
        <v>0.97599999999999998</v>
      </c>
      <c r="BG16" s="30">
        <v>21.71</v>
      </c>
      <c r="BH16" s="30">
        <v>10.86</v>
      </c>
      <c r="BI16" s="12"/>
    </row>
    <row r="17" spans="1:61" x14ac:dyDescent="0.2">
      <c r="A17" s="11" t="s">
        <v>52</v>
      </c>
      <c r="B17" s="12"/>
      <c r="C17" s="13">
        <v>381432</v>
      </c>
      <c r="D17" s="14">
        <v>0</v>
      </c>
      <c r="E17" s="14">
        <v>2388155</v>
      </c>
      <c r="F17" s="14">
        <v>17756784.289999999</v>
      </c>
      <c r="G17" s="2">
        <v>0</v>
      </c>
      <c r="H17" s="14">
        <v>56417</v>
      </c>
      <c r="I17" s="14">
        <v>407323.70999999996</v>
      </c>
      <c r="J17" s="14">
        <v>411619</v>
      </c>
      <c r="K17" s="14">
        <v>514528</v>
      </c>
      <c r="L17" s="14">
        <v>14258793</v>
      </c>
      <c r="M17" s="14">
        <v>1463993</v>
      </c>
      <c r="N17" s="14">
        <v>392395.75</v>
      </c>
      <c r="O17" s="14">
        <v>373499.92</v>
      </c>
      <c r="P17" s="34">
        <v>67</v>
      </c>
      <c r="Q17" s="34">
        <v>100</v>
      </c>
      <c r="R17" s="34">
        <v>53</v>
      </c>
      <c r="S17" s="34">
        <v>130.5</v>
      </c>
      <c r="T17" s="34">
        <v>0</v>
      </c>
      <c r="U17" s="35">
        <v>396859</v>
      </c>
      <c r="V17" s="35">
        <v>37923</v>
      </c>
      <c r="W17" s="36">
        <v>396859</v>
      </c>
      <c r="X17" s="36">
        <v>37923</v>
      </c>
      <c r="Y17" s="36">
        <v>267882</v>
      </c>
      <c r="Z17" s="36">
        <v>37923</v>
      </c>
      <c r="AA17" s="36" t="s">
        <v>110</v>
      </c>
      <c r="AB17" s="36">
        <v>67</v>
      </c>
      <c r="AC17" s="37" t="s">
        <v>110</v>
      </c>
      <c r="AD17" s="36">
        <v>2427426</v>
      </c>
      <c r="AE17" s="36">
        <v>516028</v>
      </c>
      <c r="AF17" s="36">
        <v>12008</v>
      </c>
      <c r="AG17" s="36">
        <v>114894</v>
      </c>
      <c r="AH17" s="36">
        <v>80756</v>
      </c>
      <c r="AI17" s="36">
        <v>59736</v>
      </c>
      <c r="AJ17" s="13">
        <v>1457189</v>
      </c>
      <c r="AK17" s="13">
        <v>16253</v>
      </c>
      <c r="AL17" s="13">
        <v>1560</v>
      </c>
      <c r="AM17" s="15">
        <v>10808</v>
      </c>
      <c r="AN17" s="15">
        <v>785010</v>
      </c>
      <c r="AO17" s="15">
        <v>998602</v>
      </c>
      <c r="AP17" s="15">
        <v>412413</v>
      </c>
      <c r="AQ17" s="13">
        <v>160657</v>
      </c>
      <c r="AR17" s="30">
        <v>208060</v>
      </c>
      <c r="AS17" s="26">
        <v>75874</v>
      </c>
      <c r="AT17" s="26">
        <v>91195</v>
      </c>
      <c r="AU17" s="36" t="s">
        <v>110</v>
      </c>
      <c r="AV17" s="36">
        <v>182</v>
      </c>
      <c r="AW17" s="36" t="s">
        <v>110</v>
      </c>
      <c r="AX17" s="36">
        <v>52</v>
      </c>
      <c r="AY17" s="30">
        <v>35</v>
      </c>
      <c r="AZ17" s="30">
        <v>6768.48</v>
      </c>
      <c r="BA17" s="36">
        <v>248</v>
      </c>
      <c r="BB17" s="36">
        <v>166</v>
      </c>
      <c r="BC17" s="36">
        <v>319</v>
      </c>
      <c r="BD17" s="36">
        <v>41</v>
      </c>
      <c r="BE17" s="38">
        <v>9.3000000000000007</v>
      </c>
      <c r="BF17" s="38">
        <v>31.09</v>
      </c>
      <c r="BG17" s="30">
        <v>993.75</v>
      </c>
      <c r="BH17" s="30">
        <v>852.38</v>
      </c>
      <c r="BI17" s="12"/>
    </row>
    <row r="18" spans="1:61" x14ac:dyDescent="0.2">
      <c r="A18" s="11" t="s">
        <v>9</v>
      </c>
      <c r="B18" s="12"/>
      <c r="C18" s="13">
        <v>161057</v>
      </c>
      <c r="D18" s="14">
        <v>0</v>
      </c>
      <c r="E18" s="14">
        <v>1038986</v>
      </c>
      <c r="F18" s="14">
        <v>4367607</v>
      </c>
      <c r="G18" s="14">
        <v>0</v>
      </c>
      <c r="H18" s="14">
        <v>0</v>
      </c>
      <c r="I18" s="14">
        <v>0</v>
      </c>
      <c r="J18" s="14">
        <v>35947</v>
      </c>
      <c r="K18" s="14">
        <v>0</v>
      </c>
      <c r="L18" s="14">
        <v>4421162</v>
      </c>
      <c r="M18" s="14">
        <v>493810</v>
      </c>
      <c r="N18" s="14">
        <v>52272</v>
      </c>
      <c r="O18" s="14">
        <v>475296</v>
      </c>
      <c r="P18" s="34">
        <v>20</v>
      </c>
      <c r="Q18" s="34">
        <v>28</v>
      </c>
      <c r="R18" s="34">
        <v>18</v>
      </c>
      <c r="S18" s="34">
        <v>39.619999999999997</v>
      </c>
      <c r="T18" s="34">
        <v>0.68</v>
      </c>
      <c r="U18" s="35">
        <v>153729</v>
      </c>
      <c r="V18" s="35">
        <v>25768</v>
      </c>
      <c r="W18" s="36">
        <v>152727</v>
      </c>
      <c r="X18" s="36">
        <v>25768</v>
      </c>
      <c r="Y18" s="36">
        <v>89059</v>
      </c>
      <c r="Z18" s="36">
        <v>14816</v>
      </c>
      <c r="AA18" s="36" t="s">
        <v>110</v>
      </c>
      <c r="AB18" s="36">
        <v>96</v>
      </c>
      <c r="AC18" s="37" t="s">
        <v>110</v>
      </c>
      <c r="AD18" s="36">
        <v>842250</v>
      </c>
      <c r="AE18" s="36">
        <v>261947</v>
      </c>
      <c r="AF18" s="36">
        <v>10</v>
      </c>
      <c r="AG18" s="36">
        <v>56367</v>
      </c>
      <c r="AH18" s="36">
        <v>22499</v>
      </c>
      <c r="AI18" s="36">
        <v>20852</v>
      </c>
      <c r="AJ18" s="13">
        <v>580000</v>
      </c>
      <c r="AK18" s="16"/>
      <c r="AL18" s="13">
        <v>2269</v>
      </c>
      <c r="AM18" s="15">
        <v>0</v>
      </c>
      <c r="AN18" s="13">
        <v>167304</v>
      </c>
      <c r="AO18" s="13">
        <v>270602</v>
      </c>
      <c r="AP18" s="15">
        <v>302974</v>
      </c>
      <c r="AQ18" s="13">
        <v>52707</v>
      </c>
      <c r="AR18" s="49"/>
      <c r="AS18" s="49"/>
      <c r="AT18" s="26">
        <v>42231</v>
      </c>
      <c r="AU18" s="36" t="s">
        <v>110</v>
      </c>
      <c r="AV18" s="36">
        <v>164</v>
      </c>
      <c r="AW18" s="36" t="s">
        <v>111</v>
      </c>
      <c r="AX18" s="36">
        <v>0</v>
      </c>
      <c r="AY18" s="30">
        <v>1</v>
      </c>
      <c r="AZ18" s="30">
        <v>1507</v>
      </c>
      <c r="BA18" s="36">
        <v>10</v>
      </c>
      <c r="BB18" s="36">
        <v>5</v>
      </c>
      <c r="BC18" s="36">
        <v>28</v>
      </c>
      <c r="BD18" s="36">
        <v>11</v>
      </c>
      <c r="BE18" s="38">
        <v>7.5</v>
      </c>
      <c r="BF18" s="38">
        <v>15</v>
      </c>
      <c r="BG18" s="30">
        <v>334</v>
      </c>
      <c r="BH18" s="30">
        <v>319</v>
      </c>
      <c r="BI18" s="12"/>
    </row>
    <row r="19" spans="1:61" x14ac:dyDescent="0.2">
      <c r="A19" s="11" t="s">
        <v>10</v>
      </c>
      <c r="B19" s="12"/>
      <c r="C19" s="13">
        <v>20007</v>
      </c>
      <c r="D19" s="14">
        <v>0</v>
      </c>
      <c r="E19" s="14">
        <v>209833</v>
      </c>
      <c r="F19" s="14">
        <v>694714</v>
      </c>
      <c r="G19" s="2">
        <v>0</v>
      </c>
      <c r="H19" s="2">
        <v>0</v>
      </c>
      <c r="I19" s="2">
        <v>0</v>
      </c>
      <c r="J19" s="2">
        <v>16953</v>
      </c>
      <c r="K19" s="14">
        <v>1782</v>
      </c>
      <c r="L19" s="14">
        <v>674238</v>
      </c>
      <c r="M19" s="14">
        <v>94633</v>
      </c>
      <c r="N19" s="2">
        <v>0</v>
      </c>
      <c r="O19" s="14">
        <v>33713</v>
      </c>
      <c r="P19" s="34">
        <v>4</v>
      </c>
      <c r="Q19" s="34">
        <v>13</v>
      </c>
      <c r="R19" s="34">
        <v>5</v>
      </c>
      <c r="S19" s="34">
        <v>6.25</v>
      </c>
      <c r="T19" s="34">
        <v>0.1</v>
      </c>
      <c r="U19" s="35">
        <v>34627</v>
      </c>
      <c r="V19" s="35">
        <v>3292</v>
      </c>
      <c r="W19" s="36">
        <v>33799</v>
      </c>
      <c r="X19" s="36">
        <v>3292</v>
      </c>
      <c r="Y19" s="36">
        <v>16627</v>
      </c>
      <c r="Z19" s="36">
        <v>1492</v>
      </c>
      <c r="AA19" s="36" t="s">
        <v>110</v>
      </c>
      <c r="AB19" s="36">
        <v>37</v>
      </c>
      <c r="AC19" s="37" t="s">
        <v>110</v>
      </c>
      <c r="AD19" s="36">
        <v>87875</v>
      </c>
      <c r="AE19" s="36">
        <v>16496</v>
      </c>
      <c r="AF19" s="54"/>
      <c r="AG19" s="36">
        <v>4974</v>
      </c>
      <c r="AH19" s="36">
        <v>3668</v>
      </c>
      <c r="AI19" s="36">
        <v>3586</v>
      </c>
      <c r="AJ19" s="13">
        <v>98546</v>
      </c>
      <c r="AK19" s="13">
        <v>230</v>
      </c>
      <c r="AL19" s="13">
        <v>354</v>
      </c>
      <c r="AM19" s="15">
        <v>205</v>
      </c>
      <c r="AN19" s="15">
        <v>46076</v>
      </c>
      <c r="AO19" s="15">
        <v>67950</v>
      </c>
      <c r="AP19" s="15">
        <v>6154</v>
      </c>
      <c r="AQ19" s="13">
        <v>4790</v>
      </c>
      <c r="AR19" s="49"/>
      <c r="AS19" s="49"/>
      <c r="AT19" s="26">
        <v>4602</v>
      </c>
      <c r="AU19" s="36" t="s">
        <v>110</v>
      </c>
      <c r="AV19" s="36">
        <v>32</v>
      </c>
      <c r="AW19" s="36" t="s">
        <v>111</v>
      </c>
      <c r="AX19" s="36">
        <v>0</v>
      </c>
      <c r="AY19" s="30">
        <v>2</v>
      </c>
      <c r="AZ19" s="30">
        <v>1214</v>
      </c>
      <c r="BA19" s="36">
        <v>1</v>
      </c>
      <c r="BB19" s="36">
        <v>37</v>
      </c>
      <c r="BC19" s="36">
        <v>16</v>
      </c>
      <c r="BD19" s="36">
        <v>2</v>
      </c>
      <c r="BE19" s="49"/>
      <c r="BF19" s="38">
        <v>3</v>
      </c>
      <c r="BG19" s="30">
        <v>23</v>
      </c>
      <c r="BH19" s="30">
        <v>19</v>
      </c>
      <c r="BI19" s="12"/>
    </row>
    <row r="20" spans="1:61" x14ac:dyDescent="0.2">
      <c r="A20" s="11" t="s">
        <v>11</v>
      </c>
      <c r="B20" s="12"/>
      <c r="C20" s="13">
        <v>208097</v>
      </c>
      <c r="D20" s="14">
        <v>0</v>
      </c>
      <c r="E20" s="14">
        <v>1517428</v>
      </c>
      <c r="F20" s="14">
        <v>5800223</v>
      </c>
      <c r="G20" s="14">
        <v>0</v>
      </c>
      <c r="H20" s="14">
        <v>91775</v>
      </c>
      <c r="I20" s="14">
        <v>104900</v>
      </c>
      <c r="J20" s="14">
        <v>83926</v>
      </c>
      <c r="K20" s="14">
        <v>659657</v>
      </c>
      <c r="L20" s="14">
        <v>4495920</v>
      </c>
      <c r="M20" s="14">
        <v>601439</v>
      </c>
      <c r="N20" s="14">
        <v>29282</v>
      </c>
      <c r="O20" s="14">
        <v>319923</v>
      </c>
      <c r="P20" s="34">
        <v>15</v>
      </c>
      <c r="Q20" s="34">
        <v>64</v>
      </c>
      <c r="R20" s="34">
        <v>21</v>
      </c>
      <c r="S20" s="34">
        <v>52</v>
      </c>
      <c r="T20" s="34">
        <v>2</v>
      </c>
      <c r="U20" s="40">
        <v>261605</v>
      </c>
      <c r="V20" s="40">
        <v>33181</v>
      </c>
      <c r="W20" s="40">
        <v>261605</v>
      </c>
      <c r="X20" s="40">
        <v>33181</v>
      </c>
      <c r="Y20" s="40">
        <v>142902</v>
      </c>
      <c r="Z20" s="40">
        <v>33181</v>
      </c>
      <c r="AA20" s="36" t="s">
        <v>110</v>
      </c>
      <c r="AB20" s="40">
        <v>50</v>
      </c>
      <c r="AC20" s="37" t="s">
        <v>110</v>
      </c>
      <c r="AD20" s="40">
        <v>960868</v>
      </c>
      <c r="AE20" s="40">
        <v>585915</v>
      </c>
      <c r="AF20" s="54"/>
      <c r="AG20" s="40">
        <v>58720</v>
      </c>
      <c r="AH20" s="58"/>
      <c r="AI20" s="40">
        <v>36124</v>
      </c>
      <c r="AJ20" s="13">
        <v>859831</v>
      </c>
      <c r="AK20" s="16"/>
      <c r="AL20" s="13">
        <v>19578</v>
      </c>
      <c r="AM20" s="15">
        <v>12514</v>
      </c>
      <c r="AN20" s="15">
        <v>387664</v>
      </c>
      <c r="AO20" s="15">
        <v>0</v>
      </c>
      <c r="AP20" s="16"/>
      <c r="AQ20" s="13">
        <v>68742</v>
      </c>
      <c r="AR20" s="30">
        <v>111579</v>
      </c>
      <c r="AS20" s="30">
        <v>37832</v>
      </c>
      <c r="AT20" s="30">
        <v>22288</v>
      </c>
      <c r="AU20" s="36" t="s">
        <v>110</v>
      </c>
      <c r="AV20" s="36">
        <v>753</v>
      </c>
      <c r="AW20" s="36" t="s">
        <v>110</v>
      </c>
      <c r="AX20" s="36">
        <v>40</v>
      </c>
      <c r="AY20" s="30">
        <v>9</v>
      </c>
      <c r="AZ20" s="30">
        <v>0</v>
      </c>
      <c r="BA20" s="40">
        <v>312</v>
      </c>
      <c r="BB20" s="40">
        <v>330</v>
      </c>
      <c r="BC20" s="40">
        <v>70</v>
      </c>
      <c r="BD20" s="40">
        <v>17</v>
      </c>
      <c r="BE20" s="38">
        <v>9</v>
      </c>
      <c r="BF20" s="38">
        <v>21</v>
      </c>
      <c r="BG20" s="30">
        <v>832</v>
      </c>
      <c r="BH20" s="30">
        <v>830</v>
      </c>
      <c r="BI20" s="12"/>
    </row>
    <row r="21" spans="1:61" x14ac:dyDescent="0.2">
      <c r="A21" s="11" t="s">
        <v>53</v>
      </c>
      <c r="B21" s="12"/>
      <c r="C21" s="13">
        <v>112449</v>
      </c>
      <c r="D21" s="14">
        <v>0</v>
      </c>
      <c r="E21" s="14">
        <v>921557</v>
      </c>
      <c r="F21" s="14">
        <v>2977281</v>
      </c>
      <c r="G21" s="14">
        <v>0</v>
      </c>
      <c r="H21" s="14">
        <v>187184</v>
      </c>
      <c r="I21" s="14">
        <v>0</v>
      </c>
      <c r="J21" s="14">
        <v>78023</v>
      </c>
      <c r="K21" s="14">
        <v>114326</v>
      </c>
      <c r="L21" s="14">
        <v>2503091</v>
      </c>
      <c r="M21" s="14">
        <v>346694</v>
      </c>
      <c r="N21" s="14">
        <v>8400</v>
      </c>
      <c r="O21" s="14">
        <v>200561</v>
      </c>
      <c r="P21" s="34">
        <v>11</v>
      </c>
      <c r="Q21" s="34">
        <v>31</v>
      </c>
      <c r="R21" s="34">
        <v>17</v>
      </c>
      <c r="S21" s="34">
        <v>24.52</v>
      </c>
      <c r="T21" s="34">
        <v>1.1000000000000001</v>
      </c>
      <c r="U21" s="35">
        <v>145025</v>
      </c>
      <c r="V21" s="35">
        <v>38444</v>
      </c>
      <c r="W21" s="36">
        <v>147915</v>
      </c>
      <c r="X21" s="36">
        <v>44314</v>
      </c>
      <c r="Y21" s="36">
        <v>62233</v>
      </c>
      <c r="Z21" s="36">
        <v>44314</v>
      </c>
      <c r="AA21" s="36" t="s">
        <v>111</v>
      </c>
      <c r="AB21" s="54"/>
      <c r="AC21" s="37" t="s">
        <v>110</v>
      </c>
      <c r="AD21" s="36">
        <v>331253</v>
      </c>
      <c r="AE21" s="36">
        <v>109860</v>
      </c>
      <c r="AF21" s="54"/>
      <c r="AG21" s="36">
        <v>29181</v>
      </c>
      <c r="AH21" s="36">
        <v>9256</v>
      </c>
      <c r="AI21" s="36">
        <v>9256</v>
      </c>
      <c r="AJ21" s="13">
        <v>244616</v>
      </c>
      <c r="AK21" s="13">
        <v>1191</v>
      </c>
      <c r="AL21" s="13">
        <v>457</v>
      </c>
      <c r="AM21" s="15">
        <v>4341</v>
      </c>
      <c r="AN21" s="15">
        <v>99072</v>
      </c>
      <c r="AO21" s="15">
        <v>173617</v>
      </c>
      <c r="AP21" s="15">
        <v>27661</v>
      </c>
      <c r="AQ21" s="13">
        <v>31306</v>
      </c>
      <c r="AR21" s="26">
        <v>20478</v>
      </c>
      <c r="AS21" s="26">
        <v>3340</v>
      </c>
      <c r="AT21" s="30">
        <v>12114</v>
      </c>
      <c r="AU21" s="36" t="s">
        <v>110</v>
      </c>
      <c r="AV21" s="36">
        <v>105</v>
      </c>
      <c r="AW21" s="36" t="s">
        <v>110</v>
      </c>
      <c r="AX21" s="36">
        <v>26</v>
      </c>
      <c r="AY21" s="30">
        <v>7</v>
      </c>
      <c r="AZ21" s="30">
        <v>1840</v>
      </c>
      <c r="BA21" s="36">
        <v>37</v>
      </c>
      <c r="BB21" s="36">
        <v>154</v>
      </c>
      <c r="BC21" s="36">
        <v>74</v>
      </c>
      <c r="BD21" s="36">
        <v>10</v>
      </c>
      <c r="BE21" s="28">
        <v>9.1999999999999993</v>
      </c>
      <c r="BF21" s="38">
        <v>8.5</v>
      </c>
      <c r="BG21" s="30">
        <v>109</v>
      </c>
      <c r="BH21" s="30">
        <v>83</v>
      </c>
      <c r="BI21" s="12"/>
    </row>
    <row r="22" spans="1:61" x14ac:dyDescent="0.2">
      <c r="A22" s="11" t="s">
        <v>12</v>
      </c>
      <c r="B22" s="12"/>
      <c r="C22" s="13">
        <v>167298</v>
      </c>
      <c r="D22" s="14">
        <v>247876</v>
      </c>
      <c r="E22" s="14">
        <v>1137573</v>
      </c>
      <c r="F22" s="14">
        <v>6883451</v>
      </c>
      <c r="G22" s="2">
        <v>0</v>
      </c>
      <c r="H22" s="14">
        <v>0</v>
      </c>
      <c r="I22" s="14">
        <v>250000</v>
      </c>
      <c r="J22" s="14">
        <v>100135</v>
      </c>
      <c r="K22" s="14">
        <v>0</v>
      </c>
      <c r="L22" s="14">
        <v>6960933</v>
      </c>
      <c r="M22" s="14">
        <v>747193</v>
      </c>
      <c r="N22" s="2">
        <v>306080</v>
      </c>
      <c r="O22" s="14">
        <v>491927</v>
      </c>
      <c r="P22" s="34">
        <v>33</v>
      </c>
      <c r="Q22" s="34">
        <v>46</v>
      </c>
      <c r="R22" s="34">
        <v>12</v>
      </c>
      <c r="S22" s="34">
        <v>63.6</v>
      </c>
      <c r="T22" s="34">
        <v>0.42</v>
      </c>
      <c r="U22" s="35">
        <v>101056</v>
      </c>
      <c r="V22" s="35">
        <v>168837</v>
      </c>
      <c r="W22" s="36">
        <v>100826</v>
      </c>
      <c r="X22" s="36">
        <v>168837</v>
      </c>
      <c r="Y22" s="36">
        <v>103348</v>
      </c>
      <c r="Z22" s="36">
        <v>144064</v>
      </c>
      <c r="AA22" s="36" t="s">
        <v>110</v>
      </c>
      <c r="AB22" s="36">
        <v>32</v>
      </c>
      <c r="AC22" s="37" t="s">
        <v>110</v>
      </c>
      <c r="AD22" s="36">
        <v>648269</v>
      </c>
      <c r="AE22" s="36">
        <v>80723</v>
      </c>
      <c r="AF22" s="36">
        <v>10</v>
      </c>
      <c r="AG22" s="36">
        <v>54469</v>
      </c>
      <c r="AH22" s="36">
        <v>26631</v>
      </c>
      <c r="AI22" s="36">
        <v>26631</v>
      </c>
      <c r="AJ22" s="13">
        <v>821273</v>
      </c>
      <c r="AK22" s="16"/>
      <c r="AL22" s="13">
        <v>631</v>
      </c>
      <c r="AM22" s="15">
        <v>11692</v>
      </c>
      <c r="AN22" s="15">
        <v>470613</v>
      </c>
      <c r="AO22" s="15">
        <v>300627</v>
      </c>
      <c r="AP22" s="15">
        <v>96600</v>
      </c>
      <c r="AQ22" s="13">
        <v>42192</v>
      </c>
      <c r="AR22" s="26">
        <v>360312</v>
      </c>
      <c r="AS22" s="30">
        <v>75048.14</v>
      </c>
      <c r="AT22" s="30">
        <v>58624</v>
      </c>
      <c r="AU22" s="36" t="s">
        <v>110</v>
      </c>
      <c r="AV22" s="36">
        <v>106</v>
      </c>
      <c r="AW22" s="36" t="s">
        <v>110</v>
      </c>
      <c r="AX22" s="36">
        <v>7</v>
      </c>
      <c r="AY22" s="30">
        <v>5</v>
      </c>
      <c r="AZ22" s="30">
        <v>12558</v>
      </c>
      <c r="BA22" s="36">
        <v>5</v>
      </c>
      <c r="BB22" s="36">
        <v>163</v>
      </c>
      <c r="BC22" s="36">
        <v>93</v>
      </c>
      <c r="BD22" s="36">
        <v>8</v>
      </c>
      <c r="BE22" s="38">
        <v>8.8000000000000007</v>
      </c>
      <c r="BF22" s="38">
        <v>18</v>
      </c>
      <c r="BG22" s="30">
        <v>237</v>
      </c>
      <c r="BH22" s="30">
        <v>229</v>
      </c>
      <c r="BI22" s="12"/>
    </row>
    <row r="23" spans="1:61" x14ac:dyDescent="0.2">
      <c r="A23" s="11" t="s">
        <v>13</v>
      </c>
      <c r="B23" s="12"/>
      <c r="C23" s="13">
        <v>68785</v>
      </c>
      <c r="D23" s="14">
        <v>0</v>
      </c>
      <c r="E23" s="2">
        <v>734940</v>
      </c>
      <c r="F23" s="2">
        <v>1937344</v>
      </c>
      <c r="G23" s="2">
        <v>2000</v>
      </c>
      <c r="H23" s="2">
        <v>101333</v>
      </c>
      <c r="I23" s="2">
        <v>31443</v>
      </c>
      <c r="J23" s="2">
        <v>86321</v>
      </c>
      <c r="K23" s="2">
        <v>8385</v>
      </c>
      <c r="L23" s="2">
        <v>2074526.81</v>
      </c>
      <c r="M23" s="2">
        <v>298355</v>
      </c>
      <c r="N23" s="2">
        <v>9217</v>
      </c>
      <c r="O23" s="14">
        <v>191502</v>
      </c>
      <c r="P23" s="34">
        <v>11</v>
      </c>
      <c r="Q23" s="34">
        <v>18</v>
      </c>
      <c r="R23" s="34">
        <v>8</v>
      </c>
      <c r="S23" s="34">
        <v>17.100000000000001</v>
      </c>
      <c r="T23" s="34">
        <v>0.5</v>
      </c>
      <c r="U23" s="35">
        <v>125766</v>
      </c>
      <c r="V23" s="35">
        <v>125076</v>
      </c>
      <c r="W23" s="36">
        <v>118519</v>
      </c>
      <c r="X23" s="36">
        <v>125076</v>
      </c>
      <c r="Y23" s="36">
        <v>67496</v>
      </c>
      <c r="Z23" s="36">
        <v>17373</v>
      </c>
      <c r="AA23" s="36" t="s">
        <v>110</v>
      </c>
      <c r="AB23" s="36">
        <v>28</v>
      </c>
      <c r="AC23" s="37" t="s">
        <v>110</v>
      </c>
      <c r="AD23" s="36">
        <v>294650</v>
      </c>
      <c r="AE23" s="36">
        <v>134351</v>
      </c>
      <c r="AF23" s="54"/>
      <c r="AG23" s="36">
        <v>19128</v>
      </c>
      <c r="AH23" s="36">
        <v>15952</v>
      </c>
      <c r="AI23" s="36">
        <v>8727</v>
      </c>
      <c r="AJ23" s="13">
        <v>276378</v>
      </c>
      <c r="AK23" s="13">
        <v>90</v>
      </c>
      <c r="AL23" s="13">
        <v>521</v>
      </c>
      <c r="AM23" s="15">
        <v>435</v>
      </c>
      <c r="AN23" s="55"/>
      <c r="AO23" s="15">
        <v>296895</v>
      </c>
      <c r="AP23" s="13">
        <v>35774</v>
      </c>
      <c r="AQ23" s="13">
        <v>16963</v>
      </c>
      <c r="AR23" s="26">
        <v>7303</v>
      </c>
      <c r="AS23" s="30">
        <v>30186.92</v>
      </c>
      <c r="AT23" s="30">
        <v>1789</v>
      </c>
      <c r="AU23" s="36" t="s">
        <v>110</v>
      </c>
      <c r="AV23" s="36">
        <v>46</v>
      </c>
      <c r="AW23" s="36" t="s">
        <v>110</v>
      </c>
      <c r="AX23" s="36">
        <v>11</v>
      </c>
      <c r="AY23" s="30">
        <v>15</v>
      </c>
      <c r="AZ23" s="30">
        <v>2699.45</v>
      </c>
      <c r="BA23" s="36">
        <v>26</v>
      </c>
      <c r="BB23" s="36">
        <v>70</v>
      </c>
      <c r="BC23" s="36">
        <v>33</v>
      </c>
      <c r="BD23" s="36">
        <v>7</v>
      </c>
      <c r="BE23" s="38">
        <v>7.6</v>
      </c>
      <c r="BF23" s="38">
        <v>11.3</v>
      </c>
      <c r="BG23" s="30">
        <v>100.31</v>
      </c>
      <c r="BH23" s="30">
        <v>74.84</v>
      </c>
      <c r="BI23" s="12"/>
    </row>
    <row r="24" spans="1:61" x14ac:dyDescent="0.2">
      <c r="A24" s="11" t="s">
        <v>70</v>
      </c>
      <c r="B24" s="12"/>
      <c r="C24" s="13">
        <v>5464</v>
      </c>
      <c r="D24" s="14">
        <v>10000</v>
      </c>
      <c r="E24" s="2">
        <v>129476</v>
      </c>
      <c r="F24" s="2">
        <v>106383</v>
      </c>
      <c r="G24" s="2">
        <v>0</v>
      </c>
      <c r="H24" s="2">
        <v>0</v>
      </c>
      <c r="I24" s="2">
        <v>30711</v>
      </c>
      <c r="J24" s="2">
        <v>55.83</v>
      </c>
      <c r="K24" s="2">
        <v>0</v>
      </c>
      <c r="L24" s="2">
        <v>124595</v>
      </c>
      <c r="M24" s="2">
        <v>32461</v>
      </c>
      <c r="N24" s="2">
        <v>0</v>
      </c>
      <c r="O24" s="14">
        <v>26193</v>
      </c>
      <c r="P24" s="34">
        <v>1</v>
      </c>
      <c r="Q24" s="34">
        <v>4</v>
      </c>
      <c r="R24" s="34">
        <v>0</v>
      </c>
      <c r="S24" s="34">
        <v>1</v>
      </c>
      <c r="T24" s="34">
        <v>2.2000000000000002</v>
      </c>
      <c r="U24" s="35">
        <v>15827</v>
      </c>
      <c r="V24" s="35">
        <v>7259</v>
      </c>
      <c r="W24" s="36">
        <v>15827</v>
      </c>
      <c r="X24" s="36">
        <v>7259</v>
      </c>
      <c r="Y24" s="36">
        <v>5537</v>
      </c>
      <c r="Z24" s="36">
        <v>960</v>
      </c>
      <c r="AA24" s="36" t="s">
        <v>111</v>
      </c>
      <c r="AB24" s="54"/>
      <c r="AC24" s="37" t="s">
        <v>110</v>
      </c>
      <c r="AD24" s="36">
        <v>7754</v>
      </c>
      <c r="AE24" s="36">
        <v>1478</v>
      </c>
      <c r="AF24" s="54"/>
      <c r="AG24" s="36">
        <v>997</v>
      </c>
      <c r="AH24" s="36">
        <v>391</v>
      </c>
      <c r="AI24" s="36">
        <v>391</v>
      </c>
      <c r="AJ24" s="13">
        <v>9569</v>
      </c>
      <c r="AK24" s="16"/>
      <c r="AL24" s="13">
        <v>0</v>
      </c>
      <c r="AM24" s="15">
        <v>2104</v>
      </c>
      <c r="AN24" s="15">
        <v>3533</v>
      </c>
      <c r="AO24" s="15">
        <v>4572</v>
      </c>
      <c r="AP24" s="13">
        <v>361</v>
      </c>
      <c r="AQ24" s="13">
        <v>2104</v>
      </c>
      <c r="AR24" s="49"/>
      <c r="AS24" s="49"/>
      <c r="AT24" s="26">
        <v>737.95</v>
      </c>
      <c r="AU24" s="36" t="s">
        <v>111</v>
      </c>
      <c r="AV24" s="49"/>
      <c r="AW24" s="49"/>
      <c r="AX24" s="49"/>
      <c r="AY24" s="30">
        <v>3</v>
      </c>
      <c r="AZ24" s="30">
        <v>308</v>
      </c>
      <c r="BA24" s="36" t="s">
        <v>216</v>
      </c>
      <c r="BB24" s="36">
        <v>5</v>
      </c>
      <c r="BC24" s="36">
        <v>6</v>
      </c>
      <c r="BD24" s="36">
        <v>0</v>
      </c>
      <c r="BE24" s="49"/>
      <c r="BF24" s="38">
        <v>8</v>
      </c>
      <c r="BG24" s="30">
        <v>15</v>
      </c>
      <c r="BH24" s="30">
        <v>7</v>
      </c>
      <c r="BI24" s="12"/>
    </row>
    <row r="25" spans="1:61" x14ac:dyDescent="0.2">
      <c r="A25" s="11" t="s">
        <v>14</v>
      </c>
      <c r="B25" s="12"/>
      <c r="C25" s="13">
        <v>95633</v>
      </c>
      <c r="D25" s="14">
        <v>0</v>
      </c>
      <c r="E25" s="14">
        <v>690496</v>
      </c>
      <c r="F25" s="14">
        <v>5530357</v>
      </c>
      <c r="G25" s="14">
        <v>0</v>
      </c>
      <c r="H25" s="14">
        <v>0</v>
      </c>
      <c r="I25" s="14">
        <v>1578866.88</v>
      </c>
      <c r="J25" s="14">
        <v>101800</v>
      </c>
      <c r="K25" s="14">
        <v>0</v>
      </c>
      <c r="L25" s="14">
        <v>5487020.71</v>
      </c>
      <c r="M25" s="2">
        <v>877099.77</v>
      </c>
      <c r="N25" s="14">
        <v>0</v>
      </c>
      <c r="O25" s="14">
        <v>229913.55</v>
      </c>
      <c r="P25" s="34">
        <v>16</v>
      </c>
      <c r="Q25" s="34">
        <v>40</v>
      </c>
      <c r="R25" s="34">
        <v>33</v>
      </c>
      <c r="S25" s="34">
        <v>41.1</v>
      </c>
      <c r="T25" s="34">
        <v>3.81</v>
      </c>
      <c r="U25" s="35">
        <v>109531</v>
      </c>
      <c r="V25" s="35">
        <v>18032</v>
      </c>
      <c r="W25" s="36">
        <v>104464</v>
      </c>
      <c r="X25" s="36">
        <v>18032</v>
      </c>
      <c r="Y25" s="36">
        <v>80264</v>
      </c>
      <c r="Z25" s="36">
        <v>8619</v>
      </c>
      <c r="AA25" s="36" t="s">
        <v>110</v>
      </c>
      <c r="AB25" s="36">
        <v>564</v>
      </c>
      <c r="AC25" s="37" t="s">
        <v>110</v>
      </c>
      <c r="AD25" s="36">
        <v>376890</v>
      </c>
      <c r="AE25" s="36">
        <v>78541</v>
      </c>
      <c r="AF25" s="36">
        <v>538</v>
      </c>
      <c r="AG25" s="36">
        <v>33102</v>
      </c>
      <c r="AH25" s="36">
        <v>11262</v>
      </c>
      <c r="AI25" s="36">
        <v>10961</v>
      </c>
      <c r="AJ25" s="13">
        <v>592255</v>
      </c>
      <c r="AK25" s="16"/>
      <c r="AL25" s="13">
        <v>604</v>
      </c>
      <c r="AM25" s="15">
        <v>11542</v>
      </c>
      <c r="AN25" s="15">
        <v>107273</v>
      </c>
      <c r="AO25" s="15">
        <v>124858</v>
      </c>
      <c r="AP25" s="15">
        <v>69153</v>
      </c>
      <c r="AQ25" s="13">
        <v>34177</v>
      </c>
      <c r="AR25" s="26">
        <v>519704</v>
      </c>
      <c r="AS25" s="26">
        <v>17497</v>
      </c>
      <c r="AT25" s="26">
        <v>22236</v>
      </c>
      <c r="AU25" s="36" t="s">
        <v>110</v>
      </c>
      <c r="AV25" s="36">
        <v>50</v>
      </c>
      <c r="AW25" s="36" t="s">
        <v>111</v>
      </c>
      <c r="AX25" s="36" t="s">
        <v>44</v>
      </c>
      <c r="AY25" s="30">
        <v>37</v>
      </c>
      <c r="AZ25" s="30">
        <v>8332</v>
      </c>
      <c r="BA25" s="36">
        <v>30</v>
      </c>
      <c r="BB25" s="36">
        <v>49</v>
      </c>
      <c r="BC25" s="36">
        <v>57</v>
      </c>
      <c r="BD25" s="36">
        <v>7</v>
      </c>
      <c r="BE25" s="38">
        <v>8.1999999999999993</v>
      </c>
      <c r="BF25" s="38">
        <v>8.5</v>
      </c>
      <c r="BG25" s="30">
        <v>283.14</v>
      </c>
      <c r="BH25" s="30">
        <v>259.19</v>
      </c>
      <c r="BI25" s="12"/>
    </row>
    <row r="26" spans="1:61" x14ac:dyDescent="0.2">
      <c r="A26" s="11" t="s">
        <v>15</v>
      </c>
      <c r="B26" s="12"/>
      <c r="C26" s="13">
        <v>271709</v>
      </c>
      <c r="D26" s="14">
        <v>0</v>
      </c>
      <c r="E26" s="14">
        <v>1465219</v>
      </c>
      <c r="F26" s="14">
        <v>6164357</v>
      </c>
      <c r="G26" s="14">
        <v>0</v>
      </c>
      <c r="H26" s="14">
        <v>0</v>
      </c>
      <c r="I26" s="14">
        <v>0</v>
      </c>
      <c r="J26" s="14">
        <v>165001</v>
      </c>
      <c r="K26" s="14">
        <v>30000</v>
      </c>
      <c r="L26" s="14">
        <v>5920747</v>
      </c>
      <c r="M26" s="14">
        <v>588092.60999999987</v>
      </c>
      <c r="N26" s="14">
        <v>152400.56</v>
      </c>
      <c r="O26" s="14">
        <v>491176.59</v>
      </c>
      <c r="P26" s="34">
        <v>32</v>
      </c>
      <c r="Q26" s="34">
        <v>34</v>
      </c>
      <c r="R26" s="34">
        <v>40</v>
      </c>
      <c r="S26" s="34">
        <v>49.27</v>
      </c>
      <c r="T26" s="34">
        <v>4.3</v>
      </c>
      <c r="U26" s="35">
        <v>177921</v>
      </c>
      <c r="V26" s="35">
        <v>74298</v>
      </c>
      <c r="W26" s="36">
        <v>174147</v>
      </c>
      <c r="X26" s="36">
        <v>74298</v>
      </c>
      <c r="Y26" s="36">
        <v>140108</v>
      </c>
      <c r="Z26" s="36">
        <v>74298</v>
      </c>
      <c r="AA26" s="36" t="s">
        <v>110</v>
      </c>
      <c r="AB26" s="36">
        <v>120</v>
      </c>
      <c r="AC26" s="37" t="s">
        <v>110</v>
      </c>
      <c r="AD26" s="36">
        <v>1008744</v>
      </c>
      <c r="AE26" s="36">
        <v>216976</v>
      </c>
      <c r="AF26" s="54"/>
      <c r="AG26" s="36">
        <v>64498</v>
      </c>
      <c r="AH26" s="36">
        <v>39404</v>
      </c>
      <c r="AI26" s="36">
        <v>29226</v>
      </c>
      <c r="AJ26" s="13">
        <v>826893</v>
      </c>
      <c r="AK26" s="13">
        <v>261</v>
      </c>
      <c r="AL26" s="13">
        <v>541</v>
      </c>
      <c r="AM26" s="15">
        <v>16776</v>
      </c>
      <c r="AN26" s="15">
        <v>228004</v>
      </c>
      <c r="AO26" s="15">
        <v>135981</v>
      </c>
      <c r="AP26" s="13">
        <v>257875</v>
      </c>
      <c r="AQ26" s="13">
        <v>84727</v>
      </c>
      <c r="AR26" s="49"/>
      <c r="AS26" s="49"/>
      <c r="AT26" s="26">
        <v>40617</v>
      </c>
      <c r="AU26" s="36" t="s">
        <v>110</v>
      </c>
      <c r="AV26" s="36">
        <v>54</v>
      </c>
      <c r="AW26" s="36" t="s">
        <v>111</v>
      </c>
      <c r="AX26" s="36">
        <v>0</v>
      </c>
      <c r="AY26" s="30">
        <v>0</v>
      </c>
      <c r="AZ26" s="30">
        <v>0</v>
      </c>
      <c r="BA26" s="36">
        <v>33</v>
      </c>
      <c r="BB26" s="36">
        <v>12</v>
      </c>
      <c r="BC26" s="36">
        <v>45</v>
      </c>
      <c r="BD26" s="36">
        <v>9</v>
      </c>
      <c r="BE26" s="28">
        <v>9.39</v>
      </c>
      <c r="BF26" s="38">
        <v>22.25</v>
      </c>
      <c r="BG26" s="30">
        <v>588</v>
      </c>
      <c r="BH26" s="30">
        <v>465</v>
      </c>
      <c r="BI26" s="12"/>
    </row>
    <row r="27" spans="1:61" x14ac:dyDescent="0.2">
      <c r="A27" s="11" t="s">
        <v>217</v>
      </c>
      <c r="B27" s="12"/>
      <c r="C27" s="13">
        <v>44824</v>
      </c>
      <c r="D27" s="14">
        <v>0</v>
      </c>
      <c r="E27" s="14">
        <v>361044</v>
      </c>
      <c r="F27" s="14">
        <v>739106</v>
      </c>
      <c r="G27" s="14">
        <v>0</v>
      </c>
      <c r="H27" s="14">
        <v>0</v>
      </c>
      <c r="I27" s="14">
        <v>194400</v>
      </c>
      <c r="J27" s="14">
        <v>62542</v>
      </c>
      <c r="K27" s="14">
        <v>78895</v>
      </c>
      <c r="L27" s="14">
        <v>850456</v>
      </c>
      <c r="M27" s="14">
        <v>69425</v>
      </c>
      <c r="N27" s="14">
        <v>20211</v>
      </c>
      <c r="O27" s="14">
        <v>78013</v>
      </c>
      <c r="P27" s="34">
        <v>4</v>
      </c>
      <c r="Q27" s="34">
        <v>8</v>
      </c>
      <c r="R27" s="34">
        <v>10</v>
      </c>
      <c r="S27" s="34">
        <v>9</v>
      </c>
      <c r="T27" s="34">
        <v>0.3</v>
      </c>
      <c r="U27" s="35">
        <v>33656</v>
      </c>
      <c r="V27" s="35">
        <v>21274</v>
      </c>
      <c r="W27" s="36">
        <v>33092</v>
      </c>
      <c r="X27" s="36">
        <v>21274</v>
      </c>
      <c r="Y27" s="36">
        <v>16455</v>
      </c>
      <c r="Z27" s="36">
        <v>22284</v>
      </c>
      <c r="AA27" s="36" t="s">
        <v>111</v>
      </c>
      <c r="AB27" s="54"/>
      <c r="AC27" s="37" t="s">
        <v>110</v>
      </c>
      <c r="AD27" s="36">
        <v>132333</v>
      </c>
      <c r="AE27" s="36">
        <v>40957</v>
      </c>
      <c r="AF27" s="54"/>
      <c r="AG27" s="36">
        <v>12301</v>
      </c>
      <c r="AH27" s="36">
        <v>4882</v>
      </c>
      <c r="AI27" s="36">
        <v>4882</v>
      </c>
      <c r="AJ27" s="13">
        <v>128792</v>
      </c>
      <c r="AK27" s="16"/>
      <c r="AL27" s="13">
        <v>561</v>
      </c>
      <c r="AM27" s="15">
        <v>234</v>
      </c>
      <c r="AN27" s="15">
        <v>62349</v>
      </c>
      <c r="AO27" s="15">
        <v>41954</v>
      </c>
      <c r="AP27" s="15">
        <v>15123</v>
      </c>
      <c r="AQ27" s="13">
        <v>12838</v>
      </c>
      <c r="AR27" s="49"/>
      <c r="AS27" s="30">
        <v>9513</v>
      </c>
      <c r="AT27" s="30">
        <v>10128</v>
      </c>
      <c r="AU27" s="36" t="s">
        <v>110</v>
      </c>
      <c r="AV27" s="36">
        <v>42</v>
      </c>
      <c r="AW27" s="36" t="s">
        <v>110</v>
      </c>
      <c r="AX27" s="36">
        <v>28</v>
      </c>
      <c r="AY27" s="30">
        <v>8</v>
      </c>
      <c r="AZ27" s="30">
        <v>992</v>
      </c>
      <c r="BA27" s="36">
        <v>19</v>
      </c>
      <c r="BB27" s="36">
        <v>17</v>
      </c>
      <c r="BC27" s="36">
        <v>16</v>
      </c>
      <c r="BD27" s="36">
        <v>2</v>
      </c>
      <c r="BE27" s="38">
        <v>9.1999999999999993</v>
      </c>
      <c r="BF27" s="38">
        <v>10.46</v>
      </c>
      <c r="BG27" s="30">
        <v>77.5</v>
      </c>
      <c r="BH27" s="30">
        <v>38.799999999999997</v>
      </c>
      <c r="BI27" s="12"/>
    </row>
    <row r="28" spans="1:61" x14ac:dyDescent="0.2">
      <c r="A28" s="11" t="s">
        <v>16</v>
      </c>
      <c r="B28" s="12"/>
      <c r="C28" s="13">
        <v>17788</v>
      </c>
      <c r="D28" s="14">
        <v>0</v>
      </c>
      <c r="E28" s="14">
        <v>197416</v>
      </c>
      <c r="F28" s="14">
        <v>673565</v>
      </c>
      <c r="G28" s="14">
        <v>0</v>
      </c>
      <c r="H28" s="14">
        <v>0</v>
      </c>
      <c r="I28" s="14">
        <v>0</v>
      </c>
      <c r="J28" s="14">
        <v>2403</v>
      </c>
      <c r="K28" s="14">
        <v>30000</v>
      </c>
      <c r="L28" s="14">
        <v>728277</v>
      </c>
      <c r="M28" s="14">
        <v>78863</v>
      </c>
      <c r="N28" s="14">
        <v>0</v>
      </c>
      <c r="O28" s="14">
        <v>44175</v>
      </c>
      <c r="P28" s="34">
        <v>3</v>
      </c>
      <c r="Q28" s="34">
        <v>5</v>
      </c>
      <c r="R28" s="34">
        <v>3</v>
      </c>
      <c r="S28" s="34">
        <v>7.4</v>
      </c>
      <c r="T28" s="34">
        <v>1.04</v>
      </c>
      <c r="U28" s="35">
        <v>28016</v>
      </c>
      <c r="V28" s="35">
        <v>5709</v>
      </c>
      <c r="W28" s="36">
        <v>26895</v>
      </c>
      <c r="X28" s="36">
        <v>5709</v>
      </c>
      <c r="Y28" s="36">
        <v>16271</v>
      </c>
      <c r="Z28" s="36">
        <v>3803</v>
      </c>
      <c r="AA28" s="36" t="s">
        <v>110</v>
      </c>
      <c r="AB28" s="36">
        <v>6</v>
      </c>
      <c r="AC28" s="37" t="s">
        <v>110</v>
      </c>
      <c r="AD28" s="36">
        <v>72749</v>
      </c>
      <c r="AE28" s="36">
        <v>30414</v>
      </c>
      <c r="AF28" s="36">
        <v>10</v>
      </c>
      <c r="AG28" s="36">
        <v>4129</v>
      </c>
      <c r="AH28" s="36">
        <v>2286</v>
      </c>
      <c r="AI28" s="36">
        <v>2286</v>
      </c>
      <c r="AJ28" s="13">
        <v>91663</v>
      </c>
      <c r="AK28" s="16"/>
      <c r="AL28" s="13">
        <v>1020</v>
      </c>
      <c r="AM28" s="13">
        <v>649</v>
      </c>
      <c r="AN28" s="55"/>
      <c r="AO28" s="15">
        <v>57598</v>
      </c>
      <c r="AP28" s="13">
        <v>7143</v>
      </c>
      <c r="AQ28" s="13">
        <v>13364</v>
      </c>
      <c r="AR28" s="26">
        <v>2725</v>
      </c>
      <c r="AS28" s="49"/>
      <c r="AT28" s="26">
        <v>1998</v>
      </c>
      <c r="AU28" s="36" t="s">
        <v>110</v>
      </c>
      <c r="AV28" s="36">
        <v>0</v>
      </c>
      <c r="AW28" s="36" t="s">
        <v>111</v>
      </c>
      <c r="AX28" s="36">
        <v>0</v>
      </c>
      <c r="AY28" s="30">
        <v>1</v>
      </c>
      <c r="AZ28" s="30">
        <v>0</v>
      </c>
      <c r="BA28" s="36">
        <v>15</v>
      </c>
      <c r="BB28" s="36">
        <v>2</v>
      </c>
      <c r="BC28" s="36">
        <v>12</v>
      </c>
      <c r="BD28" s="36">
        <v>2</v>
      </c>
      <c r="BE28" s="49"/>
      <c r="BF28" s="38">
        <v>8</v>
      </c>
      <c r="BG28" s="30">
        <v>97</v>
      </c>
      <c r="BH28" s="30">
        <v>84</v>
      </c>
      <c r="BI28" s="12"/>
    </row>
    <row r="29" spans="1:61" x14ac:dyDescent="0.2">
      <c r="A29" s="11" t="s">
        <v>17</v>
      </c>
      <c r="B29" s="12"/>
      <c r="C29" s="13">
        <v>166521</v>
      </c>
      <c r="D29" s="2">
        <v>0</v>
      </c>
      <c r="E29" s="14">
        <v>1101835</v>
      </c>
      <c r="F29" s="14">
        <v>6629484</v>
      </c>
      <c r="G29" s="2">
        <v>0</v>
      </c>
      <c r="H29" s="2">
        <v>0</v>
      </c>
      <c r="I29" s="2">
        <v>200000</v>
      </c>
      <c r="J29" s="14">
        <v>38529</v>
      </c>
      <c r="K29" s="14">
        <v>650</v>
      </c>
      <c r="L29" s="14">
        <v>5865908</v>
      </c>
      <c r="M29" s="2">
        <v>554848</v>
      </c>
      <c r="N29" s="2">
        <v>176309</v>
      </c>
      <c r="O29" s="14">
        <v>438514</v>
      </c>
      <c r="P29" s="34">
        <v>23</v>
      </c>
      <c r="Q29" s="34">
        <v>40</v>
      </c>
      <c r="R29" s="34">
        <v>27</v>
      </c>
      <c r="S29" s="34">
        <v>50.17</v>
      </c>
      <c r="T29" s="34">
        <v>0.78</v>
      </c>
      <c r="U29" s="35">
        <v>156147</v>
      </c>
      <c r="V29" s="35">
        <v>41116</v>
      </c>
      <c r="W29" s="36">
        <v>155092</v>
      </c>
      <c r="X29" s="36">
        <v>41116</v>
      </c>
      <c r="Y29" s="36">
        <v>94575</v>
      </c>
      <c r="Z29" s="36">
        <v>26011</v>
      </c>
      <c r="AA29" s="36" t="s">
        <v>110</v>
      </c>
      <c r="AB29" s="36">
        <v>532</v>
      </c>
      <c r="AC29" s="37" t="s">
        <v>110</v>
      </c>
      <c r="AD29" s="36">
        <v>769089</v>
      </c>
      <c r="AE29" s="36">
        <v>295075</v>
      </c>
      <c r="AF29" s="36">
        <v>1195</v>
      </c>
      <c r="AG29" s="36">
        <v>44805</v>
      </c>
      <c r="AH29" s="36">
        <v>28516</v>
      </c>
      <c r="AI29" s="36">
        <v>28516</v>
      </c>
      <c r="AJ29" s="13">
        <v>392137</v>
      </c>
      <c r="AK29" s="16"/>
      <c r="AL29" s="13">
        <v>2288</v>
      </c>
      <c r="AM29" s="13">
        <v>6884</v>
      </c>
      <c r="AN29" s="15">
        <v>232329</v>
      </c>
      <c r="AO29" s="15">
        <v>224416</v>
      </c>
      <c r="AP29" s="13">
        <v>240939</v>
      </c>
      <c r="AQ29" s="13">
        <v>38192</v>
      </c>
      <c r="AR29" s="26">
        <v>50106</v>
      </c>
      <c r="AS29" s="30">
        <v>8873</v>
      </c>
      <c r="AT29" s="26">
        <v>28798</v>
      </c>
      <c r="AU29" s="36" t="s">
        <v>110</v>
      </c>
      <c r="AV29" s="36">
        <v>208</v>
      </c>
      <c r="AW29" s="36" t="s">
        <v>110</v>
      </c>
      <c r="AX29" s="36">
        <v>60</v>
      </c>
      <c r="AY29" s="30">
        <v>0</v>
      </c>
      <c r="AZ29" s="30">
        <v>0</v>
      </c>
      <c r="BA29" s="36">
        <v>32</v>
      </c>
      <c r="BB29" s="36">
        <v>68</v>
      </c>
      <c r="BC29" s="36">
        <v>222</v>
      </c>
      <c r="BD29" s="36">
        <v>14</v>
      </c>
      <c r="BE29" s="38">
        <v>9.15</v>
      </c>
      <c r="BF29" s="38">
        <v>8</v>
      </c>
      <c r="BG29" s="30">
        <v>272</v>
      </c>
      <c r="BH29" s="30">
        <v>227</v>
      </c>
      <c r="BI29" s="12"/>
    </row>
    <row r="30" spans="1:61" x14ac:dyDescent="0.2">
      <c r="A30" s="11" t="s">
        <v>18</v>
      </c>
      <c r="B30" s="12"/>
      <c r="C30" s="13">
        <v>78845</v>
      </c>
      <c r="D30" s="14">
        <v>0</v>
      </c>
      <c r="E30" s="14">
        <v>559795</v>
      </c>
      <c r="F30" s="14">
        <v>2261868</v>
      </c>
      <c r="G30" s="14">
        <v>0</v>
      </c>
      <c r="H30" s="14">
        <v>0</v>
      </c>
      <c r="I30" s="14">
        <v>43182</v>
      </c>
      <c r="J30" s="14">
        <v>77074</v>
      </c>
      <c r="K30" s="14">
        <v>280</v>
      </c>
      <c r="L30" s="14">
        <v>1805960</v>
      </c>
      <c r="M30" s="14">
        <v>292973</v>
      </c>
      <c r="N30" s="14">
        <v>71257</v>
      </c>
      <c r="O30" s="2">
        <v>116892</v>
      </c>
      <c r="P30" s="34">
        <v>8</v>
      </c>
      <c r="Q30" s="34">
        <v>25</v>
      </c>
      <c r="R30" s="34">
        <v>13</v>
      </c>
      <c r="S30" s="34">
        <v>17.52</v>
      </c>
      <c r="T30" s="34">
        <v>3.26</v>
      </c>
      <c r="U30" s="35">
        <v>97334</v>
      </c>
      <c r="V30" s="35">
        <v>29850</v>
      </c>
      <c r="W30" s="36">
        <v>93697</v>
      </c>
      <c r="X30" s="36">
        <v>29850</v>
      </c>
      <c r="Y30" s="36">
        <v>44403</v>
      </c>
      <c r="Z30" s="36">
        <v>27417</v>
      </c>
      <c r="AA30" s="36" t="s">
        <v>111</v>
      </c>
      <c r="AB30" s="54"/>
      <c r="AC30" s="37" t="s">
        <v>110</v>
      </c>
      <c r="AD30" s="36">
        <v>213645</v>
      </c>
      <c r="AE30" s="36">
        <v>85588</v>
      </c>
      <c r="AF30" s="54"/>
      <c r="AG30" s="36">
        <v>24094</v>
      </c>
      <c r="AH30" s="36">
        <v>6275</v>
      </c>
      <c r="AI30" s="36">
        <v>6255</v>
      </c>
      <c r="AJ30" s="36">
        <v>204666</v>
      </c>
      <c r="AK30" s="16"/>
      <c r="AL30" s="13">
        <v>1372</v>
      </c>
      <c r="AM30" s="13">
        <v>1386</v>
      </c>
      <c r="AN30" s="15">
        <v>25468</v>
      </c>
      <c r="AO30" s="15">
        <v>32439</v>
      </c>
      <c r="AP30" s="13">
        <v>14348</v>
      </c>
      <c r="AQ30" s="13">
        <v>18873</v>
      </c>
      <c r="AR30" s="49"/>
      <c r="AS30" s="49"/>
      <c r="AT30" s="26">
        <v>15972.08</v>
      </c>
      <c r="AU30" s="36" t="s">
        <v>110</v>
      </c>
      <c r="AV30" s="36">
        <v>146</v>
      </c>
      <c r="AW30" s="36" t="s">
        <v>110</v>
      </c>
      <c r="AX30" s="36">
        <v>4</v>
      </c>
      <c r="AY30" s="30">
        <v>17</v>
      </c>
      <c r="AZ30" s="30">
        <v>17392.380666649999</v>
      </c>
      <c r="BA30" s="36">
        <v>31</v>
      </c>
      <c r="BB30" s="36">
        <v>55</v>
      </c>
      <c r="BC30" s="36">
        <v>30</v>
      </c>
      <c r="BD30" s="36">
        <v>3</v>
      </c>
      <c r="BE30" s="38">
        <v>7.8</v>
      </c>
      <c r="BF30" s="38">
        <v>13.5</v>
      </c>
      <c r="BG30" s="30">
        <v>200</v>
      </c>
      <c r="BH30" s="30">
        <v>150</v>
      </c>
      <c r="BI30" s="12"/>
    </row>
    <row r="31" spans="1:61" x14ac:dyDescent="0.2">
      <c r="A31" s="11" t="s">
        <v>19</v>
      </c>
      <c r="B31" s="12"/>
      <c r="C31" s="13">
        <v>94251</v>
      </c>
      <c r="D31" s="14">
        <v>0</v>
      </c>
      <c r="E31" s="14">
        <v>649795</v>
      </c>
      <c r="F31" s="14">
        <v>5215503</v>
      </c>
      <c r="G31" s="14">
        <v>0</v>
      </c>
      <c r="H31" s="14">
        <v>0</v>
      </c>
      <c r="I31" s="14">
        <v>0</v>
      </c>
      <c r="J31" s="14">
        <v>66951</v>
      </c>
      <c r="K31" s="14">
        <v>123965</v>
      </c>
      <c r="L31" s="14">
        <v>4459215</v>
      </c>
      <c r="M31" s="14">
        <v>508210</v>
      </c>
      <c r="N31" s="14">
        <v>143871</v>
      </c>
      <c r="O31" s="14">
        <v>348900.05</v>
      </c>
      <c r="P31" s="34">
        <v>20</v>
      </c>
      <c r="Q31" s="34">
        <v>33</v>
      </c>
      <c r="R31" s="34">
        <v>16</v>
      </c>
      <c r="S31" s="34">
        <v>35.15</v>
      </c>
      <c r="T31" s="34">
        <v>2.7</v>
      </c>
      <c r="U31" s="35">
        <v>109469</v>
      </c>
      <c r="V31" s="35">
        <v>57185</v>
      </c>
      <c r="W31" s="36">
        <v>105726</v>
      </c>
      <c r="X31" s="36">
        <v>57185</v>
      </c>
      <c r="Y31" s="36">
        <v>89696</v>
      </c>
      <c r="Z31" s="36">
        <v>42684</v>
      </c>
      <c r="AA31" s="36" t="s">
        <v>110</v>
      </c>
      <c r="AB31" s="36">
        <v>63</v>
      </c>
      <c r="AC31" s="37" t="s">
        <v>110</v>
      </c>
      <c r="AD31" s="36">
        <v>505521</v>
      </c>
      <c r="AE31" s="36">
        <v>140063</v>
      </c>
      <c r="AF31" s="54"/>
      <c r="AG31" s="36">
        <v>38296</v>
      </c>
      <c r="AH31" s="36">
        <v>24878</v>
      </c>
      <c r="AI31" s="36">
        <v>15126</v>
      </c>
      <c r="AJ31" s="13">
        <v>416166</v>
      </c>
      <c r="AK31" s="16"/>
      <c r="AL31" s="13">
        <v>396</v>
      </c>
      <c r="AM31" s="13">
        <v>109</v>
      </c>
      <c r="AN31" s="15">
        <v>299681</v>
      </c>
      <c r="AO31" s="15">
        <v>103061</v>
      </c>
      <c r="AP31" s="13">
        <v>117800</v>
      </c>
      <c r="AQ31" s="13">
        <v>40904</v>
      </c>
      <c r="AR31" s="26">
        <v>399629</v>
      </c>
      <c r="AS31" s="26">
        <v>40317.230000000003</v>
      </c>
      <c r="AT31" s="26">
        <v>26850.3</v>
      </c>
      <c r="AU31" s="36" t="s">
        <v>110</v>
      </c>
      <c r="AV31" s="36">
        <v>38</v>
      </c>
      <c r="AW31" s="36" t="s">
        <v>111</v>
      </c>
      <c r="AX31" s="36">
        <v>0</v>
      </c>
      <c r="AY31" s="30">
        <v>8</v>
      </c>
      <c r="AZ31" s="30">
        <v>2472.5</v>
      </c>
      <c r="BA31" s="36">
        <v>23</v>
      </c>
      <c r="BB31" s="36">
        <v>15</v>
      </c>
      <c r="BC31" s="36">
        <v>41</v>
      </c>
      <c r="BD31" s="36">
        <v>9</v>
      </c>
      <c r="BE31" s="38">
        <v>8.3000000000000007</v>
      </c>
      <c r="BF31" s="38">
        <v>10.5</v>
      </c>
      <c r="BG31" s="30">
        <v>318</v>
      </c>
      <c r="BH31" s="30">
        <v>316</v>
      </c>
      <c r="BI31" s="12"/>
    </row>
    <row r="32" spans="1:61" x14ac:dyDescent="0.2">
      <c r="A32" s="11" t="s">
        <v>20</v>
      </c>
      <c r="B32" s="12"/>
      <c r="C32" s="13">
        <v>189381</v>
      </c>
      <c r="D32" s="14">
        <v>0</v>
      </c>
      <c r="E32" s="14">
        <v>1109946</v>
      </c>
      <c r="F32" s="14">
        <v>17212034</v>
      </c>
      <c r="G32" s="14">
        <v>0</v>
      </c>
      <c r="H32" s="14">
        <v>0</v>
      </c>
      <c r="I32" s="14">
        <v>0</v>
      </c>
      <c r="J32" s="14">
        <v>129438</v>
      </c>
      <c r="K32" s="14">
        <v>0</v>
      </c>
      <c r="L32" s="14">
        <v>11883339</v>
      </c>
      <c r="M32" s="14">
        <v>951531</v>
      </c>
      <c r="N32" s="14">
        <v>446970</v>
      </c>
      <c r="O32" s="14">
        <v>566995</v>
      </c>
      <c r="P32" s="34">
        <v>77</v>
      </c>
      <c r="Q32" s="34">
        <v>60</v>
      </c>
      <c r="R32" s="34">
        <v>15</v>
      </c>
      <c r="S32" s="34">
        <v>101.81</v>
      </c>
      <c r="T32" s="34">
        <v>3.49</v>
      </c>
      <c r="U32" s="35">
        <v>225389</v>
      </c>
      <c r="V32" s="35">
        <v>53938</v>
      </c>
      <c r="W32" s="36">
        <v>216278</v>
      </c>
      <c r="X32" s="36">
        <v>53938</v>
      </c>
      <c r="Y32" s="36">
        <v>143032</v>
      </c>
      <c r="Z32" s="36">
        <v>53938</v>
      </c>
      <c r="AA32" s="36" t="s">
        <v>110</v>
      </c>
      <c r="AB32" s="36">
        <v>242</v>
      </c>
      <c r="AC32" s="37" t="s">
        <v>110</v>
      </c>
      <c r="AD32" s="36">
        <v>1059458</v>
      </c>
      <c r="AE32" s="36">
        <v>460602</v>
      </c>
      <c r="AF32" s="36">
        <v>616</v>
      </c>
      <c r="AG32" s="36">
        <v>97606</v>
      </c>
      <c r="AH32" s="36">
        <v>60533</v>
      </c>
      <c r="AI32" s="36">
        <v>48686</v>
      </c>
      <c r="AJ32" s="13">
        <v>1167795</v>
      </c>
      <c r="AK32" s="16"/>
      <c r="AL32" s="13">
        <v>104</v>
      </c>
      <c r="AM32" s="13">
        <v>7209</v>
      </c>
      <c r="AN32" s="15">
        <v>501616</v>
      </c>
      <c r="AO32" s="15">
        <v>513460</v>
      </c>
      <c r="AP32" s="13">
        <v>539372</v>
      </c>
      <c r="AQ32" s="13">
        <v>54266</v>
      </c>
      <c r="AR32" s="26">
        <v>487846</v>
      </c>
      <c r="AS32" s="30">
        <v>131887</v>
      </c>
      <c r="AT32" s="26">
        <v>56992</v>
      </c>
      <c r="AU32" s="36" t="s">
        <v>110</v>
      </c>
      <c r="AV32" s="36">
        <v>14</v>
      </c>
      <c r="AW32" s="36" t="s">
        <v>111</v>
      </c>
      <c r="AX32" s="36">
        <v>0</v>
      </c>
      <c r="AY32" s="30">
        <v>30</v>
      </c>
      <c r="AZ32" s="30">
        <v>27392</v>
      </c>
      <c r="BA32" s="36">
        <v>14</v>
      </c>
      <c r="BB32" s="36">
        <v>55</v>
      </c>
      <c r="BC32" s="36">
        <v>135</v>
      </c>
      <c r="BD32" s="36">
        <v>34</v>
      </c>
      <c r="BE32" s="38">
        <v>9.3000000000000007</v>
      </c>
      <c r="BF32" s="38">
        <v>9</v>
      </c>
      <c r="BG32" s="30">
        <v>213</v>
      </c>
      <c r="BH32" s="30">
        <v>213</v>
      </c>
      <c r="BI32" s="12"/>
    </row>
    <row r="33" spans="1:61" x14ac:dyDescent="0.2">
      <c r="A33" s="11" t="s">
        <v>21</v>
      </c>
      <c r="B33" s="12"/>
      <c r="C33" s="13">
        <v>219697</v>
      </c>
      <c r="D33" s="14">
        <v>0</v>
      </c>
      <c r="E33" s="14">
        <v>1032116</v>
      </c>
      <c r="F33" s="14">
        <v>3133465</v>
      </c>
      <c r="G33" s="14">
        <v>0</v>
      </c>
      <c r="H33" s="14">
        <v>156000</v>
      </c>
      <c r="I33" s="14">
        <v>63572.36</v>
      </c>
      <c r="J33" s="14">
        <v>2070</v>
      </c>
      <c r="K33" s="14">
        <v>197009</v>
      </c>
      <c r="L33" s="14">
        <v>3629757</v>
      </c>
      <c r="M33" s="14">
        <v>399520</v>
      </c>
      <c r="N33" s="14">
        <v>150000</v>
      </c>
      <c r="O33" s="14">
        <v>159613</v>
      </c>
      <c r="P33" s="34">
        <v>21</v>
      </c>
      <c r="Q33" s="34">
        <v>27</v>
      </c>
      <c r="R33" s="34">
        <v>13</v>
      </c>
      <c r="S33" s="34">
        <v>37.6</v>
      </c>
      <c r="T33" s="34">
        <v>8.8000000000000007</v>
      </c>
      <c r="U33" s="35">
        <v>97298</v>
      </c>
      <c r="V33" s="35">
        <v>59296</v>
      </c>
      <c r="W33" s="36">
        <v>87681</v>
      </c>
      <c r="X33" s="36">
        <v>54650</v>
      </c>
      <c r="Y33" s="36">
        <v>89433</v>
      </c>
      <c r="Z33" s="36">
        <v>54650</v>
      </c>
      <c r="AA33" s="36" t="s">
        <v>111</v>
      </c>
      <c r="AB33" s="54"/>
      <c r="AC33" s="37" t="s">
        <v>110</v>
      </c>
      <c r="AD33" s="36">
        <v>599594</v>
      </c>
      <c r="AE33" s="36">
        <v>70800</v>
      </c>
      <c r="AF33" s="36">
        <v>4896</v>
      </c>
      <c r="AG33" s="36">
        <v>55618</v>
      </c>
      <c r="AH33" s="36">
        <v>15391</v>
      </c>
      <c r="AI33" s="36">
        <v>15391</v>
      </c>
      <c r="AJ33" s="13">
        <v>559982</v>
      </c>
      <c r="AK33" s="16"/>
      <c r="AL33" s="13">
        <v>725</v>
      </c>
      <c r="AM33" s="15">
        <v>0</v>
      </c>
      <c r="AN33" s="15">
        <v>71166</v>
      </c>
      <c r="AO33" s="15">
        <v>31707</v>
      </c>
      <c r="AP33" s="36">
        <v>153271</v>
      </c>
      <c r="AQ33" s="13">
        <v>42225</v>
      </c>
      <c r="AR33" s="49"/>
      <c r="AS33" s="49"/>
      <c r="AT33" s="30">
        <v>29951</v>
      </c>
      <c r="AU33" s="36" t="s">
        <v>110</v>
      </c>
      <c r="AV33" s="36">
        <v>112</v>
      </c>
      <c r="AW33" s="36" t="s">
        <v>111</v>
      </c>
      <c r="AX33" s="36">
        <v>0</v>
      </c>
      <c r="AY33" s="30">
        <v>21</v>
      </c>
      <c r="AZ33" s="30">
        <v>10027</v>
      </c>
      <c r="BA33" s="36">
        <v>7</v>
      </c>
      <c r="BB33" s="36">
        <v>18</v>
      </c>
      <c r="BC33" s="36">
        <v>36</v>
      </c>
      <c r="BD33" s="36">
        <v>7</v>
      </c>
      <c r="BE33" s="38">
        <v>8.4</v>
      </c>
      <c r="BF33" s="38">
        <v>5</v>
      </c>
      <c r="BG33" s="30">
        <v>250</v>
      </c>
      <c r="BH33" s="30">
        <v>232</v>
      </c>
      <c r="BI33" s="12"/>
    </row>
    <row r="34" spans="1:61" x14ac:dyDescent="0.2">
      <c r="A34" s="11" t="s">
        <v>118</v>
      </c>
      <c r="B34" s="12"/>
      <c r="C34" s="13">
        <v>186534</v>
      </c>
      <c r="D34" s="14">
        <v>0</v>
      </c>
      <c r="E34" s="14">
        <v>1220237</v>
      </c>
      <c r="F34" s="14">
        <v>6855069</v>
      </c>
      <c r="G34" s="14">
        <v>0</v>
      </c>
      <c r="H34" s="14">
        <v>0</v>
      </c>
      <c r="I34" s="14">
        <v>69000</v>
      </c>
      <c r="J34" s="14">
        <v>101316</v>
      </c>
      <c r="K34" s="14">
        <v>650</v>
      </c>
      <c r="L34" s="14">
        <v>6093955</v>
      </c>
      <c r="M34" s="14">
        <v>864593</v>
      </c>
      <c r="N34" s="14">
        <v>121297</v>
      </c>
      <c r="O34" s="14">
        <v>331839</v>
      </c>
      <c r="P34" s="34">
        <v>27</v>
      </c>
      <c r="Q34" s="34">
        <v>57</v>
      </c>
      <c r="R34" s="34">
        <v>20</v>
      </c>
      <c r="S34" s="34">
        <v>52.98</v>
      </c>
      <c r="T34" s="34">
        <v>0.2</v>
      </c>
      <c r="U34" s="35">
        <v>209158</v>
      </c>
      <c r="V34" s="35">
        <v>64800</v>
      </c>
      <c r="W34" s="36">
        <v>201600</v>
      </c>
      <c r="X34" s="36">
        <v>64800</v>
      </c>
      <c r="Y34" s="36">
        <v>133988</v>
      </c>
      <c r="Z34" s="36">
        <v>49798</v>
      </c>
      <c r="AA34" s="36" t="s">
        <v>110</v>
      </c>
      <c r="AB34" s="36">
        <v>82</v>
      </c>
      <c r="AC34" s="37" t="s">
        <v>110</v>
      </c>
      <c r="AD34" s="36">
        <v>952332</v>
      </c>
      <c r="AE34" s="36">
        <v>274408</v>
      </c>
      <c r="AF34" s="36">
        <v>955</v>
      </c>
      <c r="AG34" s="36">
        <v>44908</v>
      </c>
      <c r="AH34" s="36">
        <v>33703</v>
      </c>
      <c r="AI34" s="36">
        <v>32557</v>
      </c>
      <c r="AJ34" s="13">
        <v>673729</v>
      </c>
      <c r="AK34" s="16"/>
      <c r="AL34" s="13">
        <v>2045</v>
      </c>
      <c r="AM34" s="15">
        <v>2111</v>
      </c>
      <c r="AN34" s="15">
        <v>326849</v>
      </c>
      <c r="AO34" s="15">
        <v>611829</v>
      </c>
      <c r="AP34" s="16"/>
      <c r="AQ34" s="13">
        <v>52349</v>
      </c>
      <c r="AR34" s="26">
        <v>100687</v>
      </c>
      <c r="AS34" s="26">
        <v>18111</v>
      </c>
      <c r="AT34" s="30">
        <v>33774</v>
      </c>
      <c r="AU34" s="36" t="s">
        <v>110</v>
      </c>
      <c r="AV34" s="36">
        <v>147</v>
      </c>
      <c r="AW34" s="36" t="s">
        <v>111</v>
      </c>
      <c r="AX34" s="36">
        <v>0</v>
      </c>
      <c r="AY34" s="30">
        <v>4</v>
      </c>
      <c r="AZ34" s="30">
        <v>2422</v>
      </c>
      <c r="BA34" s="36">
        <v>31</v>
      </c>
      <c r="BB34" s="36">
        <v>84</v>
      </c>
      <c r="BC34" s="36">
        <v>92</v>
      </c>
      <c r="BD34" s="36">
        <v>17</v>
      </c>
      <c r="BE34" s="38">
        <v>8.5</v>
      </c>
      <c r="BF34" s="38">
        <v>12.5</v>
      </c>
      <c r="BG34" s="30">
        <v>427</v>
      </c>
      <c r="BH34" s="30">
        <v>374</v>
      </c>
      <c r="BI34" s="12"/>
    </row>
    <row r="35" spans="1:61" x14ac:dyDescent="0.2">
      <c r="A35" s="11" t="s">
        <v>22</v>
      </c>
      <c r="B35" s="12"/>
      <c r="C35" s="13">
        <v>57626</v>
      </c>
      <c r="D35" s="14">
        <v>0</v>
      </c>
      <c r="E35" s="14">
        <v>443185</v>
      </c>
      <c r="F35" s="14">
        <v>2398485</v>
      </c>
      <c r="G35" s="14">
        <v>0</v>
      </c>
      <c r="H35" s="14">
        <v>23333</v>
      </c>
      <c r="I35" s="14">
        <v>6622</v>
      </c>
      <c r="J35" s="14">
        <v>26266</v>
      </c>
      <c r="K35" s="14">
        <v>0</v>
      </c>
      <c r="L35" s="14">
        <v>2310641</v>
      </c>
      <c r="M35" s="14">
        <v>288345</v>
      </c>
      <c r="N35" s="14">
        <v>30502</v>
      </c>
      <c r="O35" s="14">
        <v>106323</v>
      </c>
      <c r="P35" s="34">
        <v>21</v>
      </c>
      <c r="Q35" s="34">
        <v>8</v>
      </c>
      <c r="R35" s="34">
        <v>0</v>
      </c>
      <c r="S35" s="34">
        <v>24.5</v>
      </c>
      <c r="T35" s="34">
        <v>0</v>
      </c>
      <c r="U35" s="35">
        <v>104772</v>
      </c>
      <c r="V35" s="35">
        <v>43626</v>
      </c>
      <c r="W35" s="36">
        <v>100923</v>
      </c>
      <c r="X35" s="36">
        <v>43626</v>
      </c>
      <c r="Y35" s="36">
        <v>52695</v>
      </c>
      <c r="Z35" s="36">
        <v>8918</v>
      </c>
      <c r="AA35" s="36" t="s">
        <v>110</v>
      </c>
      <c r="AB35" s="36">
        <v>132</v>
      </c>
      <c r="AC35" s="37" t="s">
        <v>110</v>
      </c>
      <c r="AD35" s="36">
        <v>200840</v>
      </c>
      <c r="AE35" s="36">
        <v>50653</v>
      </c>
      <c r="AF35" s="54"/>
      <c r="AG35" s="36">
        <v>10650</v>
      </c>
      <c r="AH35" s="36">
        <v>4434</v>
      </c>
      <c r="AI35" s="36">
        <v>4434</v>
      </c>
      <c r="AJ35" s="13">
        <v>112024</v>
      </c>
      <c r="AK35" s="16"/>
      <c r="AL35" s="13">
        <v>2127</v>
      </c>
      <c r="AM35" s="13">
        <v>0</v>
      </c>
      <c r="AN35" s="15">
        <v>48630</v>
      </c>
      <c r="AO35" s="15">
        <v>26837</v>
      </c>
      <c r="AP35" s="13">
        <v>9366</v>
      </c>
      <c r="AQ35" s="13">
        <v>10086</v>
      </c>
      <c r="AR35" s="49"/>
      <c r="AS35" s="26">
        <v>7238</v>
      </c>
      <c r="AT35" s="26">
        <v>8538</v>
      </c>
      <c r="AU35" s="36" t="s">
        <v>110</v>
      </c>
      <c r="AV35" s="36">
        <v>138</v>
      </c>
      <c r="AW35" s="36" t="s">
        <v>110</v>
      </c>
      <c r="AX35" s="36">
        <v>9</v>
      </c>
      <c r="AY35" s="30">
        <v>4</v>
      </c>
      <c r="AZ35" s="30">
        <v>906</v>
      </c>
      <c r="BA35" s="36">
        <v>16</v>
      </c>
      <c r="BB35" s="36">
        <v>1</v>
      </c>
      <c r="BC35" s="36">
        <v>29</v>
      </c>
      <c r="BD35" s="36">
        <v>4</v>
      </c>
      <c r="BE35" s="38">
        <v>8.8000000000000007</v>
      </c>
      <c r="BF35" s="38">
        <v>11</v>
      </c>
      <c r="BG35" s="30">
        <v>53</v>
      </c>
      <c r="BH35" s="30">
        <v>40</v>
      </c>
      <c r="BI35" s="12"/>
    </row>
    <row r="36" spans="1:61" x14ac:dyDescent="0.2">
      <c r="A36" s="11" t="s">
        <v>23</v>
      </c>
      <c r="B36" s="12"/>
      <c r="C36" s="13">
        <v>56384</v>
      </c>
      <c r="D36" s="14">
        <v>0</v>
      </c>
      <c r="E36" s="14">
        <v>352472</v>
      </c>
      <c r="F36" s="14">
        <v>918637.87999999989</v>
      </c>
      <c r="G36" s="14">
        <v>0</v>
      </c>
      <c r="H36" s="14">
        <v>0</v>
      </c>
      <c r="I36" s="14">
        <v>0</v>
      </c>
      <c r="J36" s="14">
        <v>109961</v>
      </c>
      <c r="K36" s="14">
        <v>0</v>
      </c>
      <c r="L36" s="14">
        <v>1184455.92</v>
      </c>
      <c r="M36" s="14">
        <v>151244.25</v>
      </c>
      <c r="N36" s="14">
        <v>0</v>
      </c>
      <c r="O36" s="14">
        <v>45370.71</v>
      </c>
      <c r="P36" s="34">
        <v>11</v>
      </c>
      <c r="Q36" s="34">
        <v>12</v>
      </c>
      <c r="R36" s="34">
        <v>13</v>
      </c>
      <c r="S36" s="34">
        <v>19.5</v>
      </c>
      <c r="T36" s="34">
        <v>3</v>
      </c>
      <c r="U36" s="35">
        <v>59762</v>
      </c>
      <c r="V36" s="35">
        <v>61170</v>
      </c>
      <c r="W36" s="36">
        <v>59762</v>
      </c>
      <c r="X36" s="35">
        <v>61170</v>
      </c>
      <c r="Y36" s="36">
        <v>29341</v>
      </c>
      <c r="Z36" s="36">
        <v>59471</v>
      </c>
      <c r="AA36" s="36" t="s">
        <v>110</v>
      </c>
      <c r="AB36" s="36">
        <v>4</v>
      </c>
      <c r="AC36" s="37" t="s">
        <v>110</v>
      </c>
      <c r="AD36" s="36">
        <v>128841</v>
      </c>
      <c r="AE36" s="36">
        <v>19965</v>
      </c>
      <c r="AF36" s="54"/>
      <c r="AG36" s="36">
        <v>10042</v>
      </c>
      <c r="AH36" s="36">
        <v>3457</v>
      </c>
      <c r="AI36" s="36">
        <v>3457</v>
      </c>
      <c r="AJ36" s="13">
        <v>119578</v>
      </c>
      <c r="AK36" s="16"/>
      <c r="AL36" s="13">
        <v>0</v>
      </c>
      <c r="AM36" s="13">
        <v>0</v>
      </c>
      <c r="AN36" s="15">
        <v>26220</v>
      </c>
      <c r="AO36" s="15">
        <v>29653</v>
      </c>
      <c r="AP36" s="16"/>
      <c r="AQ36" s="13">
        <v>11469</v>
      </c>
      <c r="AR36" s="49"/>
      <c r="AS36" s="26">
        <v>3968</v>
      </c>
      <c r="AT36" s="26">
        <v>5144</v>
      </c>
      <c r="AU36" s="36" t="s">
        <v>110</v>
      </c>
      <c r="AV36" s="36">
        <v>14</v>
      </c>
      <c r="AW36" s="36" t="s">
        <v>111</v>
      </c>
      <c r="AX36" s="36">
        <v>0</v>
      </c>
      <c r="AY36" s="30">
        <v>3</v>
      </c>
      <c r="AZ36" s="30">
        <v>1254</v>
      </c>
      <c r="BA36" s="36">
        <v>9</v>
      </c>
      <c r="BB36" s="36">
        <v>12</v>
      </c>
      <c r="BC36" s="36">
        <v>19</v>
      </c>
      <c r="BD36" s="36">
        <v>4</v>
      </c>
      <c r="BE36" s="49"/>
      <c r="BF36" s="38">
        <v>15</v>
      </c>
      <c r="BG36" s="30">
        <v>126</v>
      </c>
      <c r="BH36" s="30">
        <v>99</v>
      </c>
      <c r="BI36" s="12"/>
    </row>
    <row r="37" spans="1:61" x14ac:dyDescent="0.2">
      <c r="A37" s="11" t="s">
        <v>24</v>
      </c>
      <c r="B37" s="12"/>
      <c r="C37" s="13">
        <v>209268</v>
      </c>
      <c r="D37" s="14">
        <v>0</v>
      </c>
      <c r="E37" s="14">
        <v>1332003</v>
      </c>
      <c r="F37" s="14">
        <v>8480407.2200000007</v>
      </c>
      <c r="G37" s="14">
        <v>0</v>
      </c>
      <c r="H37" s="14">
        <v>69751</v>
      </c>
      <c r="I37" s="14">
        <v>110352</v>
      </c>
      <c r="J37" s="14">
        <v>81891.289999999994</v>
      </c>
      <c r="K37" s="14">
        <v>9000</v>
      </c>
      <c r="L37" s="14">
        <v>6206477</v>
      </c>
      <c r="M37" s="14">
        <v>972639</v>
      </c>
      <c r="N37" s="14">
        <v>0</v>
      </c>
      <c r="O37" s="14">
        <v>528172</v>
      </c>
      <c r="P37" s="34">
        <v>35</v>
      </c>
      <c r="Q37" s="34">
        <v>39</v>
      </c>
      <c r="R37" s="34">
        <v>36</v>
      </c>
      <c r="S37" s="34">
        <v>56.89</v>
      </c>
      <c r="T37" s="34">
        <v>3.5</v>
      </c>
      <c r="U37" s="35">
        <v>191242</v>
      </c>
      <c r="V37" s="35">
        <v>52363</v>
      </c>
      <c r="W37" s="36">
        <v>187491</v>
      </c>
      <c r="X37" s="36">
        <v>51663</v>
      </c>
      <c r="Y37" s="36">
        <v>135369</v>
      </c>
      <c r="Z37" s="36">
        <v>31119</v>
      </c>
      <c r="AA37" s="36" t="s">
        <v>110</v>
      </c>
      <c r="AB37" s="36">
        <v>54</v>
      </c>
      <c r="AC37" s="37" t="s">
        <v>110</v>
      </c>
      <c r="AD37" s="36">
        <v>1303615</v>
      </c>
      <c r="AE37" s="36">
        <v>358037</v>
      </c>
      <c r="AF37" s="36">
        <v>3</v>
      </c>
      <c r="AG37" s="36">
        <v>76567</v>
      </c>
      <c r="AH37" s="36">
        <v>35765</v>
      </c>
      <c r="AI37" s="36">
        <v>33343</v>
      </c>
      <c r="AJ37" s="13">
        <v>874927</v>
      </c>
      <c r="AK37" s="16"/>
      <c r="AL37" s="13">
        <v>1320</v>
      </c>
      <c r="AM37" s="13">
        <v>3219</v>
      </c>
      <c r="AN37" s="15">
        <v>580586</v>
      </c>
      <c r="AO37" s="15">
        <v>252051</v>
      </c>
      <c r="AP37" s="13">
        <v>194531</v>
      </c>
      <c r="AQ37" s="13">
        <v>67487</v>
      </c>
      <c r="AR37" s="30">
        <v>215035</v>
      </c>
      <c r="AS37" s="30">
        <v>62379</v>
      </c>
      <c r="AT37" s="26">
        <v>51877</v>
      </c>
      <c r="AU37" s="36" t="s">
        <v>110</v>
      </c>
      <c r="AV37" s="36">
        <v>127</v>
      </c>
      <c r="AW37" s="36" t="s">
        <v>110</v>
      </c>
      <c r="AX37" s="36">
        <v>18</v>
      </c>
      <c r="AY37" s="30">
        <v>10</v>
      </c>
      <c r="AZ37" s="30">
        <v>13274</v>
      </c>
      <c r="BA37" s="36">
        <v>40</v>
      </c>
      <c r="BB37" s="36">
        <v>480</v>
      </c>
      <c r="BC37" s="36">
        <v>55</v>
      </c>
      <c r="BD37" s="36">
        <v>7</v>
      </c>
      <c r="BE37" s="38">
        <v>8.4</v>
      </c>
      <c r="BF37" s="38">
        <v>21</v>
      </c>
      <c r="BG37" s="30">
        <v>354</v>
      </c>
      <c r="BH37" s="30">
        <v>366</v>
      </c>
      <c r="BI37" s="12"/>
    </row>
    <row r="38" spans="1:61" x14ac:dyDescent="0.2">
      <c r="A38" s="11" t="s">
        <v>25</v>
      </c>
      <c r="B38" s="12"/>
      <c r="C38" s="13">
        <v>129732</v>
      </c>
      <c r="D38" s="2">
        <v>0</v>
      </c>
      <c r="E38" s="14">
        <v>873360</v>
      </c>
      <c r="F38" s="14">
        <v>6301207</v>
      </c>
      <c r="G38" s="2">
        <v>0</v>
      </c>
      <c r="H38" s="2">
        <v>0</v>
      </c>
      <c r="I38" s="2">
        <v>4780208</v>
      </c>
      <c r="J38" s="14">
        <v>123114</v>
      </c>
      <c r="K38" s="14">
        <v>0</v>
      </c>
      <c r="L38" s="14">
        <v>4798635</v>
      </c>
      <c r="M38" s="14">
        <v>724774</v>
      </c>
      <c r="N38" s="2">
        <v>0</v>
      </c>
      <c r="O38" s="14">
        <v>298418</v>
      </c>
      <c r="P38" s="34">
        <v>25</v>
      </c>
      <c r="Q38" s="34">
        <v>28</v>
      </c>
      <c r="R38" s="34">
        <v>27</v>
      </c>
      <c r="S38" s="34">
        <v>41</v>
      </c>
      <c r="T38" s="34">
        <v>3</v>
      </c>
      <c r="U38" s="35">
        <v>130631</v>
      </c>
      <c r="V38" s="35">
        <v>50658</v>
      </c>
      <c r="W38" s="36">
        <v>119403</v>
      </c>
      <c r="X38" s="36">
        <v>50658</v>
      </c>
      <c r="Y38" s="36">
        <v>87474</v>
      </c>
      <c r="Z38" s="36">
        <v>266177</v>
      </c>
      <c r="AA38" s="36" t="s">
        <v>111</v>
      </c>
      <c r="AB38" s="54"/>
      <c r="AC38" s="37" t="s">
        <v>110</v>
      </c>
      <c r="AD38" s="36">
        <v>626929</v>
      </c>
      <c r="AE38" s="36">
        <v>313254</v>
      </c>
      <c r="AF38" s="36">
        <v>55</v>
      </c>
      <c r="AG38" s="36">
        <v>53784</v>
      </c>
      <c r="AH38" s="36">
        <v>29457</v>
      </c>
      <c r="AI38" s="36">
        <v>25305</v>
      </c>
      <c r="AJ38" s="13">
        <v>446623</v>
      </c>
      <c r="AK38" s="16"/>
      <c r="AL38" s="13">
        <v>521</v>
      </c>
      <c r="AM38" s="13">
        <v>2463</v>
      </c>
      <c r="AN38" s="15">
        <v>211165</v>
      </c>
      <c r="AO38" s="15">
        <v>171024</v>
      </c>
      <c r="AP38" s="15">
        <v>224067</v>
      </c>
      <c r="AQ38" s="13">
        <v>57172</v>
      </c>
      <c r="AR38" s="49"/>
      <c r="AS38" s="49"/>
      <c r="AT38" s="30">
        <v>136712</v>
      </c>
      <c r="AU38" s="36" t="s">
        <v>110</v>
      </c>
      <c r="AV38" s="36">
        <v>48</v>
      </c>
      <c r="AW38" s="36" t="s">
        <v>110</v>
      </c>
      <c r="AX38" s="36">
        <v>32</v>
      </c>
      <c r="AY38" s="30">
        <v>12</v>
      </c>
      <c r="AZ38" s="30">
        <v>5724.25</v>
      </c>
      <c r="BA38" s="36">
        <v>25</v>
      </c>
      <c r="BB38" s="36">
        <v>30</v>
      </c>
      <c r="BC38" s="36">
        <v>85</v>
      </c>
      <c r="BD38" s="36">
        <v>15</v>
      </c>
      <c r="BE38" s="38">
        <v>8.74</v>
      </c>
      <c r="BF38" s="38">
        <v>13</v>
      </c>
      <c r="BG38" s="30">
        <v>464</v>
      </c>
      <c r="BH38" s="30">
        <v>406</v>
      </c>
      <c r="BI38" s="12"/>
    </row>
    <row r="39" spans="1:61" x14ac:dyDescent="0.2">
      <c r="A39" s="11" t="s">
        <v>26</v>
      </c>
      <c r="B39" s="12"/>
      <c r="C39" s="13">
        <v>171450</v>
      </c>
      <c r="D39" s="2">
        <v>0</v>
      </c>
      <c r="E39" s="14">
        <v>1117522</v>
      </c>
      <c r="F39" s="14">
        <v>5266880</v>
      </c>
      <c r="G39" s="14">
        <v>0</v>
      </c>
      <c r="H39" s="14">
        <v>20314</v>
      </c>
      <c r="I39" s="14">
        <v>24444</v>
      </c>
      <c r="J39" s="14">
        <v>15693</v>
      </c>
      <c r="K39" s="14">
        <v>0</v>
      </c>
      <c r="L39" s="14">
        <v>3984405</v>
      </c>
      <c r="M39" s="14">
        <v>394125</v>
      </c>
      <c r="N39" s="14">
        <v>78178</v>
      </c>
      <c r="O39" s="14">
        <v>300000</v>
      </c>
      <c r="P39" s="34">
        <v>27</v>
      </c>
      <c r="Q39" s="34">
        <v>16</v>
      </c>
      <c r="R39" s="34">
        <v>28</v>
      </c>
      <c r="S39" s="34">
        <v>36.520000000000003</v>
      </c>
      <c r="T39" s="34">
        <v>0</v>
      </c>
      <c r="U39" s="35">
        <v>152599</v>
      </c>
      <c r="V39" s="35">
        <v>9966</v>
      </c>
      <c r="W39" s="36">
        <v>152599</v>
      </c>
      <c r="X39" s="35">
        <v>9966</v>
      </c>
      <c r="Y39" s="36">
        <v>93056</v>
      </c>
      <c r="Z39" s="35">
        <v>0</v>
      </c>
      <c r="AA39" s="36" t="s">
        <v>110</v>
      </c>
      <c r="AB39" s="35">
        <v>2</v>
      </c>
      <c r="AC39" s="37" t="s">
        <v>110</v>
      </c>
      <c r="AD39" s="36">
        <v>932315</v>
      </c>
      <c r="AE39" s="35">
        <v>356458</v>
      </c>
      <c r="AF39" s="54"/>
      <c r="AG39" s="36">
        <v>56677</v>
      </c>
      <c r="AH39" s="58"/>
      <c r="AI39" s="36">
        <v>20176</v>
      </c>
      <c r="AJ39" s="13">
        <v>343463</v>
      </c>
      <c r="AK39" s="13">
        <v>852</v>
      </c>
      <c r="AL39" s="13">
        <v>267</v>
      </c>
      <c r="AM39" s="13">
        <v>5707</v>
      </c>
      <c r="AN39" s="15">
        <v>133674</v>
      </c>
      <c r="AO39" s="15">
        <v>184412</v>
      </c>
      <c r="AP39" s="13">
        <v>83793</v>
      </c>
      <c r="AQ39" s="13">
        <v>30937</v>
      </c>
      <c r="AR39" s="26">
        <v>50873</v>
      </c>
      <c r="AS39" s="30">
        <v>18510</v>
      </c>
      <c r="AT39" s="30">
        <v>25130</v>
      </c>
      <c r="AU39" s="36" t="s">
        <v>110</v>
      </c>
      <c r="AV39" s="36">
        <v>89</v>
      </c>
      <c r="AW39" s="36" t="s">
        <v>110</v>
      </c>
      <c r="AX39" s="36">
        <v>54</v>
      </c>
      <c r="AY39" s="30">
        <v>2</v>
      </c>
      <c r="AZ39" s="30">
        <v>18</v>
      </c>
      <c r="BA39" s="36">
        <v>85</v>
      </c>
      <c r="BB39" s="36">
        <v>291</v>
      </c>
      <c r="BC39" s="36">
        <v>56</v>
      </c>
      <c r="BD39" s="36">
        <v>10</v>
      </c>
      <c r="BE39" s="49"/>
      <c r="BF39" s="38">
        <v>7.5</v>
      </c>
      <c r="BG39" s="30">
        <v>292</v>
      </c>
      <c r="BH39" s="30">
        <v>244</v>
      </c>
      <c r="BI39" s="12"/>
    </row>
    <row r="40" spans="1:61" x14ac:dyDescent="0.2">
      <c r="A40" s="11" t="s">
        <v>27</v>
      </c>
      <c r="B40" s="12"/>
      <c r="C40" s="13">
        <v>15603</v>
      </c>
      <c r="D40" s="14">
        <v>0</v>
      </c>
      <c r="E40" s="14">
        <v>172060</v>
      </c>
      <c r="F40" s="14">
        <v>681496</v>
      </c>
      <c r="G40" s="14">
        <v>0</v>
      </c>
      <c r="H40" s="14">
        <v>0</v>
      </c>
      <c r="I40" s="14">
        <v>0</v>
      </c>
      <c r="J40" s="14">
        <v>14186</v>
      </c>
      <c r="K40" s="14">
        <v>420</v>
      </c>
      <c r="L40" s="14">
        <v>560321</v>
      </c>
      <c r="M40" s="14">
        <v>88820</v>
      </c>
      <c r="N40" s="14">
        <v>19918</v>
      </c>
      <c r="O40" s="14">
        <v>0</v>
      </c>
      <c r="P40" s="34">
        <v>1</v>
      </c>
      <c r="Q40" s="34">
        <v>9</v>
      </c>
      <c r="R40" s="34">
        <v>8</v>
      </c>
      <c r="S40" s="34">
        <v>5.5</v>
      </c>
      <c r="T40" s="34">
        <v>0</v>
      </c>
      <c r="U40" s="35">
        <v>33065</v>
      </c>
      <c r="V40" s="35">
        <v>22842</v>
      </c>
      <c r="W40" s="36">
        <v>33065</v>
      </c>
      <c r="X40" s="36">
        <v>22842</v>
      </c>
      <c r="Y40" s="36">
        <v>17752</v>
      </c>
      <c r="Z40" s="36">
        <v>22842</v>
      </c>
      <c r="AA40" s="36" t="s">
        <v>111</v>
      </c>
      <c r="AB40" s="54"/>
      <c r="AC40" s="37" t="s">
        <v>110</v>
      </c>
      <c r="AD40" s="36">
        <v>58817</v>
      </c>
      <c r="AE40" s="36">
        <v>19070</v>
      </c>
      <c r="AF40" s="54"/>
      <c r="AG40" s="36">
        <v>2421</v>
      </c>
      <c r="AH40" s="36">
        <v>1190</v>
      </c>
      <c r="AI40" s="36">
        <v>1190</v>
      </c>
      <c r="AJ40" s="13">
        <v>68228</v>
      </c>
      <c r="AK40" s="36">
        <v>2470</v>
      </c>
      <c r="AL40" s="13">
        <v>12</v>
      </c>
      <c r="AM40" s="13">
        <v>303</v>
      </c>
      <c r="AN40" s="15">
        <v>13234</v>
      </c>
      <c r="AO40" s="15">
        <v>0</v>
      </c>
      <c r="AP40" s="16"/>
      <c r="AQ40" s="13">
        <v>8266</v>
      </c>
      <c r="AR40" s="49"/>
      <c r="AS40" s="49"/>
      <c r="AT40" s="30">
        <v>3935</v>
      </c>
      <c r="AU40" s="36" t="s">
        <v>110</v>
      </c>
      <c r="AV40" s="36">
        <v>12</v>
      </c>
      <c r="AW40" s="36" t="s">
        <v>110</v>
      </c>
      <c r="AX40" s="36">
        <v>5</v>
      </c>
      <c r="AY40" s="30">
        <v>0</v>
      </c>
      <c r="AZ40" s="30">
        <v>0</v>
      </c>
      <c r="BA40" s="36">
        <v>4</v>
      </c>
      <c r="BB40" s="36">
        <v>19</v>
      </c>
      <c r="BC40" s="36">
        <v>12</v>
      </c>
      <c r="BD40" s="36">
        <v>3</v>
      </c>
      <c r="BE40" s="38">
        <v>8.4</v>
      </c>
      <c r="BF40" s="38">
        <v>5</v>
      </c>
      <c r="BG40" s="30">
        <v>41.76</v>
      </c>
      <c r="BH40" s="30">
        <v>43</v>
      </c>
      <c r="BI40" s="12"/>
    </row>
    <row r="41" spans="1:61" x14ac:dyDescent="0.2">
      <c r="A41" s="11" t="s">
        <v>75</v>
      </c>
      <c r="B41" s="12"/>
      <c r="C41" s="13">
        <v>266867</v>
      </c>
      <c r="D41" s="2">
        <v>0</v>
      </c>
      <c r="E41" s="14">
        <v>1698745</v>
      </c>
      <c r="F41" s="14">
        <v>8233060</v>
      </c>
      <c r="G41" s="2">
        <v>0</v>
      </c>
      <c r="H41" s="2">
        <v>7590</v>
      </c>
      <c r="I41" s="14">
        <v>0</v>
      </c>
      <c r="J41" s="14">
        <v>128317</v>
      </c>
      <c r="K41" s="14">
        <v>144132</v>
      </c>
      <c r="L41" s="14">
        <v>6270376</v>
      </c>
      <c r="M41" s="2">
        <v>968255.84000000008</v>
      </c>
      <c r="N41" s="14">
        <v>275793</v>
      </c>
      <c r="O41" s="14">
        <v>627921.14</v>
      </c>
      <c r="P41" s="34">
        <v>24</v>
      </c>
      <c r="Q41" s="34">
        <v>60</v>
      </c>
      <c r="R41" s="34">
        <v>29</v>
      </c>
      <c r="S41" s="34">
        <v>51.5</v>
      </c>
      <c r="T41" s="34">
        <v>0</v>
      </c>
      <c r="U41" s="35">
        <v>212326</v>
      </c>
      <c r="V41" s="35">
        <v>45325</v>
      </c>
      <c r="W41" s="36">
        <v>210855</v>
      </c>
      <c r="X41" s="36">
        <v>45325</v>
      </c>
      <c r="Y41" s="36">
        <v>109056</v>
      </c>
      <c r="Z41" s="36">
        <v>46588</v>
      </c>
      <c r="AA41" s="36" t="s">
        <v>110</v>
      </c>
      <c r="AB41" s="36">
        <v>112</v>
      </c>
      <c r="AC41" s="37" t="s">
        <v>110</v>
      </c>
      <c r="AD41" s="36">
        <v>836993</v>
      </c>
      <c r="AE41" s="36">
        <v>509878</v>
      </c>
      <c r="AF41" s="54"/>
      <c r="AG41" s="36">
        <v>78996</v>
      </c>
      <c r="AH41" s="36">
        <v>47374</v>
      </c>
      <c r="AI41" s="36">
        <v>34863</v>
      </c>
      <c r="AJ41" s="13">
        <v>778195</v>
      </c>
      <c r="AK41" s="13">
        <v>22781</v>
      </c>
      <c r="AL41" s="13">
        <v>975</v>
      </c>
      <c r="AM41" s="13">
        <v>11802</v>
      </c>
      <c r="AN41" s="15">
        <v>463932</v>
      </c>
      <c r="AO41" s="15">
        <v>93209</v>
      </c>
      <c r="AP41" s="13">
        <v>222572</v>
      </c>
      <c r="AQ41" s="13">
        <v>101165</v>
      </c>
      <c r="AR41" s="49"/>
      <c r="AS41" s="49"/>
      <c r="AT41" s="26">
        <v>33173</v>
      </c>
      <c r="AU41" s="36" t="s">
        <v>110</v>
      </c>
      <c r="AV41" s="36">
        <v>95</v>
      </c>
      <c r="AW41" s="36" t="s">
        <v>110</v>
      </c>
      <c r="AX41" s="36">
        <v>11</v>
      </c>
      <c r="AY41" s="30">
        <v>12</v>
      </c>
      <c r="AZ41" s="30">
        <v>429</v>
      </c>
      <c r="BA41" s="36">
        <v>122</v>
      </c>
      <c r="BB41" s="36">
        <v>42</v>
      </c>
      <c r="BC41" s="36">
        <v>125</v>
      </c>
      <c r="BD41" s="36">
        <v>0</v>
      </c>
      <c r="BE41" s="38">
        <v>9.1999999999999993</v>
      </c>
      <c r="BF41" s="38">
        <v>56</v>
      </c>
      <c r="BG41" s="30">
        <v>749</v>
      </c>
      <c r="BH41" s="30">
        <v>374</v>
      </c>
      <c r="BI41" s="12"/>
    </row>
    <row r="42" spans="1:61" x14ac:dyDescent="0.2">
      <c r="A42" s="11" t="s">
        <v>28</v>
      </c>
      <c r="B42" s="12"/>
      <c r="C42" s="13">
        <v>112669</v>
      </c>
      <c r="D42" s="14">
        <v>0</v>
      </c>
      <c r="E42" s="14">
        <v>766691</v>
      </c>
      <c r="F42" s="14">
        <v>6081915</v>
      </c>
      <c r="G42" s="14">
        <v>0</v>
      </c>
      <c r="H42" s="14">
        <v>200000</v>
      </c>
      <c r="I42" s="14">
        <v>200000</v>
      </c>
      <c r="J42" s="14">
        <v>54261.09</v>
      </c>
      <c r="K42" s="14">
        <v>0</v>
      </c>
      <c r="L42" s="14">
        <v>4591895.49</v>
      </c>
      <c r="M42" s="14">
        <v>614818.38</v>
      </c>
      <c r="N42" s="14">
        <v>0</v>
      </c>
      <c r="O42" s="14">
        <v>259293.29</v>
      </c>
      <c r="P42" s="34">
        <v>19</v>
      </c>
      <c r="Q42" s="34">
        <v>39</v>
      </c>
      <c r="R42" s="34">
        <v>0</v>
      </c>
      <c r="S42" s="34">
        <v>46</v>
      </c>
      <c r="T42" s="34">
        <v>0</v>
      </c>
      <c r="U42" s="35">
        <v>171527</v>
      </c>
      <c r="V42" s="35">
        <v>44051</v>
      </c>
      <c r="W42" s="36">
        <v>165866</v>
      </c>
      <c r="X42" s="36">
        <v>44051</v>
      </c>
      <c r="Y42" s="36">
        <v>80925</v>
      </c>
      <c r="Z42" s="36">
        <v>44051</v>
      </c>
      <c r="AA42" s="36" t="s">
        <v>110</v>
      </c>
      <c r="AB42" s="36">
        <v>49</v>
      </c>
      <c r="AC42" s="37" t="s">
        <v>110</v>
      </c>
      <c r="AD42" s="36">
        <v>810866</v>
      </c>
      <c r="AE42" s="36">
        <v>222833</v>
      </c>
      <c r="AF42" s="36">
        <v>104</v>
      </c>
      <c r="AG42" s="36">
        <v>46517</v>
      </c>
      <c r="AH42" s="36">
        <v>23802</v>
      </c>
      <c r="AI42" s="36">
        <v>20642</v>
      </c>
      <c r="AJ42" s="13">
        <v>568210</v>
      </c>
      <c r="AK42" s="16"/>
      <c r="AL42" s="13">
        <v>1686</v>
      </c>
      <c r="AM42" s="13">
        <v>1911</v>
      </c>
      <c r="AN42" s="15">
        <v>325277</v>
      </c>
      <c r="AO42" s="15">
        <v>2387066</v>
      </c>
      <c r="AP42" s="13">
        <v>78424</v>
      </c>
      <c r="AQ42" s="13">
        <v>38273</v>
      </c>
      <c r="AR42" s="26">
        <v>63412</v>
      </c>
      <c r="AS42" s="26">
        <v>9060.116</v>
      </c>
      <c r="AT42" s="26">
        <v>37051</v>
      </c>
      <c r="AU42" s="36" t="s">
        <v>110</v>
      </c>
      <c r="AV42" s="36">
        <v>95</v>
      </c>
      <c r="AW42" s="36" t="s">
        <v>110</v>
      </c>
      <c r="AX42" s="36">
        <v>15</v>
      </c>
      <c r="AY42" s="30">
        <v>4</v>
      </c>
      <c r="AZ42" s="30">
        <v>7501</v>
      </c>
      <c r="BA42" s="36">
        <v>17</v>
      </c>
      <c r="BB42" s="36">
        <v>100</v>
      </c>
      <c r="BC42" s="36">
        <v>43</v>
      </c>
      <c r="BD42" s="36">
        <v>14</v>
      </c>
      <c r="BE42" s="38">
        <v>8.6</v>
      </c>
      <c r="BF42" s="38">
        <v>12.5</v>
      </c>
      <c r="BG42" s="30">
        <v>369</v>
      </c>
      <c r="BH42" s="30">
        <v>267</v>
      </c>
      <c r="BI42" s="12"/>
    </row>
    <row r="43" spans="1:61" x14ac:dyDescent="0.2">
      <c r="A43" s="11" t="s">
        <v>29</v>
      </c>
      <c r="B43" s="12"/>
      <c r="C43" s="13">
        <v>114038</v>
      </c>
      <c r="D43" s="14">
        <v>0</v>
      </c>
      <c r="E43" s="14">
        <v>790228</v>
      </c>
      <c r="F43" s="14">
        <v>6098684.3100000005</v>
      </c>
      <c r="G43" s="14">
        <v>0</v>
      </c>
      <c r="H43" s="14">
        <v>0</v>
      </c>
      <c r="I43" s="14">
        <v>899236.37</v>
      </c>
      <c r="J43" s="14">
        <v>0</v>
      </c>
      <c r="K43" s="14">
        <v>63482</v>
      </c>
      <c r="L43" s="14">
        <v>3908044.64</v>
      </c>
      <c r="M43" s="14">
        <v>469958</v>
      </c>
      <c r="N43" s="14">
        <v>159234.63</v>
      </c>
      <c r="O43" s="14">
        <v>341129</v>
      </c>
      <c r="P43" s="34">
        <v>24</v>
      </c>
      <c r="Q43" s="34">
        <v>22</v>
      </c>
      <c r="R43" s="34">
        <v>9</v>
      </c>
      <c r="S43" s="34">
        <v>35.99</v>
      </c>
      <c r="T43" s="34">
        <v>4</v>
      </c>
      <c r="U43" s="35">
        <v>101676</v>
      </c>
      <c r="V43" s="35">
        <v>105934</v>
      </c>
      <c r="W43" s="36">
        <v>100150</v>
      </c>
      <c r="X43" s="36">
        <v>105934</v>
      </c>
      <c r="Y43" s="36">
        <v>62283</v>
      </c>
      <c r="Z43" s="36">
        <v>105934</v>
      </c>
      <c r="AA43" s="36" t="s">
        <v>110</v>
      </c>
      <c r="AB43" s="36">
        <v>3</v>
      </c>
      <c r="AC43" s="37" t="s">
        <v>110</v>
      </c>
      <c r="AD43" s="36">
        <v>436297</v>
      </c>
      <c r="AE43" s="36">
        <v>331950</v>
      </c>
      <c r="AF43" s="54"/>
      <c r="AG43" s="36">
        <v>30340</v>
      </c>
      <c r="AH43" s="36">
        <v>17437</v>
      </c>
      <c r="AI43" s="36">
        <v>16076</v>
      </c>
      <c r="AJ43" s="13">
        <v>298442</v>
      </c>
      <c r="AK43" s="16"/>
      <c r="AL43" s="13">
        <v>2380</v>
      </c>
      <c r="AM43" s="13">
        <v>707</v>
      </c>
      <c r="AN43" s="15">
        <v>183155</v>
      </c>
      <c r="AO43" s="15">
        <v>103181</v>
      </c>
      <c r="AP43" s="15">
        <v>126847</v>
      </c>
      <c r="AQ43" s="13">
        <v>25277</v>
      </c>
      <c r="AR43" s="49"/>
      <c r="AS43" s="49"/>
      <c r="AT43" s="30">
        <v>15084</v>
      </c>
      <c r="AU43" s="36" t="s">
        <v>110</v>
      </c>
      <c r="AV43" s="36">
        <v>272</v>
      </c>
      <c r="AW43" s="36" t="s">
        <v>111</v>
      </c>
      <c r="AX43" s="36">
        <v>0</v>
      </c>
      <c r="AY43" s="30">
        <v>3</v>
      </c>
      <c r="AZ43" s="30">
        <v>367.75</v>
      </c>
      <c r="BA43" s="36">
        <v>6</v>
      </c>
      <c r="BB43" s="36">
        <v>28</v>
      </c>
      <c r="BC43" s="36">
        <v>23</v>
      </c>
      <c r="BD43" s="36">
        <v>6</v>
      </c>
      <c r="BE43" s="38">
        <v>7.7</v>
      </c>
      <c r="BF43" s="38">
        <v>7</v>
      </c>
      <c r="BG43" s="30">
        <v>25</v>
      </c>
      <c r="BH43" s="30">
        <v>21</v>
      </c>
      <c r="BI43" s="12"/>
    </row>
    <row r="44" spans="1:61" x14ac:dyDescent="0.2">
      <c r="A44" s="11" t="s">
        <v>30</v>
      </c>
      <c r="B44" s="12"/>
      <c r="C44" s="13">
        <v>21094</v>
      </c>
      <c r="D44" s="18">
        <v>0</v>
      </c>
      <c r="E44" s="18">
        <v>224788</v>
      </c>
      <c r="F44" s="18">
        <v>1086728</v>
      </c>
      <c r="G44" s="18">
        <v>0</v>
      </c>
      <c r="H44" s="18">
        <v>0</v>
      </c>
      <c r="I44" s="18">
        <v>0</v>
      </c>
      <c r="J44" s="18">
        <v>20916</v>
      </c>
      <c r="K44" s="18">
        <v>118560</v>
      </c>
      <c r="L44" s="18">
        <v>884890</v>
      </c>
      <c r="M44" s="18">
        <v>170100</v>
      </c>
      <c r="N44" s="18">
        <v>18217</v>
      </c>
      <c r="O44" s="18">
        <v>30825</v>
      </c>
      <c r="P44" s="34">
        <v>5</v>
      </c>
      <c r="Q44" s="34">
        <v>7</v>
      </c>
      <c r="R44" s="34">
        <v>0</v>
      </c>
      <c r="S44" s="34">
        <v>8.8000000000000007</v>
      </c>
      <c r="T44" s="34">
        <v>0</v>
      </c>
      <c r="U44" s="35">
        <v>92864</v>
      </c>
      <c r="V44" s="35">
        <v>23074</v>
      </c>
      <c r="W44" s="36">
        <v>78165</v>
      </c>
      <c r="X44" s="36">
        <v>23074</v>
      </c>
      <c r="Y44" s="36">
        <v>33696</v>
      </c>
      <c r="Z44" s="36">
        <v>11761</v>
      </c>
      <c r="AA44" s="36" t="s">
        <v>110</v>
      </c>
      <c r="AB44" s="36">
        <v>3</v>
      </c>
      <c r="AC44" s="37" t="s">
        <v>110</v>
      </c>
      <c r="AD44" s="36">
        <v>83769</v>
      </c>
      <c r="AE44" s="36">
        <v>24278</v>
      </c>
      <c r="AF44" s="54"/>
      <c r="AG44" s="36">
        <v>5468</v>
      </c>
      <c r="AH44" s="36">
        <v>2297</v>
      </c>
      <c r="AI44" s="36">
        <v>2244</v>
      </c>
      <c r="AJ44" s="13">
        <v>49809</v>
      </c>
      <c r="AK44" s="13">
        <v>5597</v>
      </c>
      <c r="AL44" s="13">
        <v>142</v>
      </c>
      <c r="AM44" s="13">
        <v>3767</v>
      </c>
      <c r="AN44" s="13">
        <v>29326</v>
      </c>
      <c r="AO44" s="13">
        <v>7500</v>
      </c>
      <c r="AP44" s="13">
        <v>2889</v>
      </c>
      <c r="AQ44" s="13">
        <v>13424</v>
      </c>
      <c r="AR44" s="26">
        <v>2967</v>
      </c>
      <c r="AS44" s="26">
        <v>1146</v>
      </c>
      <c r="AT44" s="26">
        <v>1153</v>
      </c>
      <c r="AU44" s="36" t="s">
        <v>110</v>
      </c>
      <c r="AV44" s="36">
        <v>18</v>
      </c>
      <c r="AW44" s="36" t="s">
        <v>111</v>
      </c>
      <c r="AX44" s="36">
        <v>0</v>
      </c>
      <c r="AY44" s="26">
        <v>3</v>
      </c>
      <c r="AZ44" s="26">
        <v>530</v>
      </c>
      <c r="BA44" s="36">
        <v>6</v>
      </c>
      <c r="BB44" s="36">
        <v>85</v>
      </c>
      <c r="BC44" s="36">
        <v>16</v>
      </c>
      <c r="BD44" s="36">
        <v>3</v>
      </c>
      <c r="BE44" s="38">
        <v>8.3000000000000007</v>
      </c>
      <c r="BF44" s="38">
        <v>6</v>
      </c>
      <c r="BG44" s="30">
        <v>87</v>
      </c>
      <c r="BH44" s="30">
        <v>50</v>
      </c>
      <c r="BI44" s="12"/>
    </row>
    <row r="45" spans="1:61" x14ac:dyDescent="0.2">
      <c r="A45" s="11" t="s">
        <v>31</v>
      </c>
      <c r="B45" s="12"/>
      <c r="C45" s="13">
        <v>6237</v>
      </c>
      <c r="D45" s="18">
        <v>0</v>
      </c>
      <c r="E45" s="18">
        <v>125140</v>
      </c>
      <c r="F45" s="18">
        <v>114404</v>
      </c>
      <c r="G45" s="18">
        <v>0</v>
      </c>
      <c r="H45" s="18">
        <v>0</v>
      </c>
      <c r="I45" s="18">
        <v>0</v>
      </c>
      <c r="J45" s="18">
        <v>365.43</v>
      </c>
      <c r="K45" s="18">
        <v>0</v>
      </c>
      <c r="L45" s="18">
        <v>171697</v>
      </c>
      <c r="M45" s="18">
        <v>16281</v>
      </c>
      <c r="N45" s="18">
        <v>0</v>
      </c>
      <c r="O45" s="18">
        <v>9759</v>
      </c>
      <c r="P45" s="34">
        <v>0</v>
      </c>
      <c r="Q45" s="34">
        <v>3</v>
      </c>
      <c r="R45" s="34">
        <v>1</v>
      </c>
      <c r="S45" s="34">
        <v>2</v>
      </c>
      <c r="T45" s="34">
        <v>0.1</v>
      </c>
      <c r="U45" s="35">
        <v>13116</v>
      </c>
      <c r="V45" s="35">
        <v>5709</v>
      </c>
      <c r="W45" s="36">
        <v>13116</v>
      </c>
      <c r="X45" s="35">
        <v>5709</v>
      </c>
      <c r="Y45" s="36">
        <v>3161</v>
      </c>
      <c r="Z45" s="35">
        <v>5709</v>
      </c>
      <c r="AA45" s="36" t="s">
        <v>111</v>
      </c>
      <c r="AB45" s="36">
        <v>0</v>
      </c>
      <c r="AC45" s="37" t="s">
        <v>110</v>
      </c>
      <c r="AD45" s="36">
        <v>13377</v>
      </c>
      <c r="AE45" s="36">
        <v>5382</v>
      </c>
      <c r="AF45" s="36">
        <v>0</v>
      </c>
      <c r="AG45" s="36">
        <v>2258</v>
      </c>
      <c r="AH45" s="36">
        <v>2258</v>
      </c>
      <c r="AI45" s="36">
        <v>2258</v>
      </c>
      <c r="AJ45" s="13">
        <v>11935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1435</v>
      </c>
      <c r="AR45" s="30">
        <v>870</v>
      </c>
      <c r="AS45" s="30">
        <v>0</v>
      </c>
      <c r="AT45" s="30">
        <v>1030</v>
      </c>
      <c r="AU45" s="36" t="s">
        <v>111</v>
      </c>
      <c r="AV45" s="36">
        <v>0</v>
      </c>
      <c r="AW45" s="36">
        <v>0</v>
      </c>
      <c r="AX45" s="36">
        <v>0</v>
      </c>
      <c r="AY45" s="30">
        <v>1</v>
      </c>
      <c r="AZ45" s="30">
        <v>366</v>
      </c>
      <c r="BA45" s="36">
        <v>2</v>
      </c>
      <c r="BB45" s="36">
        <v>11</v>
      </c>
      <c r="BC45" s="36">
        <v>6</v>
      </c>
      <c r="BD45" s="36">
        <v>0</v>
      </c>
      <c r="BE45" s="49"/>
      <c r="BF45" s="38">
        <v>2</v>
      </c>
      <c r="BG45" s="30">
        <v>10</v>
      </c>
      <c r="BH45" s="30">
        <v>6</v>
      </c>
      <c r="BI45" s="12"/>
    </row>
    <row r="46" spans="1:61" x14ac:dyDescent="0.2">
      <c r="A46" s="11" t="s">
        <v>73</v>
      </c>
      <c r="B46" s="12"/>
      <c r="C46" s="13">
        <v>36150</v>
      </c>
      <c r="D46" s="14">
        <v>0</v>
      </c>
      <c r="E46" s="14">
        <v>295956</v>
      </c>
      <c r="F46" s="14">
        <v>1776589.97</v>
      </c>
      <c r="G46" s="14">
        <v>0</v>
      </c>
      <c r="H46" s="14">
        <v>0</v>
      </c>
      <c r="I46" s="14">
        <v>46278</v>
      </c>
      <c r="J46" s="14">
        <v>26436</v>
      </c>
      <c r="K46" s="14">
        <v>410917</v>
      </c>
      <c r="L46" s="14">
        <v>1329360.8600000001</v>
      </c>
      <c r="M46" s="14">
        <v>227018.05</v>
      </c>
      <c r="N46" s="14">
        <v>0</v>
      </c>
      <c r="O46" s="14">
        <v>140830.68</v>
      </c>
      <c r="P46" s="34">
        <v>6</v>
      </c>
      <c r="Q46" s="34">
        <v>10</v>
      </c>
      <c r="R46" s="34">
        <v>11</v>
      </c>
      <c r="S46" s="34">
        <v>11.9</v>
      </c>
      <c r="T46" s="34">
        <v>1.05</v>
      </c>
      <c r="U46" s="35">
        <v>54883</v>
      </c>
      <c r="V46" s="35">
        <v>29970</v>
      </c>
      <c r="W46" s="36">
        <v>54289</v>
      </c>
      <c r="X46" s="36">
        <v>30816</v>
      </c>
      <c r="Y46" s="36">
        <v>41680</v>
      </c>
      <c r="Z46" s="36">
        <v>30723</v>
      </c>
      <c r="AA46" s="36" t="s">
        <v>111</v>
      </c>
      <c r="AB46" s="54"/>
      <c r="AC46" s="37" t="s">
        <v>110</v>
      </c>
      <c r="AD46" s="36">
        <v>242189</v>
      </c>
      <c r="AE46" s="36">
        <v>62617</v>
      </c>
      <c r="AF46" s="54"/>
      <c r="AG46" s="36">
        <v>17223</v>
      </c>
      <c r="AH46" s="36">
        <v>10373</v>
      </c>
      <c r="AI46" s="36">
        <v>6947</v>
      </c>
      <c r="AJ46" s="13">
        <v>176333</v>
      </c>
      <c r="AK46" s="16"/>
      <c r="AL46" s="13">
        <v>916</v>
      </c>
      <c r="AM46" s="13">
        <v>1613</v>
      </c>
      <c r="AN46" s="15">
        <v>80669</v>
      </c>
      <c r="AO46" s="15">
        <v>61094</v>
      </c>
      <c r="AP46" s="13">
        <v>35341</v>
      </c>
      <c r="AQ46" s="13">
        <v>19990</v>
      </c>
      <c r="AR46" s="26">
        <v>19297</v>
      </c>
      <c r="AS46" s="26">
        <v>5252</v>
      </c>
      <c r="AT46" s="26">
        <v>7217</v>
      </c>
      <c r="AU46" s="36" t="s">
        <v>110</v>
      </c>
      <c r="AV46" s="36">
        <v>91</v>
      </c>
      <c r="AW46" s="36" t="s">
        <v>110</v>
      </c>
      <c r="AX46" s="36">
        <v>9</v>
      </c>
      <c r="AY46" s="30">
        <v>6</v>
      </c>
      <c r="AZ46" s="30">
        <v>2281</v>
      </c>
      <c r="BA46" s="36">
        <v>4</v>
      </c>
      <c r="BB46" s="36">
        <v>102</v>
      </c>
      <c r="BC46" s="36">
        <v>46</v>
      </c>
      <c r="BD46" s="36">
        <v>2</v>
      </c>
      <c r="BE46" s="38">
        <v>7.7</v>
      </c>
      <c r="BF46" s="38">
        <v>5</v>
      </c>
      <c r="BG46" s="30">
        <v>147</v>
      </c>
      <c r="BH46" s="30">
        <v>107</v>
      </c>
      <c r="BI46" s="12"/>
    </row>
    <row r="47" spans="1:61" x14ac:dyDescent="0.2">
      <c r="A47" s="11" t="s">
        <v>32</v>
      </c>
      <c r="B47" s="12"/>
      <c r="C47" s="13">
        <v>46533</v>
      </c>
      <c r="D47" s="14">
        <v>0</v>
      </c>
      <c r="E47" s="14">
        <v>363595</v>
      </c>
      <c r="F47" s="14">
        <v>1675432</v>
      </c>
      <c r="G47" s="14">
        <v>0</v>
      </c>
      <c r="H47" s="14">
        <v>200000</v>
      </c>
      <c r="I47" s="14">
        <v>220787</v>
      </c>
      <c r="J47" s="14">
        <v>22959</v>
      </c>
      <c r="K47" s="14">
        <v>0</v>
      </c>
      <c r="L47" s="14">
        <v>1566957</v>
      </c>
      <c r="M47" s="14">
        <v>230182</v>
      </c>
      <c r="N47" s="14">
        <v>38463</v>
      </c>
      <c r="O47" s="14">
        <v>74566</v>
      </c>
      <c r="P47" s="34">
        <v>6</v>
      </c>
      <c r="Q47" s="34">
        <v>8</v>
      </c>
      <c r="R47" s="34">
        <v>16</v>
      </c>
      <c r="S47" s="34">
        <v>11.7</v>
      </c>
      <c r="T47" s="34">
        <v>4.13</v>
      </c>
      <c r="U47" s="35">
        <v>87410</v>
      </c>
      <c r="V47" s="35">
        <v>12341</v>
      </c>
      <c r="W47" s="36">
        <v>80773</v>
      </c>
      <c r="X47" s="36">
        <v>12341</v>
      </c>
      <c r="Y47" s="36">
        <v>44310</v>
      </c>
      <c r="Z47" s="36">
        <v>4929</v>
      </c>
      <c r="AA47" s="36" t="s">
        <v>110</v>
      </c>
      <c r="AB47" s="36">
        <v>3</v>
      </c>
      <c r="AC47" s="37" t="s">
        <v>110</v>
      </c>
      <c r="AD47" s="36">
        <v>174502</v>
      </c>
      <c r="AE47" s="36">
        <v>48736</v>
      </c>
      <c r="AF47" s="54"/>
      <c r="AG47" s="36">
        <v>10146</v>
      </c>
      <c r="AH47" s="36">
        <v>4799</v>
      </c>
      <c r="AI47" s="36">
        <v>4799</v>
      </c>
      <c r="AJ47" s="13">
        <v>225520</v>
      </c>
      <c r="AK47" s="16"/>
      <c r="AL47" s="13">
        <v>0</v>
      </c>
      <c r="AM47" s="13">
        <v>1071</v>
      </c>
      <c r="AN47" s="13">
        <v>18809</v>
      </c>
      <c r="AO47" s="13">
        <v>19468</v>
      </c>
      <c r="AP47" s="13">
        <v>13362</v>
      </c>
      <c r="AQ47" s="13">
        <v>15940</v>
      </c>
      <c r="AR47" s="30">
        <v>58216</v>
      </c>
      <c r="AS47" s="30">
        <v>6175.2</v>
      </c>
      <c r="AT47" s="30">
        <v>7222</v>
      </c>
      <c r="AU47" s="36" t="s">
        <v>111</v>
      </c>
      <c r="AV47" s="49"/>
      <c r="AW47" s="49"/>
      <c r="AX47" s="49"/>
      <c r="AY47" s="30">
        <v>1</v>
      </c>
      <c r="AZ47" s="30">
        <v>88</v>
      </c>
      <c r="BA47" s="36">
        <v>22</v>
      </c>
      <c r="BB47" s="36">
        <v>44</v>
      </c>
      <c r="BC47" s="36">
        <v>31</v>
      </c>
      <c r="BD47" s="36">
        <v>8</v>
      </c>
      <c r="BE47" s="49"/>
      <c r="BF47" s="38">
        <v>8.25</v>
      </c>
      <c r="BG47" s="30">
        <v>124</v>
      </c>
      <c r="BH47" s="30">
        <v>95</v>
      </c>
      <c r="BI47" s="12"/>
    </row>
    <row r="48" spans="1:61" x14ac:dyDescent="0.2">
      <c r="A48" s="11" t="s">
        <v>54</v>
      </c>
      <c r="B48" s="12"/>
      <c r="C48" s="13">
        <v>315223</v>
      </c>
      <c r="D48" s="2">
        <v>0</v>
      </c>
      <c r="E48" s="14">
        <v>2050953</v>
      </c>
      <c r="F48" s="2">
        <v>10300793</v>
      </c>
      <c r="G48" s="2">
        <v>0</v>
      </c>
      <c r="H48" s="2">
        <v>0</v>
      </c>
      <c r="I48" s="2">
        <v>259615</v>
      </c>
      <c r="J48" s="14">
        <v>133520</v>
      </c>
      <c r="K48" s="14">
        <v>241841</v>
      </c>
      <c r="L48" s="14">
        <v>8504415</v>
      </c>
      <c r="M48" s="14">
        <v>1683796.1500000001</v>
      </c>
      <c r="N48" s="2">
        <v>254339</v>
      </c>
      <c r="O48" s="14">
        <v>689070</v>
      </c>
      <c r="P48" s="34">
        <v>28</v>
      </c>
      <c r="Q48" s="34">
        <v>77</v>
      </c>
      <c r="R48" s="34">
        <v>18</v>
      </c>
      <c r="S48" s="34">
        <v>75.25</v>
      </c>
      <c r="T48" s="34">
        <v>4.5999999999999996</v>
      </c>
      <c r="U48" s="35">
        <v>335287</v>
      </c>
      <c r="V48" s="35">
        <v>84548</v>
      </c>
      <c r="W48" s="36">
        <v>337619</v>
      </c>
      <c r="X48" s="36">
        <v>84548</v>
      </c>
      <c r="Y48" s="36">
        <v>215456</v>
      </c>
      <c r="Z48" s="36">
        <v>55390</v>
      </c>
      <c r="AA48" s="36" t="s">
        <v>110</v>
      </c>
      <c r="AB48" s="36">
        <v>290</v>
      </c>
      <c r="AC48" s="37" t="s">
        <v>110</v>
      </c>
      <c r="AD48" s="36">
        <v>2444563</v>
      </c>
      <c r="AE48" s="36">
        <v>1011275</v>
      </c>
      <c r="AF48" s="36">
        <v>141</v>
      </c>
      <c r="AG48" s="36">
        <v>85293</v>
      </c>
      <c r="AH48" s="36">
        <v>43861</v>
      </c>
      <c r="AI48" s="36">
        <v>37186</v>
      </c>
      <c r="AJ48" s="13">
        <v>981419</v>
      </c>
      <c r="AK48" s="16"/>
      <c r="AL48" s="13">
        <v>7599</v>
      </c>
      <c r="AM48" s="15">
        <v>7953</v>
      </c>
      <c r="AN48" s="17">
        <v>952305</v>
      </c>
      <c r="AO48" s="17">
        <v>430208</v>
      </c>
      <c r="AP48" s="13">
        <v>382782</v>
      </c>
      <c r="AQ48" s="13">
        <v>68681</v>
      </c>
      <c r="AR48" s="26">
        <v>197847</v>
      </c>
      <c r="AS48" s="26">
        <v>139145</v>
      </c>
      <c r="AT48" s="30">
        <v>145951</v>
      </c>
      <c r="AU48" s="36" t="s">
        <v>110</v>
      </c>
      <c r="AV48" s="36">
        <v>447</v>
      </c>
      <c r="AW48" s="36" t="s">
        <v>110</v>
      </c>
      <c r="AX48" s="36">
        <v>62</v>
      </c>
      <c r="AY48" s="30">
        <v>5</v>
      </c>
      <c r="AZ48" s="30">
        <v>1496</v>
      </c>
      <c r="BA48" s="36">
        <v>11</v>
      </c>
      <c r="BB48" s="36">
        <v>187</v>
      </c>
      <c r="BC48" s="36">
        <v>91</v>
      </c>
      <c r="BD48" s="36">
        <v>20</v>
      </c>
      <c r="BE48" s="38">
        <v>9</v>
      </c>
      <c r="BF48" s="38">
        <v>22.23</v>
      </c>
      <c r="BG48" s="30">
        <v>484.82499999999999</v>
      </c>
      <c r="BH48" s="30">
        <v>500.5</v>
      </c>
      <c r="BI48" s="12"/>
    </row>
    <row r="49" spans="1:61" x14ac:dyDescent="0.2">
      <c r="A49" s="11" t="s">
        <v>36</v>
      </c>
      <c r="B49" s="12"/>
      <c r="C49" s="13">
        <v>24289</v>
      </c>
      <c r="D49" s="14">
        <v>0</v>
      </c>
      <c r="E49" s="14">
        <v>323133</v>
      </c>
      <c r="F49" s="14">
        <v>656299.84</v>
      </c>
      <c r="G49" s="14">
        <v>0</v>
      </c>
      <c r="H49" s="14">
        <v>238042</v>
      </c>
      <c r="I49" s="2">
        <v>50375.56</v>
      </c>
      <c r="J49" s="14">
        <v>16665</v>
      </c>
      <c r="K49" s="14">
        <v>32232</v>
      </c>
      <c r="L49" s="14">
        <v>610239.73</v>
      </c>
      <c r="M49" s="14">
        <v>122503.21999999999</v>
      </c>
      <c r="N49" s="2">
        <v>9819.9</v>
      </c>
      <c r="O49" s="14">
        <v>82671.17</v>
      </c>
      <c r="P49" s="34">
        <v>2</v>
      </c>
      <c r="Q49" s="34">
        <v>8</v>
      </c>
      <c r="R49" s="34">
        <v>5</v>
      </c>
      <c r="S49" s="34">
        <v>5.07</v>
      </c>
      <c r="T49" s="34">
        <v>0.36</v>
      </c>
      <c r="U49" s="35">
        <v>58801</v>
      </c>
      <c r="V49" s="35">
        <v>12299</v>
      </c>
      <c r="W49" s="36">
        <v>56477</v>
      </c>
      <c r="X49" s="36">
        <v>12299</v>
      </c>
      <c r="Y49" s="36">
        <v>21123</v>
      </c>
      <c r="Z49" s="36">
        <v>5151</v>
      </c>
      <c r="AA49" s="36" t="s">
        <v>111</v>
      </c>
      <c r="AB49" s="54"/>
      <c r="AC49" s="37" t="s">
        <v>110</v>
      </c>
      <c r="AD49" s="36">
        <v>59446</v>
      </c>
      <c r="AE49" s="36">
        <v>24761</v>
      </c>
      <c r="AF49" s="54"/>
      <c r="AG49" s="36">
        <v>4992</v>
      </c>
      <c r="AH49" s="36">
        <v>2920</v>
      </c>
      <c r="AI49" s="36">
        <v>2655</v>
      </c>
      <c r="AJ49" s="13">
        <v>68397</v>
      </c>
      <c r="AK49" s="16"/>
      <c r="AL49" s="13">
        <v>69</v>
      </c>
      <c r="AM49" s="15">
        <v>248</v>
      </c>
      <c r="AN49" s="15">
        <v>22166</v>
      </c>
      <c r="AO49" s="15">
        <v>13050</v>
      </c>
      <c r="AP49" s="15">
        <v>19957</v>
      </c>
      <c r="AQ49" s="13">
        <v>5989</v>
      </c>
      <c r="AR49" s="26">
        <v>5791</v>
      </c>
      <c r="AS49" s="26">
        <v>1489.2761594439996</v>
      </c>
      <c r="AT49" s="26">
        <v>2879.75</v>
      </c>
      <c r="AU49" s="36" t="s">
        <v>110</v>
      </c>
      <c r="AV49" s="36">
        <v>20</v>
      </c>
      <c r="AW49" s="36" t="s">
        <v>111</v>
      </c>
      <c r="AX49" s="36">
        <v>0</v>
      </c>
      <c r="AY49" s="30">
        <v>2</v>
      </c>
      <c r="AZ49" s="30">
        <v>935</v>
      </c>
      <c r="BA49" s="36">
        <v>12</v>
      </c>
      <c r="BB49" s="36">
        <v>24</v>
      </c>
      <c r="BC49" s="36">
        <v>16</v>
      </c>
      <c r="BD49" s="36">
        <v>2</v>
      </c>
      <c r="BE49" s="49"/>
      <c r="BF49" s="38">
        <v>2</v>
      </c>
      <c r="BG49" s="30">
        <v>35</v>
      </c>
      <c r="BH49" s="30">
        <v>35</v>
      </c>
      <c r="BI49" s="12"/>
    </row>
    <row r="50" spans="1:61" x14ac:dyDescent="0.2">
      <c r="A50" s="11" t="s">
        <v>34</v>
      </c>
      <c r="B50" s="12"/>
      <c r="C50" s="13">
        <v>337009</v>
      </c>
      <c r="D50" s="14">
        <v>0</v>
      </c>
      <c r="E50" s="14">
        <v>1627684</v>
      </c>
      <c r="F50" s="14">
        <v>12640584</v>
      </c>
      <c r="G50" s="14">
        <v>0</v>
      </c>
      <c r="H50" s="14">
        <v>0</v>
      </c>
      <c r="I50" s="14">
        <v>0</v>
      </c>
      <c r="J50" s="14">
        <v>200809</v>
      </c>
      <c r="K50" s="14">
        <v>0</v>
      </c>
      <c r="L50" s="14">
        <v>7787027</v>
      </c>
      <c r="M50" s="14">
        <v>1495779</v>
      </c>
      <c r="N50" s="14">
        <v>0</v>
      </c>
      <c r="O50" s="14">
        <v>530830</v>
      </c>
      <c r="P50" s="34">
        <v>45</v>
      </c>
      <c r="Q50" s="34">
        <v>68</v>
      </c>
      <c r="R50" s="34">
        <v>27</v>
      </c>
      <c r="S50" s="34">
        <v>77.930000000000007</v>
      </c>
      <c r="T50" s="34">
        <v>2.5</v>
      </c>
      <c r="U50" s="35">
        <v>245833</v>
      </c>
      <c r="V50" s="35">
        <v>29509</v>
      </c>
      <c r="W50" s="36">
        <v>245833</v>
      </c>
      <c r="X50" s="36">
        <v>29509</v>
      </c>
      <c r="Y50" s="36">
        <v>188153</v>
      </c>
      <c r="Z50" s="36">
        <v>21786</v>
      </c>
      <c r="AA50" s="36" t="s">
        <v>110</v>
      </c>
      <c r="AB50" s="36">
        <v>216</v>
      </c>
      <c r="AC50" s="37" t="s">
        <v>110</v>
      </c>
      <c r="AD50" s="36">
        <v>1602528</v>
      </c>
      <c r="AE50" s="36">
        <v>220777</v>
      </c>
      <c r="AF50" s="54"/>
      <c r="AG50" s="36">
        <v>104719</v>
      </c>
      <c r="AH50" s="36">
        <v>55740</v>
      </c>
      <c r="AI50" s="36">
        <v>30221</v>
      </c>
      <c r="AJ50" s="13">
        <v>989686</v>
      </c>
      <c r="AK50" s="16"/>
      <c r="AL50" s="36">
        <v>0</v>
      </c>
      <c r="AM50" s="13">
        <v>0</v>
      </c>
      <c r="AN50" s="13">
        <v>239184</v>
      </c>
      <c r="AO50" s="13">
        <v>353924</v>
      </c>
      <c r="AP50" s="13">
        <v>63550</v>
      </c>
      <c r="AQ50" s="13">
        <v>125728</v>
      </c>
      <c r="AR50" s="49"/>
      <c r="AS50" s="26">
        <v>110410</v>
      </c>
      <c r="AT50" s="30">
        <v>53082.1</v>
      </c>
      <c r="AU50" s="36" t="s">
        <v>110</v>
      </c>
      <c r="AV50" s="36">
        <v>50</v>
      </c>
      <c r="AW50" s="36" t="s">
        <v>110</v>
      </c>
      <c r="AX50" s="36">
        <v>8</v>
      </c>
      <c r="AY50" s="30">
        <v>3</v>
      </c>
      <c r="AZ50" s="30">
        <v>2784</v>
      </c>
      <c r="BA50" s="36">
        <v>35</v>
      </c>
      <c r="BB50" s="36">
        <v>157</v>
      </c>
      <c r="BC50" s="36">
        <v>100</v>
      </c>
      <c r="BD50" s="36">
        <v>20</v>
      </c>
      <c r="BE50" s="38">
        <v>9.4</v>
      </c>
      <c r="BF50" s="38">
        <v>19</v>
      </c>
      <c r="BG50" s="30">
        <v>757</v>
      </c>
      <c r="BH50" s="30">
        <v>770</v>
      </c>
      <c r="BI50" s="12"/>
    </row>
    <row r="51" spans="1:61" x14ac:dyDescent="0.2">
      <c r="A51" s="11" t="s">
        <v>35</v>
      </c>
      <c r="B51" s="12"/>
      <c r="C51" s="13">
        <v>100706</v>
      </c>
      <c r="D51" s="14">
        <v>0</v>
      </c>
      <c r="E51" s="14">
        <v>741068</v>
      </c>
      <c r="F51" s="14">
        <v>5513686</v>
      </c>
      <c r="G51" s="2">
        <v>0</v>
      </c>
      <c r="H51" s="2">
        <v>70000</v>
      </c>
      <c r="I51" s="2">
        <v>70000</v>
      </c>
      <c r="J51" s="14">
        <v>11518</v>
      </c>
      <c r="K51" s="14">
        <v>0</v>
      </c>
      <c r="L51" s="14">
        <v>5207756</v>
      </c>
      <c r="M51" s="14">
        <v>435243.36</v>
      </c>
      <c r="N51" s="14">
        <v>152101</v>
      </c>
      <c r="O51" s="14">
        <v>314245.69</v>
      </c>
      <c r="P51" s="34">
        <v>29</v>
      </c>
      <c r="Q51" s="34">
        <v>26</v>
      </c>
      <c r="R51" s="34">
        <v>21</v>
      </c>
      <c r="S51" s="34">
        <v>46</v>
      </c>
      <c r="T51" s="34">
        <v>1.4</v>
      </c>
      <c r="U51" s="35">
        <v>131355</v>
      </c>
      <c r="V51" s="35">
        <v>88215</v>
      </c>
      <c r="W51" s="36">
        <v>128325</v>
      </c>
      <c r="X51" s="36">
        <v>88215</v>
      </c>
      <c r="Y51" s="36">
        <v>88743</v>
      </c>
      <c r="Z51" s="36">
        <v>66231</v>
      </c>
      <c r="AA51" s="36" t="s">
        <v>110</v>
      </c>
      <c r="AB51" s="36">
        <v>13</v>
      </c>
      <c r="AC51" s="37" t="s">
        <v>110</v>
      </c>
      <c r="AD51" s="36">
        <v>586341</v>
      </c>
      <c r="AE51" s="36">
        <v>285680</v>
      </c>
      <c r="AF51" s="36">
        <v>19</v>
      </c>
      <c r="AG51" s="36">
        <v>60247</v>
      </c>
      <c r="AH51" s="36">
        <v>17484</v>
      </c>
      <c r="AI51" s="36">
        <v>17484</v>
      </c>
      <c r="AJ51" s="13">
        <v>625884</v>
      </c>
      <c r="AK51" s="16"/>
      <c r="AL51" s="36">
        <v>828</v>
      </c>
      <c r="AM51" s="13">
        <v>9353</v>
      </c>
      <c r="AN51" s="13">
        <v>649960</v>
      </c>
      <c r="AO51" s="13">
        <v>341870</v>
      </c>
      <c r="AP51" s="36">
        <v>132235</v>
      </c>
      <c r="AQ51" s="13">
        <v>67324</v>
      </c>
      <c r="AR51" s="26">
        <v>243826</v>
      </c>
      <c r="AS51" s="26">
        <v>72150</v>
      </c>
      <c r="AT51" s="26">
        <v>29259</v>
      </c>
      <c r="AU51" s="36" t="s">
        <v>110</v>
      </c>
      <c r="AV51" s="36">
        <v>80</v>
      </c>
      <c r="AW51" s="36" t="s">
        <v>110</v>
      </c>
      <c r="AX51" s="36">
        <v>4</v>
      </c>
      <c r="AY51" s="30">
        <v>4</v>
      </c>
      <c r="AZ51" s="30">
        <v>5627</v>
      </c>
      <c r="BA51" s="36">
        <v>32</v>
      </c>
      <c r="BB51" s="36">
        <v>72</v>
      </c>
      <c r="BC51" s="36">
        <v>80</v>
      </c>
      <c r="BD51" s="36">
        <v>9</v>
      </c>
      <c r="BE51" s="38">
        <v>8.4</v>
      </c>
      <c r="BF51" s="38">
        <v>20.5</v>
      </c>
      <c r="BG51" s="30">
        <v>448</v>
      </c>
      <c r="BH51" s="30">
        <v>380</v>
      </c>
      <c r="BI51" s="12"/>
    </row>
    <row r="52" spans="1:61" x14ac:dyDescent="0.2">
      <c r="A52" s="11" t="s">
        <v>55</v>
      </c>
      <c r="B52" s="12"/>
      <c r="C52" s="13">
        <v>448828</v>
      </c>
      <c r="D52" s="14">
        <v>0</v>
      </c>
      <c r="E52" s="14">
        <v>2840027</v>
      </c>
      <c r="F52" s="14">
        <v>15515499</v>
      </c>
      <c r="G52" s="2">
        <v>0</v>
      </c>
      <c r="H52" s="2">
        <v>0</v>
      </c>
      <c r="I52" s="2">
        <v>0</v>
      </c>
      <c r="J52" s="14">
        <v>287632</v>
      </c>
      <c r="K52" s="14">
        <v>898976</v>
      </c>
      <c r="L52" s="14">
        <v>12255575</v>
      </c>
      <c r="M52" s="14">
        <v>1495370</v>
      </c>
      <c r="N52" s="14">
        <v>473783</v>
      </c>
      <c r="O52" s="14">
        <v>784976</v>
      </c>
      <c r="P52" s="34">
        <v>38</v>
      </c>
      <c r="Q52" s="34">
        <v>115</v>
      </c>
      <c r="R52" s="34">
        <v>23</v>
      </c>
      <c r="S52" s="34">
        <v>106.03</v>
      </c>
      <c r="T52" s="34">
        <v>0</v>
      </c>
      <c r="U52" s="35">
        <v>329604</v>
      </c>
      <c r="V52" s="35">
        <v>160594</v>
      </c>
      <c r="W52" s="36">
        <v>327860</v>
      </c>
      <c r="X52" s="36">
        <v>152824</v>
      </c>
      <c r="Y52" s="36">
        <v>287032</v>
      </c>
      <c r="Z52" s="36">
        <v>215511</v>
      </c>
      <c r="AA52" s="36" t="s">
        <v>110</v>
      </c>
      <c r="AB52" s="36">
        <v>201</v>
      </c>
      <c r="AC52" s="37" t="s">
        <v>110</v>
      </c>
      <c r="AD52" s="36">
        <v>2276362</v>
      </c>
      <c r="AE52" s="36">
        <v>590545</v>
      </c>
      <c r="AF52" s="36">
        <v>234</v>
      </c>
      <c r="AG52" s="36">
        <v>134965</v>
      </c>
      <c r="AH52" s="36">
        <v>90790</v>
      </c>
      <c r="AI52" s="36">
        <v>57974</v>
      </c>
      <c r="AJ52" s="13">
        <v>1425592</v>
      </c>
      <c r="AK52" s="13">
        <v>29124</v>
      </c>
      <c r="AL52" s="36">
        <v>1581</v>
      </c>
      <c r="AM52" s="13">
        <v>13723</v>
      </c>
      <c r="AN52" s="13">
        <v>2590077</v>
      </c>
      <c r="AO52" s="13">
        <v>514224</v>
      </c>
      <c r="AP52" s="13">
        <v>519405</v>
      </c>
      <c r="AQ52" s="13">
        <v>143617</v>
      </c>
      <c r="AR52" s="26">
        <v>145349</v>
      </c>
      <c r="AS52" s="26">
        <v>128780</v>
      </c>
      <c r="AT52" s="26">
        <v>97163</v>
      </c>
      <c r="AU52" s="36" t="s">
        <v>110</v>
      </c>
      <c r="AV52" s="36">
        <v>48</v>
      </c>
      <c r="AW52" s="36" t="s">
        <v>110</v>
      </c>
      <c r="AX52" s="36">
        <v>28</v>
      </c>
      <c r="AY52" s="30">
        <v>24</v>
      </c>
      <c r="AZ52" s="30">
        <v>20472</v>
      </c>
      <c r="BA52" s="36">
        <v>130</v>
      </c>
      <c r="BB52" s="36">
        <v>351</v>
      </c>
      <c r="BC52" s="36">
        <v>163</v>
      </c>
      <c r="BD52" s="36">
        <v>20</v>
      </c>
      <c r="BE52" s="38">
        <v>9.4</v>
      </c>
      <c r="BF52" s="38">
        <v>40</v>
      </c>
      <c r="BG52" s="30">
        <v>1513</v>
      </c>
      <c r="BH52" s="30">
        <v>648</v>
      </c>
      <c r="BI52" s="12"/>
    </row>
    <row r="53" spans="1:61" x14ac:dyDescent="0.2">
      <c r="A53" s="11" t="s">
        <v>71</v>
      </c>
      <c r="B53" s="12"/>
      <c r="C53" s="13">
        <v>6346</v>
      </c>
      <c r="D53" s="14">
        <v>0</v>
      </c>
      <c r="E53" s="14">
        <v>132799</v>
      </c>
      <c r="F53" s="14">
        <v>190939</v>
      </c>
      <c r="G53" s="2">
        <v>0</v>
      </c>
      <c r="H53" s="2">
        <v>0</v>
      </c>
      <c r="I53" s="2">
        <v>0</v>
      </c>
      <c r="J53" s="14">
        <v>886</v>
      </c>
      <c r="K53" s="14">
        <v>1177</v>
      </c>
      <c r="L53" s="14">
        <v>116826</v>
      </c>
      <c r="M53" s="14">
        <v>27091</v>
      </c>
      <c r="N53" s="14">
        <v>4085.14</v>
      </c>
      <c r="O53" s="14">
        <v>13090</v>
      </c>
      <c r="P53" s="34">
        <v>0</v>
      </c>
      <c r="Q53" s="34">
        <v>5</v>
      </c>
      <c r="R53" s="34">
        <v>0</v>
      </c>
      <c r="S53" s="34">
        <v>2</v>
      </c>
      <c r="T53" s="34">
        <v>0</v>
      </c>
      <c r="U53" s="35">
        <v>15225</v>
      </c>
      <c r="V53" s="35">
        <v>1192</v>
      </c>
      <c r="W53" s="36">
        <v>15225</v>
      </c>
      <c r="X53" s="36">
        <v>1192</v>
      </c>
      <c r="Y53" s="36">
        <v>6890</v>
      </c>
      <c r="Z53" s="36">
        <v>1650</v>
      </c>
      <c r="AA53" s="36" t="s">
        <v>110</v>
      </c>
      <c r="AB53" s="36">
        <v>4</v>
      </c>
      <c r="AC53" s="37" t="s">
        <v>110</v>
      </c>
      <c r="AD53" s="36">
        <v>13132</v>
      </c>
      <c r="AE53" s="36">
        <v>2173</v>
      </c>
      <c r="AF53" s="54"/>
      <c r="AG53" s="36">
        <v>1055</v>
      </c>
      <c r="AH53" s="36">
        <v>431</v>
      </c>
      <c r="AI53" s="36">
        <v>1055</v>
      </c>
      <c r="AJ53" s="13">
        <v>4066</v>
      </c>
      <c r="AK53" s="13">
        <v>852</v>
      </c>
      <c r="AL53" s="13">
        <v>175</v>
      </c>
      <c r="AM53" s="13">
        <v>1272</v>
      </c>
      <c r="AN53" s="16"/>
      <c r="AO53" s="13">
        <v>3901</v>
      </c>
      <c r="AP53" s="16"/>
      <c r="AQ53" s="13">
        <v>1993</v>
      </c>
      <c r="AR53" s="49"/>
      <c r="AS53" s="49"/>
      <c r="AT53" s="30">
        <v>163.5</v>
      </c>
      <c r="AU53" s="36" t="s">
        <v>110</v>
      </c>
      <c r="AV53" s="36">
        <v>7</v>
      </c>
      <c r="AW53" s="36" t="s">
        <v>111</v>
      </c>
      <c r="AX53" s="36">
        <v>0</v>
      </c>
      <c r="AY53" s="30">
        <v>0</v>
      </c>
      <c r="AZ53" s="30">
        <v>0</v>
      </c>
      <c r="BA53" s="36">
        <v>2</v>
      </c>
      <c r="BB53" s="36">
        <v>14</v>
      </c>
      <c r="BC53" s="36">
        <v>3</v>
      </c>
      <c r="BD53" s="36">
        <v>0</v>
      </c>
      <c r="BE53" s="49"/>
      <c r="BF53" s="38">
        <v>4</v>
      </c>
      <c r="BG53" s="30">
        <v>10</v>
      </c>
      <c r="BH53" s="30">
        <v>7</v>
      </c>
      <c r="BI53" s="12"/>
    </row>
    <row r="54" spans="1:61" x14ac:dyDescent="0.2">
      <c r="A54" s="11" t="s">
        <v>194</v>
      </c>
      <c r="B54" s="12"/>
      <c r="C54" s="13">
        <v>442793</v>
      </c>
      <c r="D54" s="14">
        <v>0</v>
      </c>
      <c r="E54" s="14">
        <v>3004000</v>
      </c>
      <c r="F54" s="14">
        <v>11909250</v>
      </c>
      <c r="G54" s="14">
        <v>0</v>
      </c>
      <c r="H54" s="14">
        <v>0</v>
      </c>
      <c r="I54" s="14">
        <v>0</v>
      </c>
      <c r="J54" s="14">
        <v>163000</v>
      </c>
      <c r="K54" s="14">
        <v>389000</v>
      </c>
      <c r="L54" s="14">
        <v>10472000</v>
      </c>
      <c r="M54" s="14">
        <v>1085000</v>
      </c>
      <c r="N54" s="14">
        <v>334000</v>
      </c>
      <c r="O54" s="14">
        <v>665000</v>
      </c>
      <c r="P54" s="34">
        <v>61</v>
      </c>
      <c r="Q54" s="34">
        <v>52</v>
      </c>
      <c r="R54" s="34">
        <v>21</v>
      </c>
      <c r="S54" s="34">
        <v>90.39</v>
      </c>
      <c r="T54" s="34">
        <v>5</v>
      </c>
      <c r="U54" s="35">
        <v>333780</v>
      </c>
      <c r="V54" s="35">
        <v>225177</v>
      </c>
      <c r="W54" s="36">
        <v>302978</v>
      </c>
      <c r="X54" s="36">
        <v>225177</v>
      </c>
      <c r="Y54" s="36">
        <v>213297</v>
      </c>
      <c r="Z54" s="36">
        <v>225177</v>
      </c>
      <c r="AA54" s="36" t="s">
        <v>110</v>
      </c>
      <c r="AB54" s="36">
        <v>254</v>
      </c>
      <c r="AC54" s="37" t="s">
        <v>110</v>
      </c>
      <c r="AD54" s="36">
        <v>2274150</v>
      </c>
      <c r="AE54" s="36">
        <v>1144597</v>
      </c>
      <c r="AF54" s="41">
        <v>69</v>
      </c>
      <c r="AG54" s="36">
        <v>139192</v>
      </c>
      <c r="AH54" s="36">
        <v>79778</v>
      </c>
      <c r="AI54" s="36">
        <v>60337</v>
      </c>
      <c r="AJ54" s="13">
        <v>1715139</v>
      </c>
      <c r="AK54" s="16"/>
      <c r="AL54" s="13">
        <v>902</v>
      </c>
      <c r="AM54" s="13">
        <v>12390</v>
      </c>
      <c r="AN54" s="15">
        <v>1273855</v>
      </c>
      <c r="AO54" s="15">
        <v>563510</v>
      </c>
      <c r="AP54" s="13">
        <v>530904</v>
      </c>
      <c r="AQ54" s="13">
        <v>143146</v>
      </c>
      <c r="AR54" s="30">
        <v>1798075</v>
      </c>
      <c r="AS54" s="26">
        <v>193201.91</v>
      </c>
      <c r="AT54" s="26">
        <v>103719</v>
      </c>
      <c r="AU54" s="36" t="s">
        <v>110</v>
      </c>
      <c r="AV54" s="36">
        <v>167</v>
      </c>
      <c r="AW54" s="36" t="s">
        <v>110</v>
      </c>
      <c r="AX54" s="36">
        <v>23</v>
      </c>
      <c r="AY54" s="30">
        <v>20</v>
      </c>
      <c r="AZ54" s="30">
        <v>12943</v>
      </c>
      <c r="BA54" s="36">
        <v>89</v>
      </c>
      <c r="BB54" s="36">
        <v>148</v>
      </c>
      <c r="BC54" s="36">
        <v>146</v>
      </c>
      <c r="BD54" s="36">
        <v>22</v>
      </c>
      <c r="BE54" s="49"/>
      <c r="BF54" s="38">
        <v>37</v>
      </c>
      <c r="BG54" s="30">
        <v>1336</v>
      </c>
      <c r="BH54" s="30">
        <v>891</v>
      </c>
      <c r="BI54" s="12"/>
    </row>
    <row r="55" spans="1:61" x14ac:dyDescent="0.2">
      <c r="A55" s="11" t="s">
        <v>56</v>
      </c>
      <c r="B55" s="12"/>
      <c r="C55" s="29"/>
      <c r="D55" s="14">
        <v>10560</v>
      </c>
      <c r="E55" s="14">
        <v>2817176</v>
      </c>
      <c r="F55" s="14">
        <v>0</v>
      </c>
      <c r="G55" s="2">
        <v>0</v>
      </c>
      <c r="H55" s="2">
        <v>0</v>
      </c>
      <c r="I55" s="2">
        <v>0</v>
      </c>
      <c r="J55" s="14">
        <v>122589</v>
      </c>
      <c r="K55" s="14">
        <v>1240382</v>
      </c>
      <c r="L55" s="14">
        <v>1728951</v>
      </c>
      <c r="M55" s="14">
        <v>699975</v>
      </c>
      <c r="N55" s="14">
        <v>13728</v>
      </c>
      <c r="O55" s="14">
        <v>0</v>
      </c>
      <c r="P55" s="34">
        <v>9</v>
      </c>
      <c r="Q55" s="34">
        <v>4</v>
      </c>
      <c r="R55" s="34">
        <v>0</v>
      </c>
      <c r="S55" s="34">
        <v>11.5</v>
      </c>
      <c r="T55" s="34">
        <v>0</v>
      </c>
      <c r="U55" s="35">
        <v>3850</v>
      </c>
      <c r="V55" s="35">
        <v>67858</v>
      </c>
      <c r="W55" s="36">
        <v>3850</v>
      </c>
      <c r="X55" s="36">
        <v>67858</v>
      </c>
      <c r="Y55" s="36">
        <v>827</v>
      </c>
      <c r="Z55" s="36">
        <v>11166</v>
      </c>
      <c r="AA55" s="36" t="s">
        <v>111</v>
      </c>
      <c r="AB55" s="54"/>
      <c r="AC55" s="37" t="s">
        <v>111</v>
      </c>
      <c r="AD55" s="36">
        <v>7704</v>
      </c>
      <c r="AE55" s="36">
        <v>660439</v>
      </c>
      <c r="AF55" s="54"/>
      <c r="AG55" s="36">
        <v>18874</v>
      </c>
      <c r="AH55" s="36">
        <v>7232</v>
      </c>
      <c r="AI55" s="36">
        <v>7232</v>
      </c>
      <c r="AJ55" s="13">
        <v>104</v>
      </c>
      <c r="AK55" s="16"/>
      <c r="AL55" s="13">
        <v>0</v>
      </c>
      <c r="AM55" s="13">
        <v>0</v>
      </c>
      <c r="AN55" s="16"/>
      <c r="AO55" s="13">
        <v>0</v>
      </c>
      <c r="AP55" s="16"/>
      <c r="AQ55" s="13">
        <v>2083</v>
      </c>
      <c r="AR55" s="49"/>
      <c r="AS55" s="49"/>
      <c r="AT55" s="49"/>
      <c r="AU55" s="36" t="s">
        <v>110</v>
      </c>
      <c r="AV55" s="36">
        <v>3763</v>
      </c>
      <c r="AW55" s="36" t="s">
        <v>110</v>
      </c>
      <c r="AX55" s="36">
        <v>7</v>
      </c>
      <c r="AY55" s="26">
        <v>4</v>
      </c>
      <c r="AZ55" s="26">
        <v>0</v>
      </c>
      <c r="BA55" s="36">
        <v>9</v>
      </c>
      <c r="BB55" s="36">
        <v>32</v>
      </c>
      <c r="BC55" s="36">
        <v>3</v>
      </c>
      <c r="BD55" s="36">
        <v>0</v>
      </c>
      <c r="BE55" s="38">
        <v>9.15</v>
      </c>
      <c r="BF55" s="38">
        <v>10</v>
      </c>
      <c r="BG55" s="30">
        <v>55</v>
      </c>
      <c r="BH55" s="30">
        <v>55</v>
      </c>
      <c r="BI55" s="12"/>
    </row>
    <row r="56" spans="1:61" x14ac:dyDescent="0.2">
      <c r="A56" s="19"/>
      <c r="B56" s="19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1"/>
      <c r="P56" s="21"/>
      <c r="Q56" s="21"/>
      <c r="R56" s="22"/>
      <c r="S56" s="23"/>
      <c r="T56" s="23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</row>
    <row r="57" spans="1:61" x14ac:dyDescent="0.2">
      <c r="A57" s="11" t="s">
        <v>72</v>
      </c>
      <c r="B57" s="12"/>
      <c r="C57" s="13">
        <f>SUM(C5:C55)+964</f>
        <v>6978719</v>
      </c>
      <c r="D57" s="14">
        <f t="shared" ref="D57:Z57" si="0">SUM(D5:D55)</f>
        <v>292299.15000000002</v>
      </c>
      <c r="E57" s="14">
        <f t="shared" si="0"/>
        <v>49611580</v>
      </c>
      <c r="F57" s="14">
        <f t="shared" si="0"/>
        <v>248160197.28</v>
      </c>
      <c r="G57" s="14">
        <f t="shared" si="0"/>
        <v>2000</v>
      </c>
      <c r="H57" s="14">
        <f t="shared" si="0"/>
        <v>1765129</v>
      </c>
      <c r="I57" s="14">
        <f t="shared" si="0"/>
        <v>11126712.390000001</v>
      </c>
      <c r="J57" s="14">
        <f t="shared" si="0"/>
        <v>3938717.35</v>
      </c>
      <c r="K57" s="14">
        <f t="shared" si="0"/>
        <v>5797720.2999999998</v>
      </c>
      <c r="L57" s="14">
        <f t="shared" si="0"/>
        <v>212496547.04999998</v>
      </c>
      <c r="M57" s="14">
        <f t="shared" si="0"/>
        <v>27135938.219999995</v>
      </c>
      <c r="N57" s="14">
        <f t="shared" si="0"/>
        <v>5031028.0599999996</v>
      </c>
      <c r="O57" s="14">
        <f t="shared" si="0"/>
        <v>13756097.469999999</v>
      </c>
      <c r="P57" s="34">
        <f t="shared" si="0"/>
        <v>1016</v>
      </c>
      <c r="Q57" s="34">
        <f t="shared" si="0"/>
        <v>1638</v>
      </c>
      <c r="R57" s="34">
        <f t="shared" si="0"/>
        <v>799</v>
      </c>
      <c r="S57" s="34">
        <f t="shared" si="0"/>
        <v>1901.7005000000001</v>
      </c>
      <c r="T57" s="34">
        <f t="shared" si="0"/>
        <v>90.779999999999987</v>
      </c>
      <c r="U57" s="26">
        <f t="shared" si="0"/>
        <v>7059682</v>
      </c>
      <c r="V57" s="26">
        <f t="shared" si="0"/>
        <v>2592423</v>
      </c>
      <c r="W57" s="26">
        <f t="shared" si="0"/>
        <v>6872749</v>
      </c>
      <c r="X57" s="26">
        <f t="shared" si="0"/>
        <v>2589566</v>
      </c>
      <c r="Y57" s="26">
        <f t="shared" si="0"/>
        <v>4336329</v>
      </c>
      <c r="Z57" s="26">
        <f t="shared" si="0"/>
        <v>2414197</v>
      </c>
      <c r="AA57" s="26">
        <f>COUNTIF(AA5:AA55,"Yes")</f>
        <v>37</v>
      </c>
      <c r="AB57" s="26">
        <f>SUM(AB5:AB55)</f>
        <v>4301</v>
      </c>
      <c r="AC57" s="26">
        <f>COUNTIF(AC5:AC55,"Yes")</f>
        <v>50</v>
      </c>
      <c r="AD57" s="26">
        <f t="shared" ref="AD57:AT57" si="1">SUM(AD5:AD55)</f>
        <v>33711854</v>
      </c>
      <c r="AE57" s="26">
        <f t="shared" si="1"/>
        <v>12650458</v>
      </c>
      <c r="AF57" s="26">
        <f t="shared" si="1"/>
        <v>31345</v>
      </c>
      <c r="AG57" s="26">
        <f t="shared" si="1"/>
        <v>2206605</v>
      </c>
      <c r="AH57" s="26">
        <f t="shared" si="1"/>
        <v>1132982</v>
      </c>
      <c r="AI57" s="26">
        <f t="shared" si="1"/>
        <v>940276</v>
      </c>
      <c r="AJ57" s="26">
        <f t="shared" si="1"/>
        <v>24200961</v>
      </c>
      <c r="AK57" s="26">
        <f t="shared" si="1"/>
        <v>95441</v>
      </c>
      <c r="AL57" s="26">
        <f t="shared" si="1"/>
        <v>68247</v>
      </c>
      <c r="AM57" s="26">
        <f t="shared" si="1"/>
        <v>200527</v>
      </c>
      <c r="AN57" s="26">
        <f t="shared" si="1"/>
        <v>14726402</v>
      </c>
      <c r="AO57" s="26">
        <f t="shared" si="1"/>
        <v>15602991</v>
      </c>
      <c r="AP57" s="26">
        <f t="shared" si="1"/>
        <v>5782885</v>
      </c>
      <c r="AQ57" s="26">
        <f t="shared" si="1"/>
        <v>2141151</v>
      </c>
      <c r="AR57" s="26">
        <f t="shared" si="1"/>
        <v>5744686</v>
      </c>
      <c r="AS57" s="26">
        <f t="shared" si="1"/>
        <v>1564626.792159444</v>
      </c>
      <c r="AT57" s="26">
        <f t="shared" si="1"/>
        <v>1552191.6800000002</v>
      </c>
      <c r="AU57" s="26">
        <f>COUNTIF(AU5:AU55,"Yes")</f>
        <v>46</v>
      </c>
      <c r="AV57" s="26">
        <f t="shared" ref="AV57:BD57" si="2">SUM(AV5:AV55)</f>
        <v>9275</v>
      </c>
      <c r="AW57" s="26">
        <f>COUNTIF(AW5:AW55,"Yes")</f>
        <v>30</v>
      </c>
      <c r="AX57" s="26">
        <f t="shared" si="2"/>
        <v>707</v>
      </c>
      <c r="AY57" s="26">
        <f t="shared" si="2"/>
        <v>423</v>
      </c>
      <c r="AZ57" s="26">
        <f t="shared" si="2"/>
        <v>256652.31066664998</v>
      </c>
      <c r="BA57" s="26">
        <f t="shared" si="2"/>
        <v>2025</v>
      </c>
      <c r="BB57" s="26">
        <f t="shared" si="2"/>
        <v>4296</v>
      </c>
      <c r="BC57" s="26">
        <f t="shared" si="2"/>
        <v>3059</v>
      </c>
      <c r="BD57" s="26">
        <f t="shared" si="2"/>
        <v>503</v>
      </c>
      <c r="BE57" s="28">
        <f>AVERAGE(BE5:BE55)</f>
        <v>8.5407499999999992</v>
      </c>
      <c r="BF57" s="26">
        <f t="shared" ref="BF57:BH57" si="3">SUM(BF5:BF55)</f>
        <v>682.30600000000004</v>
      </c>
      <c r="BG57" s="26">
        <f t="shared" si="3"/>
        <v>15709.995000000001</v>
      </c>
      <c r="BH57" s="26">
        <f t="shared" si="3"/>
        <v>12514.57</v>
      </c>
      <c r="BI57" s="12"/>
    </row>
    <row r="58" spans="1:61" x14ac:dyDescent="0.2">
      <c r="A58" s="59"/>
      <c r="B58" s="12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</row>
  </sheetData>
  <autoFilter ref="A4:BI57" xr:uid="{E2098661-071A-49E4-9B97-3332346825F5}"/>
  <printOptions horizontalCentered="1" verticalCentered="1"/>
  <pageMargins left="0.74803149606299213" right="0.74803149606299213" top="0.98425196850393704" bottom="0.98425196850393704" header="0.51181102362204722" footer="0.51181102362204722"/>
  <pageSetup orientation="landscape" r:id="rId1"/>
  <headerFooter>
    <oddHeader>2014 Full Report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1AC4-C28E-429A-82E4-C225FCFDDD2E}">
  <dimension ref="A1:BW60"/>
  <sheetViews>
    <sheetView zoomScaleNormal="100" workbookViewId="0">
      <pane xSplit="1" ySplit="4" topLeftCell="BB29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ColWidth="9.140625" defaultRowHeight="15" x14ac:dyDescent="0.25"/>
  <cols>
    <col min="1" max="1" width="27.42578125" style="5" bestFit="1" customWidth="1"/>
    <col min="2" max="2" width="2.7109375" style="5" customWidth="1"/>
    <col min="3" max="3" width="15.42578125" style="5" customWidth="1"/>
    <col min="4" max="4" width="12.7109375" style="5" customWidth="1"/>
    <col min="5" max="5" width="18.85546875" style="5" customWidth="1"/>
    <col min="6" max="6" width="15.7109375" style="5" customWidth="1"/>
    <col min="7" max="7" width="13.7109375" style="5" customWidth="1"/>
    <col min="8" max="8" width="12.7109375" style="5" customWidth="1"/>
    <col min="9" max="11" width="13.7109375" style="5" customWidth="1"/>
    <col min="12" max="12" width="14.7109375" style="5" customWidth="1"/>
    <col min="13" max="13" width="13.7109375" style="5" customWidth="1"/>
    <col min="14" max="14" width="12.7109375" style="5" customWidth="1"/>
    <col min="15" max="15" width="13.7109375" style="5" customWidth="1"/>
    <col min="16" max="16" width="12.7109375" style="5" customWidth="1"/>
    <col min="17" max="17" width="14.7109375" style="5" customWidth="1"/>
    <col min="18" max="29" width="12.7109375" style="5" customWidth="1"/>
    <col min="30" max="30" width="13.5703125" style="5" customWidth="1"/>
    <col min="31" max="50" width="12.7109375" style="5" customWidth="1"/>
    <col min="52" max="73" width="12.7109375" style="5" customWidth="1"/>
    <col min="74" max="74" width="2.7109375" style="5" customWidth="1"/>
    <col min="75" max="16384" width="9.140625" style="5"/>
  </cols>
  <sheetData>
    <row r="1" spans="1:75" ht="21" x14ac:dyDescent="0.35">
      <c r="A1" s="4" t="s">
        <v>123</v>
      </c>
      <c r="B1" s="48"/>
      <c r="AY1" s="5"/>
    </row>
    <row r="2" spans="1:75" ht="15.75" x14ac:dyDescent="0.25">
      <c r="A2" s="6" t="s">
        <v>218</v>
      </c>
      <c r="AY2" s="5"/>
    </row>
    <row r="3" spans="1:75" ht="12.75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</row>
    <row r="4" spans="1:75" s="10" customFormat="1" ht="76.5" x14ac:dyDescent="0.2">
      <c r="A4" s="7" t="s">
        <v>46</v>
      </c>
      <c r="B4" s="8" t="s">
        <v>37</v>
      </c>
      <c r="C4" s="1" t="s">
        <v>45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  <c r="L4" s="1" t="s">
        <v>132</v>
      </c>
      <c r="M4" s="1" t="s">
        <v>133</v>
      </c>
      <c r="N4" s="1" t="s">
        <v>134</v>
      </c>
      <c r="O4" s="1" t="s">
        <v>135</v>
      </c>
      <c r="P4" s="1" t="s">
        <v>136</v>
      </c>
      <c r="Q4" s="1" t="s">
        <v>137</v>
      </c>
      <c r="R4" s="1" t="s">
        <v>138</v>
      </c>
      <c r="S4" s="1" t="s">
        <v>139</v>
      </c>
      <c r="T4" s="1" t="s">
        <v>140</v>
      </c>
      <c r="U4" s="1" t="s">
        <v>141</v>
      </c>
      <c r="V4" s="1" t="s">
        <v>142</v>
      </c>
      <c r="W4" s="1" t="s">
        <v>143</v>
      </c>
      <c r="X4" s="1" t="s">
        <v>144</v>
      </c>
      <c r="Y4" s="1" t="s">
        <v>145</v>
      </c>
      <c r="Z4" s="1" t="s">
        <v>146</v>
      </c>
      <c r="AA4" s="1" t="s">
        <v>147</v>
      </c>
      <c r="AB4" s="1" t="s">
        <v>148</v>
      </c>
      <c r="AC4" s="1" t="s">
        <v>112</v>
      </c>
      <c r="AD4" s="1" t="s">
        <v>149</v>
      </c>
      <c r="AE4" s="1" t="s">
        <v>150</v>
      </c>
      <c r="AF4" s="1" t="s">
        <v>151</v>
      </c>
      <c r="AG4" s="1" t="s">
        <v>152</v>
      </c>
      <c r="AH4" s="1" t="s">
        <v>153</v>
      </c>
      <c r="AI4" s="1" t="s">
        <v>154</v>
      </c>
      <c r="AJ4" s="1" t="s">
        <v>155</v>
      </c>
      <c r="AK4" s="1" t="s">
        <v>156</v>
      </c>
      <c r="AL4" s="1" t="s">
        <v>157</v>
      </c>
      <c r="AM4" s="1" t="s">
        <v>158</v>
      </c>
      <c r="AN4" s="1" t="s">
        <v>159</v>
      </c>
      <c r="AO4" s="1" t="s">
        <v>160</v>
      </c>
      <c r="AP4" s="1" t="s">
        <v>161</v>
      </c>
      <c r="AQ4" s="1" t="s">
        <v>162</v>
      </c>
      <c r="AR4" s="1" t="s">
        <v>163</v>
      </c>
      <c r="AS4" s="1" t="s">
        <v>164</v>
      </c>
      <c r="AT4" s="1" t="s">
        <v>165</v>
      </c>
      <c r="AU4" s="1" t="s">
        <v>166</v>
      </c>
      <c r="AV4" s="1" t="s">
        <v>167</v>
      </c>
      <c r="AW4" s="1" t="s">
        <v>168</v>
      </c>
      <c r="AX4" s="1" t="s">
        <v>169</v>
      </c>
      <c r="AY4" s="1" t="s">
        <v>170</v>
      </c>
      <c r="AZ4" s="1" t="s">
        <v>171</v>
      </c>
      <c r="BA4" s="1" t="s">
        <v>172</v>
      </c>
      <c r="BB4" s="1" t="s">
        <v>173</v>
      </c>
      <c r="BC4" s="1" t="s">
        <v>174</v>
      </c>
      <c r="BD4" s="1" t="s">
        <v>175</v>
      </c>
      <c r="BE4" s="1" t="s">
        <v>176</v>
      </c>
      <c r="BF4" s="1" t="s">
        <v>177</v>
      </c>
      <c r="BG4" s="1" t="s">
        <v>178</v>
      </c>
      <c r="BH4" s="1" t="s">
        <v>179</v>
      </c>
      <c r="BI4" s="1" t="s">
        <v>180</v>
      </c>
      <c r="BJ4" s="1" t="s">
        <v>181</v>
      </c>
      <c r="BK4" s="1" t="s">
        <v>182</v>
      </c>
      <c r="BL4" s="1" t="s">
        <v>183</v>
      </c>
      <c r="BM4" s="1" t="s">
        <v>184</v>
      </c>
      <c r="BN4" s="1" t="s">
        <v>185</v>
      </c>
      <c r="BO4" s="1" t="s">
        <v>186</v>
      </c>
      <c r="BP4" s="1" t="s">
        <v>187</v>
      </c>
      <c r="BQ4" s="1" t="s">
        <v>188</v>
      </c>
      <c r="BR4" s="1" t="s">
        <v>189</v>
      </c>
      <c r="BS4" s="1" t="s">
        <v>190</v>
      </c>
      <c r="BT4" s="1" t="s">
        <v>191</v>
      </c>
      <c r="BU4" s="1" t="s">
        <v>192</v>
      </c>
      <c r="BV4" s="8" t="s">
        <v>37</v>
      </c>
    </row>
    <row r="5" spans="1:75" ht="12.75" x14ac:dyDescent="0.2">
      <c r="A5" s="11" t="s">
        <v>0</v>
      </c>
      <c r="B5" s="12"/>
      <c r="C5" s="13">
        <v>104272</v>
      </c>
      <c r="D5" s="14">
        <v>0</v>
      </c>
      <c r="E5" s="14">
        <v>715196</v>
      </c>
      <c r="F5" s="14">
        <v>3150123</v>
      </c>
      <c r="G5" s="2">
        <v>0</v>
      </c>
      <c r="H5" s="14">
        <v>47700</v>
      </c>
      <c r="I5" s="14" t="s">
        <v>44</v>
      </c>
      <c r="J5" s="14">
        <v>42473</v>
      </c>
      <c r="K5" s="14">
        <v>0</v>
      </c>
      <c r="L5" s="14">
        <v>3179000</v>
      </c>
      <c r="M5" s="14">
        <v>475792</v>
      </c>
      <c r="N5" s="14">
        <v>136500</v>
      </c>
      <c r="O5" s="14">
        <v>298000</v>
      </c>
      <c r="P5" s="34">
        <v>18</v>
      </c>
      <c r="Q5" s="34">
        <v>16</v>
      </c>
      <c r="R5" s="34">
        <v>16</v>
      </c>
      <c r="S5" s="34">
        <v>27.4</v>
      </c>
      <c r="T5" s="34">
        <v>2.5</v>
      </c>
      <c r="U5" s="35">
        <v>117475</v>
      </c>
      <c r="V5" s="36">
        <v>122213</v>
      </c>
      <c r="W5" s="36">
        <v>116230</v>
      </c>
      <c r="X5" s="36">
        <v>122213</v>
      </c>
      <c r="Y5" s="36">
        <v>71231</v>
      </c>
      <c r="Z5" s="36">
        <v>108598</v>
      </c>
      <c r="AA5" s="36" t="s">
        <v>110</v>
      </c>
      <c r="AB5" s="36">
        <v>40</v>
      </c>
      <c r="AC5" s="37" t="s">
        <v>110</v>
      </c>
      <c r="AD5" s="36">
        <v>679238</v>
      </c>
      <c r="AE5" s="36">
        <v>193176</v>
      </c>
      <c r="AF5" s="30">
        <v>18</v>
      </c>
      <c r="AG5" s="36">
        <v>57440</v>
      </c>
      <c r="AH5" s="36">
        <v>21244</v>
      </c>
      <c r="AI5" s="36">
        <v>21244</v>
      </c>
      <c r="AJ5" s="13">
        <v>415826</v>
      </c>
      <c r="AK5" s="13">
        <v>0</v>
      </c>
      <c r="AL5" s="13">
        <v>1740</v>
      </c>
      <c r="AM5" s="13">
        <v>434</v>
      </c>
      <c r="AN5" s="36">
        <v>80140</v>
      </c>
      <c r="AO5" s="36">
        <v>252198</v>
      </c>
      <c r="AP5" s="36">
        <v>25232</v>
      </c>
      <c r="AQ5" s="13">
        <v>119144</v>
      </c>
      <c r="AR5" s="13">
        <v>43211</v>
      </c>
      <c r="AS5" s="30">
        <v>115553</v>
      </c>
      <c r="AT5" s="30">
        <v>51000</v>
      </c>
      <c r="AU5" s="30">
        <v>10796.083333333334</v>
      </c>
      <c r="AV5" s="26">
        <v>4</v>
      </c>
      <c r="AW5" s="26">
        <v>1</v>
      </c>
      <c r="AX5" s="30">
        <v>0</v>
      </c>
      <c r="AY5" s="30">
        <v>1</v>
      </c>
      <c r="AZ5" s="30">
        <v>0</v>
      </c>
      <c r="BA5" s="30">
        <v>0</v>
      </c>
      <c r="BB5" s="30">
        <v>0</v>
      </c>
      <c r="BC5" s="30">
        <v>1</v>
      </c>
      <c r="BD5" s="30">
        <v>198</v>
      </c>
      <c r="BE5" s="30">
        <v>81</v>
      </c>
      <c r="BF5" s="30">
        <v>0</v>
      </c>
      <c r="BG5" s="30">
        <v>0</v>
      </c>
      <c r="BH5" s="36" t="s">
        <v>110</v>
      </c>
      <c r="BI5" s="36">
        <v>145</v>
      </c>
      <c r="BJ5" s="36" t="s">
        <v>110</v>
      </c>
      <c r="BK5" s="36">
        <v>29</v>
      </c>
      <c r="BL5" s="30">
        <v>6</v>
      </c>
      <c r="BM5" s="30">
        <v>7057</v>
      </c>
      <c r="BN5" s="36">
        <v>8</v>
      </c>
      <c r="BO5" s="36">
        <v>1</v>
      </c>
      <c r="BP5" s="36">
        <v>17</v>
      </c>
      <c r="BQ5" s="36">
        <v>12</v>
      </c>
      <c r="BR5" s="38">
        <v>8.6</v>
      </c>
      <c r="BS5" s="38">
        <v>5.5</v>
      </c>
      <c r="BT5" s="30">
        <v>367</v>
      </c>
      <c r="BU5" s="30">
        <v>328</v>
      </c>
      <c r="BV5" s="12"/>
    </row>
    <row r="6" spans="1:75" ht="12.75" x14ac:dyDescent="0.2">
      <c r="A6" s="11" t="s">
        <v>4</v>
      </c>
      <c r="B6" s="12"/>
      <c r="C6" s="13">
        <v>174537</v>
      </c>
      <c r="D6" s="2">
        <v>0</v>
      </c>
      <c r="E6" s="14">
        <v>1242995</v>
      </c>
      <c r="F6" s="14">
        <v>9044603</v>
      </c>
      <c r="G6" s="2">
        <v>0</v>
      </c>
      <c r="H6" s="2">
        <v>0</v>
      </c>
      <c r="I6" s="2">
        <v>1228824</v>
      </c>
      <c r="J6" s="2">
        <v>91166</v>
      </c>
      <c r="K6" s="14">
        <v>38533</v>
      </c>
      <c r="L6" s="14">
        <v>8592016</v>
      </c>
      <c r="M6" s="2">
        <v>1577033</v>
      </c>
      <c r="N6" s="2">
        <v>119852</v>
      </c>
      <c r="O6" s="14">
        <v>465900</v>
      </c>
      <c r="P6" s="34">
        <v>46</v>
      </c>
      <c r="Q6" s="34">
        <v>55</v>
      </c>
      <c r="R6" s="34">
        <v>35</v>
      </c>
      <c r="S6" s="34">
        <v>73.650000000000006</v>
      </c>
      <c r="T6" s="34">
        <v>3.52</v>
      </c>
      <c r="U6" s="35">
        <v>408752</v>
      </c>
      <c r="V6" s="35">
        <v>88088</v>
      </c>
      <c r="W6" s="36">
        <v>389516</v>
      </c>
      <c r="X6" s="36">
        <v>88088</v>
      </c>
      <c r="Y6" s="36">
        <v>159812</v>
      </c>
      <c r="Z6" s="36">
        <v>172696</v>
      </c>
      <c r="AA6" s="36" t="s">
        <v>110</v>
      </c>
      <c r="AB6" s="36">
        <v>30</v>
      </c>
      <c r="AC6" s="37" t="s">
        <v>110</v>
      </c>
      <c r="AD6" s="36">
        <v>1572192</v>
      </c>
      <c r="AE6" s="36">
        <v>572192</v>
      </c>
      <c r="AF6" s="30">
        <v>0</v>
      </c>
      <c r="AG6" s="36">
        <v>70067</v>
      </c>
      <c r="AH6" s="36">
        <v>34910</v>
      </c>
      <c r="AI6" s="36">
        <v>32740</v>
      </c>
      <c r="AJ6" s="13">
        <v>921658</v>
      </c>
      <c r="AK6" s="13">
        <v>0</v>
      </c>
      <c r="AL6" s="13">
        <v>3224</v>
      </c>
      <c r="AM6" s="15">
        <v>1811</v>
      </c>
      <c r="AN6" s="15">
        <v>508289</v>
      </c>
      <c r="AO6" s="15">
        <v>3283027</v>
      </c>
      <c r="AP6" s="15">
        <v>319837</v>
      </c>
      <c r="AQ6" s="13">
        <v>0</v>
      </c>
      <c r="AR6" s="13">
        <v>36260</v>
      </c>
      <c r="AS6" s="26">
        <v>0</v>
      </c>
      <c r="AT6" s="30">
        <v>25980</v>
      </c>
      <c r="AU6" s="30">
        <v>30548</v>
      </c>
      <c r="AV6" s="30">
        <v>6</v>
      </c>
      <c r="AW6" s="26">
        <v>0</v>
      </c>
      <c r="AX6" s="30">
        <v>0</v>
      </c>
      <c r="AY6" s="30">
        <v>0</v>
      </c>
      <c r="AZ6" s="30">
        <v>0</v>
      </c>
      <c r="BA6" s="30">
        <v>0</v>
      </c>
      <c r="BB6" s="30">
        <v>0</v>
      </c>
      <c r="BC6" s="30">
        <v>0</v>
      </c>
      <c r="BD6" s="30">
        <v>335</v>
      </c>
      <c r="BE6" s="30">
        <v>0</v>
      </c>
      <c r="BF6" s="30">
        <v>0</v>
      </c>
      <c r="BG6" s="30">
        <v>0</v>
      </c>
      <c r="BH6" s="36" t="s">
        <v>110</v>
      </c>
      <c r="BI6" s="36">
        <v>269</v>
      </c>
      <c r="BJ6" s="36" t="s">
        <v>110</v>
      </c>
      <c r="BK6" s="36">
        <v>40</v>
      </c>
      <c r="BL6" s="30">
        <v>18</v>
      </c>
      <c r="BM6" s="53"/>
      <c r="BN6" s="36">
        <v>75</v>
      </c>
      <c r="BO6" s="36">
        <v>89</v>
      </c>
      <c r="BP6" s="36">
        <v>43</v>
      </c>
      <c r="BQ6" s="36">
        <v>21</v>
      </c>
      <c r="BR6" s="38">
        <v>8.4</v>
      </c>
      <c r="BS6" s="38">
        <v>16</v>
      </c>
      <c r="BT6" s="30">
        <v>274</v>
      </c>
      <c r="BU6" s="30">
        <v>258</v>
      </c>
      <c r="BV6" s="12"/>
    </row>
    <row r="7" spans="1:75" ht="12.75" x14ac:dyDescent="0.2">
      <c r="A7" s="11" t="s">
        <v>1</v>
      </c>
      <c r="B7" s="12"/>
      <c r="C7" s="13">
        <v>196046</v>
      </c>
      <c r="D7" s="2">
        <v>0</v>
      </c>
      <c r="E7" s="14">
        <v>1419864</v>
      </c>
      <c r="F7" s="14">
        <v>6804029</v>
      </c>
      <c r="G7" s="2">
        <v>0</v>
      </c>
      <c r="H7" s="2">
        <v>0</v>
      </c>
      <c r="I7" s="2">
        <v>0</v>
      </c>
      <c r="J7" s="2">
        <v>167449</v>
      </c>
      <c r="K7" s="14">
        <v>47810</v>
      </c>
      <c r="L7" s="14">
        <v>7365015</v>
      </c>
      <c r="M7" s="2">
        <v>751817</v>
      </c>
      <c r="N7" s="2">
        <v>192459</v>
      </c>
      <c r="O7" s="14">
        <v>366733</v>
      </c>
      <c r="P7" s="34">
        <v>37</v>
      </c>
      <c r="Q7" s="34">
        <v>41</v>
      </c>
      <c r="R7" s="34">
        <v>0</v>
      </c>
      <c r="S7" s="34">
        <v>61.65</v>
      </c>
      <c r="T7" s="34">
        <v>4.2</v>
      </c>
      <c r="U7" s="35">
        <v>175839</v>
      </c>
      <c r="V7" s="35">
        <v>44895</v>
      </c>
      <c r="W7" s="36">
        <v>175023</v>
      </c>
      <c r="X7" s="36">
        <v>44895</v>
      </c>
      <c r="Y7" s="36">
        <v>134828</v>
      </c>
      <c r="Z7" s="36">
        <v>24489</v>
      </c>
      <c r="AA7" s="36" t="s">
        <v>110</v>
      </c>
      <c r="AB7" s="36">
        <v>29</v>
      </c>
      <c r="AC7" s="37" t="s">
        <v>110</v>
      </c>
      <c r="AD7" s="36">
        <v>843995</v>
      </c>
      <c r="AE7" s="36">
        <v>103050</v>
      </c>
      <c r="AF7" s="30">
        <v>2786</v>
      </c>
      <c r="AG7" s="36">
        <v>129082</v>
      </c>
      <c r="AH7" s="36"/>
      <c r="AI7" s="36">
        <v>35942</v>
      </c>
      <c r="AJ7" s="13">
        <v>821913</v>
      </c>
      <c r="AK7" s="13">
        <v>0</v>
      </c>
      <c r="AL7" s="13">
        <v>552</v>
      </c>
      <c r="AM7" s="15">
        <v>60233</v>
      </c>
      <c r="AN7" s="15">
        <v>1316039</v>
      </c>
      <c r="AO7" s="15">
        <v>1142897</v>
      </c>
      <c r="AP7" s="15">
        <v>246001</v>
      </c>
      <c r="AQ7" s="13">
        <v>0</v>
      </c>
      <c r="AR7" s="13">
        <v>60233</v>
      </c>
      <c r="AS7" s="26">
        <v>0</v>
      </c>
      <c r="AT7" s="30">
        <v>120259</v>
      </c>
      <c r="AU7" s="26">
        <v>87162</v>
      </c>
      <c r="AV7" s="26">
        <v>5</v>
      </c>
      <c r="AW7" s="26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278</v>
      </c>
      <c r="BE7" s="30">
        <v>0</v>
      </c>
      <c r="BF7" s="30">
        <v>0</v>
      </c>
      <c r="BG7" s="30">
        <v>0</v>
      </c>
      <c r="BH7" s="36" t="s">
        <v>110</v>
      </c>
      <c r="BI7" s="36">
        <v>125</v>
      </c>
      <c r="BJ7" s="36" t="s">
        <v>110</v>
      </c>
      <c r="BK7" s="36">
        <v>8</v>
      </c>
      <c r="BL7" s="30">
        <v>23</v>
      </c>
      <c r="BM7" s="30">
        <v>19482</v>
      </c>
      <c r="BN7" s="36">
        <v>7</v>
      </c>
      <c r="BO7" s="36">
        <v>75</v>
      </c>
      <c r="BP7" s="36">
        <v>126</v>
      </c>
      <c r="BQ7" s="36">
        <v>30</v>
      </c>
      <c r="BR7" s="28">
        <v>8.6</v>
      </c>
      <c r="BS7" s="38">
        <v>14</v>
      </c>
      <c r="BT7" s="30">
        <v>366</v>
      </c>
      <c r="BU7" s="30">
        <v>323</v>
      </c>
      <c r="BV7" s="12"/>
    </row>
    <row r="8" spans="1:75" ht="12.75" x14ac:dyDescent="0.2">
      <c r="A8" s="11" t="s">
        <v>51</v>
      </c>
      <c r="B8" s="12"/>
      <c r="C8" s="13">
        <v>6040</v>
      </c>
      <c r="D8" s="14">
        <v>0</v>
      </c>
      <c r="E8" s="14">
        <v>136446</v>
      </c>
      <c r="F8" s="14">
        <v>186930.75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144654.47</v>
      </c>
      <c r="M8" s="14">
        <v>20865.75</v>
      </c>
      <c r="N8" s="14">
        <v>0</v>
      </c>
      <c r="O8" s="14">
        <v>8236.42</v>
      </c>
      <c r="P8" s="34">
        <v>0</v>
      </c>
      <c r="Q8" s="34">
        <v>3</v>
      </c>
      <c r="R8" s="34">
        <v>0</v>
      </c>
      <c r="S8" s="34">
        <v>2.2999999999999998</v>
      </c>
      <c r="T8" s="34">
        <v>0</v>
      </c>
      <c r="U8" s="35">
        <v>16240</v>
      </c>
      <c r="V8" s="35">
        <v>1693</v>
      </c>
      <c r="W8" s="36">
        <v>16240</v>
      </c>
      <c r="X8" s="36">
        <v>1693</v>
      </c>
      <c r="Y8" s="36">
        <v>16092</v>
      </c>
      <c r="Z8" s="36">
        <v>1276</v>
      </c>
      <c r="AA8" s="36" t="s">
        <v>111</v>
      </c>
      <c r="AB8" s="36">
        <v>0</v>
      </c>
      <c r="AC8" s="37" t="s">
        <v>110</v>
      </c>
      <c r="AD8" s="36">
        <v>9240</v>
      </c>
      <c r="AE8" s="36">
        <v>1581</v>
      </c>
      <c r="AF8" s="30">
        <v>0</v>
      </c>
      <c r="AG8" s="36">
        <v>906</v>
      </c>
      <c r="AH8" s="36">
        <v>775</v>
      </c>
      <c r="AI8" s="36">
        <v>775</v>
      </c>
      <c r="AJ8" s="13">
        <v>10345</v>
      </c>
      <c r="AK8" s="13">
        <v>578</v>
      </c>
      <c r="AL8" s="13">
        <v>64</v>
      </c>
      <c r="AM8" s="15">
        <v>579</v>
      </c>
      <c r="AN8" s="15"/>
      <c r="AO8" s="15">
        <v>698</v>
      </c>
      <c r="AP8" s="13">
        <v>0</v>
      </c>
      <c r="AQ8" s="13">
        <v>0</v>
      </c>
      <c r="AR8" s="13">
        <v>579</v>
      </c>
      <c r="AS8" s="26">
        <v>0</v>
      </c>
      <c r="AT8" s="30">
        <v>0</v>
      </c>
      <c r="AU8" s="30">
        <v>0</v>
      </c>
      <c r="AV8" s="30">
        <v>5</v>
      </c>
      <c r="AW8" s="26">
        <v>0</v>
      </c>
      <c r="AX8" s="30">
        <v>0</v>
      </c>
      <c r="AY8" s="30">
        <v>0</v>
      </c>
      <c r="AZ8" s="30">
        <v>1</v>
      </c>
      <c r="BA8" s="30">
        <v>5</v>
      </c>
      <c r="BB8" s="30">
        <v>1</v>
      </c>
      <c r="BC8" s="30">
        <v>0</v>
      </c>
      <c r="BD8" s="30">
        <v>36</v>
      </c>
      <c r="BE8" s="30">
        <v>0</v>
      </c>
      <c r="BF8" s="30">
        <v>5</v>
      </c>
      <c r="BG8" s="30">
        <v>0</v>
      </c>
      <c r="BH8" s="36" t="s">
        <v>111</v>
      </c>
      <c r="BI8" s="54"/>
      <c r="BJ8" s="54"/>
      <c r="BK8" s="54"/>
      <c r="BL8" s="30">
        <v>0</v>
      </c>
      <c r="BM8" s="53"/>
      <c r="BN8" s="36">
        <v>5</v>
      </c>
      <c r="BO8" s="36">
        <v>5</v>
      </c>
      <c r="BP8" s="36">
        <v>3</v>
      </c>
      <c r="BQ8" s="36">
        <v>0</v>
      </c>
      <c r="BR8" s="50"/>
      <c r="BS8" s="38">
        <v>2</v>
      </c>
      <c r="BT8" s="30">
        <v>30</v>
      </c>
      <c r="BU8" s="30">
        <v>0</v>
      </c>
      <c r="BV8" s="12"/>
    </row>
    <row r="9" spans="1:75" ht="12.75" x14ac:dyDescent="0.2">
      <c r="A9" s="11" t="s">
        <v>2</v>
      </c>
      <c r="B9" s="12"/>
      <c r="C9" s="13">
        <v>38299</v>
      </c>
      <c r="D9" s="14">
        <v>0</v>
      </c>
      <c r="E9" s="14">
        <v>321800</v>
      </c>
      <c r="F9" s="14">
        <v>992419</v>
      </c>
      <c r="G9" s="14">
        <v>0</v>
      </c>
      <c r="H9" s="14">
        <v>0</v>
      </c>
      <c r="I9" s="14">
        <v>0</v>
      </c>
      <c r="J9" s="14">
        <v>18933</v>
      </c>
      <c r="K9" s="14">
        <v>127040</v>
      </c>
      <c r="L9" s="14">
        <v>1087357</v>
      </c>
      <c r="M9" s="14">
        <v>124271</v>
      </c>
      <c r="N9" s="14">
        <v>9967</v>
      </c>
      <c r="O9" s="14">
        <v>67352</v>
      </c>
      <c r="P9" s="34">
        <v>3</v>
      </c>
      <c r="Q9" s="34">
        <v>12</v>
      </c>
      <c r="R9" s="34">
        <v>8</v>
      </c>
      <c r="S9" s="34">
        <v>10.3</v>
      </c>
      <c r="T9" s="34">
        <v>1</v>
      </c>
      <c r="U9" s="35">
        <v>119679</v>
      </c>
      <c r="V9" s="35">
        <v>6931</v>
      </c>
      <c r="W9" s="36">
        <v>117979</v>
      </c>
      <c r="X9" s="36">
        <v>6931</v>
      </c>
      <c r="Y9" s="36">
        <v>33943</v>
      </c>
      <c r="Z9" s="36">
        <v>6593</v>
      </c>
      <c r="AA9" s="36" t="s">
        <v>111</v>
      </c>
      <c r="AB9" s="36">
        <v>0</v>
      </c>
      <c r="AC9" s="37" t="s">
        <v>110</v>
      </c>
      <c r="AD9" s="36">
        <v>160542</v>
      </c>
      <c r="AE9" s="36">
        <v>30249</v>
      </c>
      <c r="AF9" s="30">
        <v>117</v>
      </c>
      <c r="AG9" s="36">
        <v>9496</v>
      </c>
      <c r="AH9" s="36">
        <v>4285</v>
      </c>
      <c r="AI9" s="36">
        <v>4285</v>
      </c>
      <c r="AJ9" s="13">
        <v>120102</v>
      </c>
      <c r="AK9" s="13">
        <v>0</v>
      </c>
      <c r="AL9" s="13">
        <v>1313</v>
      </c>
      <c r="AM9" s="13">
        <v>2156</v>
      </c>
      <c r="AN9" s="13"/>
      <c r="AO9" s="13">
        <v>41223</v>
      </c>
      <c r="AP9" s="13">
        <v>16458</v>
      </c>
      <c r="AQ9" s="13">
        <v>3202</v>
      </c>
      <c r="AR9" s="13">
        <v>18007</v>
      </c>
      <c r="AS9" s="26">
        <v>6654</v>
      </c>
      <c r="AT9" s="26">
        <v>7283.26</v>
      </c>
      <c r="AU9" s="26">
        <v>5731</v>
      </c>
      <c r="AV9" s="26">
        <v>5</v>
      </c>
      <c r="AW9" s="26">
        <v>0</v>
      </c>
      <c r="AX9" s="26">
        <v>5</v>
      </c>
      <c r="AY9" s="30">
        <v>0</v>
      </c>
      <c r="AZ9" s="30">
        <v>0</v>
      </c>
      <c r="BA9" s="30">
        <v>0</v>
      </c>
      <c r="BB9" s="30">
        <v>0</v>
      </c>
      <c r="BC9" s="30">
        <v>1</v>
      </c>
      <c r="BD9" s="30">
        <v>127</v>
      </c>
      <c r="BE9" s="30">
        <v>48</v>
      </c>
      <c r="BF9" s="30">
        <v>0</v>
      </c>
      <c r="BG9" s="30">
        <v>51</v>
      </c>
      <c r="BH9" s="36" t="s">
        <v>110</v>
      </c>
      <c r="BI9" s="36">
        <v>110</v>
      </c>
      <c r="BJ9" s="36" t="s">
        <v>110</v>
      </c>
      <c r="BK9" s="36">
        <v>47</v>
      </c>
      <c r="BL9" s="30">
        <v>5</v>
      </c>
      <c r="BM9" s="30">
        <v>284.5</v>
      </c>
      <c r="BN9" s="36">
        <v>17</v>
      </c>
      <c r="BO9" s="36">
        <v>50</v>
      </c>
      <c r="BP9" s="36">
        <v>27</v>
      </c>
      <c r="BQ9" s="36">
        <v>4</v>
      </c>
      <c r="BR9" s="38">
        <v>8.8000000000000007</v>
      </c>
      <c r="BS9" s="38">
        <v>7</v>
      </c>
      <c r="BT9" s="30">
        <v>62</v>
      </c>
      <c r="BU9" s="30">
        <v>40</v>
      </c>
      <c r="BV9" s="12"/>
    </row>
    <row r="10" spans="1:75" ht="12.75" x14ac:dyDescent="0.2">
      <c r="A10" s="11" t="s">
        <v>3</v>
      </c>
      <c r="B10" s="12"/>
      <c r="C10" s="13">
        <v>235291</v>
      </c>
      <c r="D10" s="14">
        <v>0</v>
      </c>
      <c r="E10" s="14">
        <v>2154958</v>
      </c>
      <c r="F10" s="14">
        <v>4894297</v>
      </c>
      <c r="G10" s="14">
        <v>0</v>
      </c>
      <c r="H10" s="14">
        <v>34900</v>
      </c>
      <c r="I10" s="14">
        <v>112226</v>
      </c>
      <c r="J10" s="14">
        <v>193160</v>
      </c>
      <c r="K10" s="14">
        <v>93841</v>
      </c>
      <c r="L10" s="14">
        <v>5931694</v>
      </c>
      <c r="M10" s="14">
        <v>983612</v>
      </c>
      <c r="N10" s="14">
        <v>230778</v>
      </c>
      <c r="O10" s="14">
        <v>268140</v>
      </c>
      <c r="P10" s="34">
        <v>24</v>
      </c>
      <c r="Q10" s="34">
        <v>78</v>
      </c>
      <c r="R10" s="34">
        <v>52</v>
      </c>
      <c r="S10" s="34">
        <v>58.5</v>
      </c>
      <c r="T10" s="34">
        <v>7.1</v>
      </c>
      <c r="U10" s="35">
        <v>278212</v>
      </c>
      <c r="V10" s="35">
        <v>51838</v>
      </c>
      <c r="W10" s="36">
        <v>263707</v>
      </c>
      <c r="X10" s="36">
        <v>51838</v>
      </c>
      <c r="Y10" s="36">
        <v>170937</v>
      </c>
      <c r="Z10" s="36">
        <v>36367</v>
      </c>
      <c r="AA10" s="36" t="s">
        <v>110</v>
      </c>
      <c r="AB10" s="36">
        <v>44</v>
      </c>
      <c r="AC10" s="37" t="s">
        <v>110</v>
      </c>
      <c r="AD10" s="36">
        <v>906759</v>
      </c>
      <c r="AE10" s="36">
        <v>203029</v>
      </c>
      <c r="AF10" s="30">
        <v>55</v>
      </c>
      <c r="AG10" s="36">
        <v>46076</v>
      </c>
      <c r="AH10" s="36">
        <v>21326</v>
      </c>
      <c r="AI10" s="36">
        <v>21326</v>
      </c>
      <c r="AJ10" s="13">
        <v>527728</v>
      </c>
      <c r="AK10" s="13">
        <v>10357</v>
      </c>
      <c r="AL10" s="13">
        <v>2612</v>
      </c>
      <c r="AM10" s="13">
        <v>5237</v>
      </c>
      <c r="AN10" s="15"/>
      <c r="AO10" s="15">
        <v>649708</v>
      </c>
      <c r="AP10" s="15">
        <v>495561</v>
      </c>
      <c r="AQ10" s="13">
        <v>62587</v>
      </c>
      <c r="AR10" s="13">
        <v>60026</v>
      </c>
      <c r="AS10" s="26">
        <v>34920</v>
      </c>
      <c r="AT10" s="26">
        <v>7009</v>
      </c>
      <c r="AU10" s="26">
        <v>23863</v>
      </c>
      <c r="AV10" s="26">
        <v>18</v>
      </c>
      <c r="AW10" s="26">
        <v>0</v>
      </c>
      <c r="AX10" s="30">
        <v>0</v>
      </c>
      <c r="AY10" s="30">
        <v>3</v>
      </c>
      <c r="AZ10" s="30">
        <v>4</v>
      </c>
      <c r="BA10" s="30">
        <v>20</v>
      </c>
      <c r="BB10" s="30">
        <v>1</v>
      </c>
      <c r="BC10" s="30">
        <v>4</v>
      </c>
      <c r="BD10" s="30">
        <v>634</v>
      </c>
      <c r="BE10" s="30">
        <v>2</v>
      </c>
      <c r="BF10" s="30">
        <v>41</v>
      </c>
      <c r="BG10" s="30">
        <v>26</v>
      </c>
      <c r="BH10" s="36" t="s">
        <v>110</v>
      </c>
      <c r="BI10" s="36">
        <v>431</v>
      </c>
      <c r="BJ10" s="36" t="s">
        <v>110</v>
      </c>
      <c r="BK10" s="36">
        <v>6</v>
      </c>
      <c r="BL10" s="30">
        <v>28</v>
      </c>
      <c r="BM10" s="30">
        <v>7568</v>
      </c>
      <c r="BN10" s="36">
        <v>178</v>
      </c>
      <c r="BO10" s="36">
        <v>164</v>
      </c>
      <c r="BP10" s="36">
        <v>118</v>
      </c>
      <c r="BQ10" s="36">
        <v>13</v>
      </c>
      <c r="BR10" s="38">
        <v>8.26</v>
      </c>
      <c r="BS10" s="38">
        <v>60</v>
      </c>
      <c r="BT10" s="30">
        <v>965</v>
      </c>
      <c r="BU10" s="30">
        <v>795</v>
      </c>
      <c r="BV10" s="12"/>
    </row>
    <row r="11" spans="1:75" ht="12.75" x14ac:dyDescent="0.2">
      <c r="A11" s="11" t="s">
        <v>193</v>
      </c>
      <c r="B11" s="12"/>
      <c r="C11" s="13">
        <v>392110</v>
      </c>
      <c r="D11" s="14">
        <v>54668</v>
      </c>
      <c r="E11" s="14">
        <v>2175404</v>
      </c>
      <c r="F11" s="14">
        <v>6844740</v>
      </c>
      <c r="G11" s="14">
        <v>0</v>
      </c>
      <c r="H11" s="14">
        <v>0</v>
      </c>
      <c r="I11" s="14">
        <v>417155</v>
      </c>
      <c r="J11" s="14">
        <v>65937.41</v>
      </c>
      <c r="K11" s="14">
        <v>210928.58999999985</v>
      </c>
      <c r="L11" s="14">
        <v>6473010.3899999997</v>
      </c>
      <c r="M11" s="14">
        <v>1045882.98</v>
      </c>
      <c r="N11" s="14">
        <v>187474.59</v>
      </c>
      <c r="O11" s="14">
        <v>293290.18</v>
      </c>
      <c r="P11" s="34">
        <v>25</v>
      </c>
      <c r="Q11" s="34">
        <v>88</v>
      </c>
      <c r="R11" s="34">
        <v>7</v>
      </c>
      <c r="S11" s="34">
        <v>58</v>
      </c>
      <c r="T11" s="34">
        <v>1.5</v>
      </c>
      <c r="U11" s="35">
        <v>236660</v>
      </c>
      <c r="V11" s="35">
        <v>35241</v>
      </c>
      <c r="W11" s="36">
        <v>236229</v>
      </c>
      <c r="X11" s="36">
        <v>35241</v>
      </c>
      <c r="Y11" s="36">
        <v>155855</v>
      </c>
      <c r="Z11" s="36">
        <v>35241</v>
      </c>
      <c r="AA11" s="36" t="s">
        <v>110</v>
      </c>
      <c r="AB11" s="36">
        <v>60</v>
      </c>
      <c r="AC11" s="37" t="s">
        <v>110</v>
      </c>
      <c r="AD11" s="36">
        <v>1254778</v>
      </c>
      <c r="AE11" s="36">
        <v>789072</v>
      </c>
      <c r="AF11" s="30">
        <v>32</v>
      </c>
      <c r="AG11" s="36">
        <v>91155</v>
      </c>
      <c r="AH11" s="36">
        <v>66260</v>
      </c>
      <c r="AI11" s="36">
        <v>28375</v>
      </c>
      <c r="AJ11" s="13">
        <v>741005</v>
      </c>
      <c r="AK11" s="13">
        <v>0</v>
      </c>
      <c r="AL11" s="13">
        <v>1409</v>
      </c>
      <c r="AM11" s="15">
        <v>10862</v>
      </c>
      <c r="AN11" s="15">
        <v>445000</v>
      </c>
      <c r="AO11" s="15">
        <v>157761</v>
      </c>
      <c r="AP11" s="15">
        <v>226000</v>
      </c>
      <c r="AQ11" s="15">
        <v>214497</v>
      </c>
      <c r="AR11" s="13">
        <v>67134</v>
      </c>
      <c r="AS11" s="26">
        <v>0</v>
      </c>
      <c r="AT11" s="30">
        <v>34964</v>
      </c>
      <c r="AU11" s="30">
        <v>44413</v>
      </c>
      <c r="AV11" s="30">
        <v>6</v>
      </c>
      <c r="AW11" s="26">
        <v>0</v>
      </c>
      <c r="AX11" s="30">
        <v>0</v>
      </c>
      <c r="AY11" s="30">
        <v>3</v>
      </c>
      <c r="AZ11" s="30">
        <v>0</v>
      </c>
      <c r="BA11" s="30">
        <v>0</v>
      </c>
      <c r="BB11" s="30">
        <v>1</v>
      </c>
      <c r="BC11" s="30">
        <v>0</v>
      </c>
      <c r="BD11" s="30">
        <v>342</v>
      </c>
      <c r="BE11" s="30">
        <v>0</v>
      </c>
      <c r="BF11" s="30">
        <v>0</v>
      </c>
      <c r="BG11" s="30">
        <v>0</v>
      </c>
      <c r="BH11" s="36" t="s">
        <v>110</v>
      </c>
      <c r="BI11" s="36">
        <v>160</v>
      </c>
      <c r="BJ11" s="36" t="s">
        <v>110</v>
      </c>
      <c r="BK11" s="36">
        <v>10</v>
      </c>
      <c r="BL11" s="30">
        <v>3</v>
      </c>
      <c r="BM11" s="53"/>
      <c r="BN11" s="36">
        <v>50</v>
      </c>
      <c r="BO11" s="36">
        <v>64</v>
      </c>
      <c r="BP11" s="36">
        <v>64</v>
      </c>
      <c r="BQ11" s="36">
        <v>21</v>
      </c>
      <c r="BR11" s="50"/>
      <c r="BS11" s="38">
        <v>14</v>
      </c>
      <c r="BT11" s="30">
        <v>409</v>
      </c>
      <c r="BU11" s="30">
        <v>303</v>
      </c>
      <c r="BV11" s="12"/>
    </row>
    <row r="12" spans="1:75" ht="12.75" x14ac:dyDescent="0.2">
      <c r="A12" s="11" t="s">
        <v>74</v>
      </c>
      <c r="B12" s="12"/>
      <c r="C12" s="13">
        <v>33558</v>
      </c>
      <c r="D12" s="14">
        <v>8000</v>
      </c>
      <c r="E12" s="14">
        <v>370367</v>
      </c>
      <c r="F12" s="14">
        <v>911495</v>
      </c>
      <c r="G12" s="2">
        <v>0</v>
      </c>
      <c r="H12" s="14">
        <v>0</v>
      </c>
      <c r="I12" s="2">
        <v>0</v>
      </c>
      <c r="J12" s="14">
        <v>5696</v>
      </c>
      <c r="K12" s="14">
        <v>800</v>
      </c>
      <c r="L12" s="14">
        <v>699991</v>
      </c>
      <c r="M12" s="2">
        <v>88808.28</v>
      </c>
      <c r="N12" s="2">
        <v>30120</v>
      </c>
      <c r="O12" s="14">
        <v>44671</v>
      </c>
      <c r="P12" s="34">
        <v>2</v>
      </c>
      <c r="Q12" s="34">
        <v>13</v>
      </c>
      <c r="R12" s="34">
        <v>15</v>
      </c>
      <c r="S12" s="34">
        <v>7.07</v>
      </c>
      <c r="T12" s="34">
        <v>0.54</v>
      </c>
      <c r="U12" s="35">
        <v>57313</v>
      </c>
      <c r="V12" s="35">
        <v>16265</v>
      </c>
      <c r="W12" s="36">
        <v>57313</v>
      </c>
      <c r="X12" s="36">
        <v>16265</v>
      </c>
      <c r="Y12" s="36">
        <v>27542</v>
      </c>
      <c r="Z12" s="36">
        <v>17950</v>
      </c>
      <c r="AA12" s="36" t="s">
        <v>111</v>
      </c>
      <c r="AB12" s="36">
        <v>0</v>
      </c>
      <c r="AC12" s="37" t="s">
        <v>110</v>
      </c>
      <c r="AD12" s="36">
        <v>76378</v>
      </c>
      <c r="AE12" s="36">
        <v>99178</v>
      </c>
      <c r="AF12" s="30" t="s">
        <v>44</v>
      </c>
      <c r="AG12" s="36">
        <v>14319</v>
      </c>
      <c r="AH12" s="36">
        <v>2773</v>
      </c>
      <c r="AI12" s="36">
        <v>2773</v>
      </c>
      <c r="AJ12" s="13">
        <v>63039</v>
      </c>
      <c r="AK12" s="13">
        <v>0</v>
      </c>
      <c r="AL12" s="13">
        <v>224</v>
      </c>
      <c r="AM12" s="15">
        <v>10</v>
      </c>
      <c r="AN12" s="13">
        <v>19421</v>
      </c>
      <c r="AO12" s="13">
        <v>124672</v>
      </c>
      <c r="AP12" s="13">
        <v>8533</v>
      </c>
      <c r="AQ12" s="13">
        <v>0</v>
      </c>
      <c r="AR12" s="13">
        <v>7523</v>
      </c>
      <c r="AS12" s="30">
        <v>9600</v>
      </c>
      <c r="AT12" s="30">
        <v>938</v>
      </c>
      <c r="AU12" s="30">
        <v>1318</v>
      </c>
      <c r="AV12" s="26">
        <v>8</v>
      </c>
      <c r="AW12" s="26">
        <v>0</v>
      </c>
      <c r="AX12" s="30">
        <v>1</v>
      </c>
      <c r="AY12" s="30" t="s">
        <v>44</v>
      </c>
      <c r="AZ12" s="30">
        <v>0</v>
      </c>
      <c r="BA12" s="30" t="s">
        <v>44</v>
      </c>
      <c r="BB12" s="30" t="s">
        <v>44</v>
      </c>
      <c r="BC12" s="30">
        <v>2</v>
      </c>
      <c r="BD12" s="30">
        <v>130</v>
      </c>
      <c r="BE12" s="30">
        <v>0</v>
      </c>
      <c r="BF12" s="30">
        <v>0</v>
      </c>
      <c r="BG12" s="30">
        <v>8</v>
      </c>
      <c r="BH12" s="36" t="s">
        <v>110</v>
      </c>
      <c r="BI12" s="36">
        <v>224</v>
      </c>
      <c r="BJ12" s="36" t="s">
        <v>111</v>
      </c>
      <c r="BK12" s="54"/>
      <c r="BL12" s="30">
        <v>0</v>
      </c>
      <c r="BM12" s="53"/>
      <c r="BN12" s="36">
        <v>4</v>
      </c>
      <c r="BO12" s="36">
        <v>15</v>
      </c>
      <c r="BP12" s="36">
        <v>12</v>
      </c>
      <c r="BQ12" s="36">
        <v>7</v>
      </c>
      <c r="BR12" s="50"/>
      <c r="BS12" s="38">
        <v>6</v>
      </c>
      <c r="BT12" s="30">
        <v>65</v>
      </c>
      <c r="BU12" s="30">
        <v>40</v>
      </c>
      <c r="BV12" s="12"/>
    </row>
    <row r="13" spans="1:75" ht="12.75" x14ac:dyDescent="0.2">
      <c r="A13" s="11" t="s">
        <v>5</v>
      </c>
      <c r="B13" s="12"/>
      <c r="C13" s="13">
        <v>155683</v>
      </c>
      <c r="D13" s="14">
        <v>0</v>
      </c>
      <c r="E13" s="14">
        <v>1088883</v>
      </c>
      <c r="F13" s="14">
        <v>5175321</v>
      </c>
      <c r="G13" s="14">
        <v>0</v>
      </c>
      <c r="H13" s="14">
        <v>0</v>
      </c>
      <c r="I13" s="14">
        <v>219495</v>
      </c>
      <c r="J13" s="14">
        <v>106108</v>
      </c>
      <c r="K13" s="14">
        <v>0</v>
      </c>
      <c r="L13" s="14">
        <v>4861049</v>
      </c>
      <c r="M13" s="14">
        <v>397079</v>
      </c>
      <c r="N13" s="14">
        <v>109564</v>
      </c>
      <c r="O13" s="14">
        <v>369389</v>
      </c>
      <c r="P13" s="34">
        <v>33</v>
      </c>
      <c r="Q13" s="34">
        <v>20</v>
      </c>
      <c r="R13" s="34">
        <v>28</v>
      </c>
      <c r="S13" s="34">
        <v>44.1</v>
      </c>
      <c r="T13" s="34">
        <v>1</v>
      </c>
      <c r="U13" s="35">
        <v>152908</v>
      </c>
      <c r="V13" s="35">
        <v>36718</v>
      </c>
      <c r="W13" s="36">
        <v>151846</v>
      </c>
      <c r="X13" s="36">
        <v>36178</v>
      </c>
      <c r="Y13" s="36">
        <v>71808</v>
      </c>
      <c r="Z13" s="36">
        <v>29322</v>
      </c>
      <c r="AA13" s="36" t="s">
        <v>110</v>
      </c>
      <c r="AB13" s="36">
        <v>22</v>
      </c>
      <c r="AC13" s="37" t="s">
        <v>110</v>
      </c>
      <c r="AD13" s="36">
        <v>834240</v>
      </c>
      <c r="AE13" s="36">
        <v>259019</v>
      </c>
      <c r="AF13" s="30">
        <v>7877</v>
      </c>
      <c r="AG13" s="36">
        <v>54385</v>
      </c>
      <c r="AH13" s="36">
        <v>28648</v>
      </c>
      <c r="AI13" s="36">
        <v>23193</v>
      </c>
      <c r="AJ13" s="13">
        <v>490285</v>
      </c>
      <c r="AK13" s="13">
        <v>0</v>
      </c>
      <c r="AL13" s="13">
        <v>482</v>
      </c>
      <c r="AM13" s="13">
        <v>493</v>
      </c>
      <c r="AN13" s="15">
        <v>371165</v>
      </c>
      <c r="AO13" s="15">
        <v>159237</v>
      </c>
      <c r="AP13" s="13">
        <v>316305</v>
      </c>
      <c r="AQ13" s="13">
        <v>236884</v>
      </c>
      <c r="AR13" s="13">
        <v>22415</v>
      </c>
      <c r="AS13" s="26">
        <v>352891</v>
      </c>
      <c r="AT13" s="26">
        <v>36096</v>
      </c>
      <c r="AU13" s="26">
        <v>30093</v>
      </c>
      <c r="AV13" s="26">
        <v>4</v>
      </c>
      <c r="AW13" s="26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1</v>
      </c>
      <c r="BC13" s="30">
        <v>0</v>
      </c>
      <c r="BD13" s="30">
        <v>227</v>
      </c>
      <c r="BE13" s="30">
        <v>0</v>
      </c>
      <c r="BF13" s="30">
        <v>0</v>
      </c>
      <c r="BG13" s="30">
        <v>0</v>
      </c>
      <c r="BH13" s="36" t="s">
        <v>110</v>
      </c>
      <c r="BI13" s="36">
        <v>92</v>
      </c>
      <c r="BJ13" s="36" t="s">
        <v>111</v>
      </c>
      <c r="BK13" s="54"/>
      <c r="BL13" s="30">
        <v>2</v>
      </c>
      <c r="BM13" s="30">
        <v>1680</v>
      </c>
      <c r="BN13" s="36">
        <v>25</v>
      </c>
      <c r="BO13" s="36">
        <v>14</v>
      </c>
      <c r="BP13" s="36">
        <v>76</v>
      </c>
      <c r="BQ13" s="36">
        <v>14</v>
      </c>
      <c r="BR13" s="28">
        <v>8.3000000000000007</v>
      </c>
      <c r="BS13" s="38">
        <v>6.5</v>
      </c>
      <c r="BT13" s="30">
        <v>198</v>
      </c>
      <c r="BU13" s="30">
        <v>190</v>
      </c>
      <c r="BV13" s="12"/>
    </row>
    <row r="14" spans="1:75" ht="12.75" x14ac:dyDescent="0.2">
      <c r="A14" s="11" t="s">
        <v>6</v>
      </c>
      <c r="B14" s="12"/>
      <c r="C14" s="13">
        <v>49179</v>
      </c>
      <c r="D14" s="14">
        <v>0</v>
      </c>
      <c r="E14" s="14">
        <v>378582</v>
      </c>
      <c r="F14" s="2">
        <v>2039249.57</v>
      </c>
      <c r="G14" s="14">
        <v>0</v>
      </c>
      <c r="H14" s="14">
        <v>9208</v>
      </c>
      <c r="I14" s="14">
        <v>5014</v>
      </c>
      <c r="J14" s="14">
        <v>54407.85</v>
      </c>
      <c r="K14" s="14">
        <v>6453.2</v>
      </c>
      <c r="L14" s="14">
        <v>1603165.6</v>
      </c>
      <c r="M14" s="14">
        <v>207496</v>
      </c>
      <c r="N14" s="14">
        <v>30000</v>
      </c>
      <c r="O14" s="14">
        <v>57641.57</v>
      </c>
      <c r="P14" s="34">
        <v>6</v>
      </c>
      <c r="Q14" s="34">
        <v>24</v>
      </c>
      <c r="R14" s="34">
        <v>4</v>
      </c>
      <c r="S14" s="34">
        <v>15.6</v>
      </c>
      <c r="T14" s="34">
        <v>0.94</v>
      </c>
      <c r="U14" s="35">
        <v>70472</v>
      </c>
      <c r="V14" s="35">
        <v>13370</v>
      </c>
      <c r="W14" s="36">
        <v>67135</v>
      </c>
      <c r="X14" s="36">
        <v>13370</v>
      </c>
      <c r="Y14" s="36">
        <v>36129</v>
      </c>
      <c r="Z14" s="36">
        <v>4976</v>
      </c>
      <c r="AA14" s="36" t="s">
        <v>110</v>
      </c>
      <c r="AB14" s="36">
        <v>65</v>
      </c>
      <c r="AC14" s="37" t="s">
        <v>110</v>
      </c>
      <c r="AD14" s="36">
        <v>186775</v>
      </c>
      <c r="AE14" s="36">
        <v>70432</v>
      </c>
      <c r="AF14" s="30">
        <v>0</v>
      </c>
      <c r="AG14" s="36">
        <v>26085</v>
      </c>
      <c r="AH14" s="36">
        <v>6071</v>
      </c>
      <c r="AI14" s="36">
        <v>6071</v>
      </c>
      <c r="AJ14" s="13">
        <v>240641</v>
      </c>
      <c r="AK14" s="13">
        <v>4568</v>
      </c>
      <c r="AL14" s="13">
        <v>0</v>
      </c>
      <c r="AM14" s="15">
        <v>0</v>
      </c>
      <c r="AN14" s="15">
        <v>25598</v>
      </c>
      <c r="AO14" s="15">
        <v>26739</v>
      </c>
      <c r="AP14" s="15">
        <v>10431</v>
      </c>
      <c r="AQ14" s="13">
        <v>0</v>
      </c>
      <c r="AR14" s="13">
        <v>12741</v>
      </c>
      <c r="AS14" s="30">
        <v>56913.8</v>
      </c>
      <c r="AT14" s="26">
        <v>14509.47</v>
      </c>
      <c r="AU14" s="30">
        <v>8346</v>
      </c>
      <c r="AV14" s="30">
        <v>6</v>
      </c>
      <c r="AW14" s="26">
        <v>0</v>
      </c>
      <c r="AX14" s="30">
        <v>0</v>
      </c>
      <c r="AY14" s="30">
        <v>0</v>
      </c>
      <c r="AZ14" s="30">
        <v>2</v>
      </c>
      <c r="BA14" s="30">
        <v>47</v>
      </c>
      <c r="BB14" s="30">
        <v>0</v>
      </c>
      <c r="BC14" s="30">
        <v>2</v>
      </c>
      <c r="BD14" s="30">
        <v>228</v>
      </c>
      <c r="BE14" s="30">
        <v>0</v>
      </c>
      <c r="BF14" s="30">
        <v>24.2</v>
      </c>
      <c r="BG14" s="30">
        <v>42.5</v>
      </c>
      <c r="BH14" s="36" t="s">
        <v>110</v>
      </c>
      <c r="BI14" s="36">
        <v>10</v>
      </c>
      <c r="BJ14" s="36" t="s">
        <v>110</v>
      </c>
      <c r="BK14" s="36">
        <v>13</v>
      </c>
      <c r="BL14" s="30">
        <v>11</v>
      </c>
      <c r="BM14" s="30">
        <v>2662</v>
      </c>
      <c r="BN14" s="36">
        <v>26</v>
      </c>
      <c r="BO14" s="36">
        <v>0</v>
      </c>
      <c r="BP14" s="36">
        <v>71</v>
      </c>
      <c r="BQ14" s="36">
        <v>7</v>
      </c>
      <c r="BR14" s="28">
        <v>9</v>
      </c>
      <c r="BS14" s="52"/>
      <c r="BT14" s="53"/>
      <c r="BU14" s="53"/>
      <c r="BV14" s="12"/>
    </row>
    <row r="15" spans="1:75" ht="12.75" x14ac:dyDescent="0.2">
      <c r="A15" s="11" t="s">
        <v>7</v>
      </c>
      <c r="B15" s="12"/>
      <c r="C15" s="13">
        <v>142826</v>
      </c>
      <c r="D15" s="14">
        <v>0</v>
      </c>
      <c r="E15" s="14">
        <v>971651</v>
      </c>
      <c r="F15" s="14">
        <v>3806653</v>
      </c>
      <c r="G15" s="14">
        <v>0</v>
      </c>
      <c r="H15" s="14">
        <v>0</v>
      </c>
      <c r="I15" s="14">
        <v>248246</v>
      </c>
      <c r="J15" s="14">
        <v>85138</v>
      </c>
      <c r="K15" s="14">
        <v>58335</v>
      </c>
      <c r="L15" s="14">
        <v>3696205</v>
      </c>
      <c r="M15" s="14">
        <v>379589</v>
      </c>
      <c r="N15" s="14">
        <v>12237</v>
      </c>
      <c r="O15" s="14">
        <v>330797</v>
      </c>
      <c r="P15" s="34">
        <v>37</v>
      </c>
      <c r="Q15" s="34">
        <v>12</v>
      </c>
      <c r="R15" s="34">
        <v>11</v>
      </c>
      <c r="S15" s="34">
        <v>32</v>
      </c>
      <c r="T15" s="34">
        <v>0.25</v>
      </c>
      <c r="U15" s="39">
        <v>129789</v>
      </c>
      <c r="V15" s="35">
        <v>26127</v>
      </c>
      <c r="W15" s="36">
        <v>126201</v>
      </c>
      <c r="X15" s="36">
        <v>26127</v>
      </c>
      <c r="Y15" s="36">
        <v>64805</v>
      </c>
      <c r="Z15" s="36">
        <v>16231</v>
      </c>
      <c r="AA15" s="36" t="s">
        <v>110</v>
      </c>
      <c r="AB15" s="36">
        <v>29</v>
      </c>
      <c r="AC15" s="37" t="s">
        <v>110</v>
      </c>
      <c r="AD15" s="36">
        <v>681649</v>
      </c>
      <c r="AE15" s="36">
        <v>167440</v>
      </c>
      <c r="AF15" s="30">
        <v>22</v>
      </c>
      <c r="AG15" s="36">
        <v>48844</v>
      </c>
      <c r="AH15" s="36">
        <v>17200</v>
      </c>
      <c r="AI15" s="36">
        <v>17200</v>
      </c>
      <c r="AJ15" s="13">
        <v>237326</v>
      </c>
      <c r="AK15" s="13">
        <v>0</v>
      </c>
      <c r="AL15" s="13">
        <v>1068</v>
      </c>
      <c r="AM15" s="15">
        <v>4363</v>
      </c>
      <c r="AN15" s="17">
        <v>196820</v>
      </c>
      <c r="AO15" s="17">
        <v>103251</v>
      </c>
      <c r="AP15" s="15">
        <v>99325</v>
      </c>
      <c r="AQ15" s="13">
        <v>44804</v>
      </c>
      <c r="AR15" s="13">
        <v>49806</v>
      </c>
      <c r="AS15" s="30">
        <v>9103</v>
      </c>
      <c r="AT15" s="30">
        <v>4211</v>
      </c>
      <c r="AU15" s="30">
        <v>23028</v>
      </c>
      <c r="AV15" s="30">
        <v>3</v>
      </c>
      <c r="AW15" s="26">
        <v>0</v>
      </c>
      <c r="AX15" s="30">
        <v>5</v>
      </c>
      <c r="AY15" s="30">
        <v>0</v>
      </c>
      <c r="AZ15" s="30">
        <v>0</v>
      </c>
      <c r="BA15" s="30">
        <v>0</v>
      </c>
      <c r="BB15" s="30">
        <v>1</v>
      </c>
      <c r="BC15" s="30">
        <v>0</v>
      </c>
      <c r="BD15" s="30">
        <v>147</v>
      </c>
      <c r="BE15" s="30">
        <v>0</v>
      </c>
      <c r="BF15" s="30">
        <v>0</v>
      </c>
      <c r="BG15" s="30">
        <v>100</v>
      </c>
      <c r="BH15" s="36" t="s">
        <v>110</v>
      </c>
      <c r="BI15" s="36">
        <v>85</v>
      </c>
      <c r="BJ15" s="36" t="s">
        <v>110</v>
      </c>
      <c r="BK15" s="36">
        <v>26</v>
      </c>
      <c r="BL15" s="30">
        <v>2</v>
      </c>
      <c r="BM15" s="30">
        <v>1013.7</v>
      </c>
      <c r="BN15" s="36">
        <v>44</v>
      </c>
      <c r="BO15" s="36">
        <v>106</v>
      </c>
      <c r="BP15" s="36">
        <v>45</v>
      </c>
      <c r="BQ15" s="36">
        <v>4</v>
      </c>
      <c r="BR15" s="38">
        <v>8.8000000000000007</v>
      </c>
      <c r="BS15" s="38">
        <v>8.5</v>
      </c>
      <c r="BT15" s="30">
        <v>306</v>
      </c>
      <c r="BU15" s="30">
        <v>278</v>
      </c>
      <c r="BV15" s="12"/>
    </row>
    <row r="16" spans="1:75" ht="12.75" x14ac:dyDescent="0.2">
      <c r="A16" s="11" t="s">
        <v>8</v>
      </c>
      <c r="B16" s="12"/>
      <c r="C16" s="13">
        <v>10420</v>
      </c>
      <c r="D16" s="14">
        <v>0</v>
      </c>
      <c r="E16" s="14">
        <v>146421</v>
      </c>
      <c r="F16" s="14">
        <v>626967</v>
      </c>
      <c r="G16" s="14">
        <v>0</v>
      </c>
      <c r="H16" s="14">
        <v>0</v>
      </c>
      <c r="I16" s="14">
        <v>95391</v>
      </c>
      <c r="J16" s="14">
        <v>448.32</v>
      </c>
      <c r="K16" s="14">
        <v>0</v>
      </c>
      <c r="L16" s="14">
        <v>480032</v>
      </c>
      <c r="M16" s="14">
        <v>51964</v>
      </c>
      <c r="N16" s="14">
        <v>0</v>
      </c>
      <c r="O16" s="14">
        <v>43427</v>
      </c>
      <c r="P16" s="34">
        <v>3</v>
      </c>
      <c r="Q16" s="34">
        <v>3</v>
      </c>
      <c r="R16" s="34">
        <v>1</v>
      </c>
      <c r="S16" s="34">
        <v>4.53</v>
      </c>
      <c r="T16" s="34">
        <v>0.21</v>
      </c>
      <c r="U16" s="35">
        <v>31236</v>
      </c>
      <c r="V16" s="35">
        <v>3410</v>
      </c>
      <c r="W16" s="36">
        <v>30348</v>
      </c>
      <c r="X16" s="36">
        <v>3410</v>
      </c>
      <c r="Y16" s="36">
        <v>10259</v>
      </c>
      <c r="Z16" s="36">
        <v>2133</v>
      </c>
      <c r="AA16" s="36" t="s">
        <v>110</v>
      </c>
      <c r="AB16" s="36">
        <v>11</v>
      </c>
      <c r="AC16" s="37" t="s">
        <v>110</v>
      </c>
      <c r="AD16" s="36">
        <v>40481</v>
      </c>
      <c r="AE16" s="36">
        <v>6881</v>
      </c>
      <c r="AF16" s="30">
        <v>0</v>
      </c>
      <c r="AG16" s="36">
        <v>2240</v>
      </c>
      <c r="AH16" s="36">
        <v>1090</v>
      </c>
      <c r="AI16" s="36">
        <v>1255</v>
      </c>
      <c r="AJ16" s="13">
        <v>62635</v>
      </c>
      <c r="AK16" s="13">
        <v>0</v>
      </c>
      <c r="AL16" s="13">
        <v>228</v>
      </c>
      <c r="AM16" s="13">
        <v>95</v>
      </c>
      <c r="AN16" s="13">
        <v>6043</v>
      </c>
      <c r="AO16" s="13">
        <v>9081</v>
      </c>
      <c r="AP16" s="13">
        <v>3294</v>
      </c>
      <c r="AQ16" s="13">
        <v>1439</v>
      </c>
      <c r="AR16" s="13">
        <v>3341</v>
      </c>
      <c r="AS16" s="26">
        <v>0</v>
      </c>
      <c r="AT16" s="26">
        <v>1067</v>
      </c>
      <c r="AU16" s="30">
        <v>0</v>
      </c>
      <c r="AV16" s="26">
        <v>3</v>
      </c>
      <c r="AW16" s="26">
        <v>0</v>
      </c>
      <c r="AX16" s="30">
        <v>1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  <c r="BD16" s="30">
        <v>71</v>
      </c>
      <c r="BE16" s="30">
        <v>0</v>
      </c>
      <c r="BF16" s="30">
        <v>0</v>
      </c>
      <c r="BG16" s="30">
        <v>15</v>
      </c>
      <c r="BH16" s="36" t="s">
        <v>110</v>
      </c>
      <c r="BI16" s="36">
        <v>20</v>
      </c>
      <c r="BJ16" s="36" t="s">
        <v>111</v>
      </c>
      <c r="BK16" s="54"/>
      <c r="BL16" s="30">
        <v>1</v>
      </c>
      <c r="BM16" s="30">
        <v>449</v>
      </c>
      <c r="BN16" s="36">
        <v>1</v>
      </c>
      <c r="BO16" s="36">
        <v>16</v>
      </c>
      <c r="BP16" s="36">
        <v>10</v>
      </c>
      <c r="BQ16" s="36">
        <v>1</v>
      </c>
      <c r="BR16" s="38">
        <v>7.3</v>
      </c>
      <c r="BS16" s="38">
        <v>0.95199999999999996</v>
      </c>
      <c r="BT16" s="30">
        <v>23.63</v>
      </c>
      <c r="BU16" s="30">
        <v>11.77</v>
      </c>
      <c r="BV16" s="12"/>
    </row>
    <row r="17" spans="1:74" ht="12.75" x14ac:dyDescent="0.2">
      <c r="A17" s="11" t="s">
        <v>52</v>
      </c>
      <c r="B17" s="12"/>
      <c r="C17" s="13">
        <v>373430</v>
      </c>
      <c r="D17" s="14">
        <v>0</v>
      </c>
      <c r="E17" s="14">
        <v>2496619</v>
      </c>
      <c r="F17" s="14">
        <v>14132672</v>
      </c>
      <c r="G17" s="2">
        <v>0</v>
      </c>
      <c r="H17" s="14">
        <v>56417</v>
      </c>
      <c r="I17" s="14">
        <v>765022</v>
      </c>
      <c r="J17" s="14">
        <v>346972</v>
      </c>
      <c r="K17" s="14">
        <v>522470</v>
      </c>
      <c r="L17" s="14">
        <v>12597298</v>
      </c>
      <c r="M17" s="14">
        <v>1893810</v>
      </c>
      <c r="N17" s="14">
        <v>319805</v>
      </c>
      <c r="O17" s="14">
        <v>326484</v>
      </c>
      <c r="P17" s="34">
        <v>60</v>
      </c>
      <c r="Q17" s="34">
        <v>92</v>
      </c>
      <c r="R17" s="34">
        <v>57</v>
      </c>
      <c r="S17" s="34">
        <v>117.16</v>
      </c>
      <c r="T17" s="34">
        <v>8.9</v>
      </c>
      <c r="U17" s="35">
        <v>378745</v>
      </c>
      <c r="V17" s="35">
        <v>34493</v>
      </c>
      <c r="W17" s="36">
        <v>378745</v>
      </c>
      <c r="X17" s="36">
        <v>34493</v>
      </c>
      <c r="Y17" s="36">
        <v>244268</v>
      </c>
      <c r="Z17" s="36">
        <v>34493</v>
      </c>
      <c r="AA17" s="36" t="s">
        <v>110</v>
      </c>
      <c r="AB17" s="36">
        <v>26</v>
      </c>
      <c r="AC17" s="37" t="s">
        <v>110</v>
      </c>
      <c r="AD17" s="36">
        <v>2144160</v>
      </c>
      <c r="AE17" s="36">
        <v>493634</v>
      </c>
      <c r="AF17" s="30">
        <v>6812</v>
      </c>
      <c r="AG17" s="36">
        <v>103201</v>
      </c>
      <c r="AH17" s="36">
        <v>71750</v>
      </c>
      <c r="AI17" s="36">
        <v>52371</v>
      </c>
      <c r="AJ17" s="13">
        <v>1284170</v>
      </c>
      <c r="AK17" s="13">
        <v>18703</v>
      </c>
      <c r="AL17" s="13">
        <v>1786</v>
      </c>
      <c r="AM17" s="15">
        <v>9993</v>
      </c>
      <c r="AN17" s="15">
        <v>792679</v>
      </c>
      <c r="AO17" s="15">
        <v>609705</v>
      </c>
      <c r="AP17" s="15">
        <v>567256</v>
      </c>
      <c r="AQ17" s="15">
        <v>225900</v>
      </c>
      <c r="AR17" s="13">
        <v>144709</v>
      </c>
      <c r="AS17" s="30">
        <v>173314</v>
      </c>
      <c r="AT17" s="26">
        <v>64684</v>
      </c>
      <c r="AU17" s="26">
        <v>87885</v>
      </c>
      <c r="AV17" s="30">
        <v>19</v>
      </c>
      <c r="AW17" s="26">
        <v>0</v>
      </c>
      <c r="AX17" s="26">
        <v>1</v>
      </c>
      <c r="AY17" s="30">
        <v>0</v>
      </c>
      <c r="AZ17" s="30">
        <v>3</v>
      </c>
      <c r="BA17" s="30">
        <v>25</v>
      </c>
      <c r="BB17" s="30">
        <v>1</v>
      </c>
      <c r="BC17" s="30">
        <v>0</v>
      </c>
      <c r="BD17" s="30">
        <v>839</v>
      </c>
      <c r="BE17" s="30">
        <v>0</v>
      </c>
      <c r="BF17" s="30">
        <v>40</v>
      </c>
      <c r="BG17" s="30">
        <v>47</v>
      </c>
      <c r="BH17" s="36" t="s">
        <v>110</v>
      </c>
      <c r="BI17" s="36">
        <v>299</v>
      </c>
      <c r="BJ17" s="36" t="s">
        <v>110</v>
      </c>
      <c r="BK17" s="36">
        <v>61</v>
      </c>
      <c r="BL17" s="30">
        <v>27</v>
      </c>
      <c r="BM17" s="30">
        <v>1848</v>
      </c>
      <c r="BN17" s="36">
        <v>234</v>
      </c>
      <c r="BO17" s="36">
        <v>316</v>
      </c>
      <c r="BP17" s="36">
        <v>285</v>
      </c>
      <c r="BQ17" s="36">
        <v>40</v>
      </c>
      <c r="BR17" s="38">
        <v>9.3000000000000007</v>
      </c>
      <c r="BS17" s="38">
        <v>30</v>
      </c>
      <c r="BT17" s="30">
        <v>858</v>
      </c>
      <c r="BU17" s="30">
        <v>747</v>
      </c>
      <c r="BV17" s="12"/>
    </row>
    <row r="18" spans="1:74" ht="12.75" x14ac:dyDescent="0.2">
      <c r="A18" s="11" t="s">
        <v>9</v>
      </c>
      <c r="B18" s="12"/>
      <c r="C18" s="13">
        <v>156837</v>
      </c>
      <c r="D18" s="14">
        <v>0</v>
      </c>
      <c r="E18" s="14">
        <v>1038986</v>
      </c>
      <c r="F18" s="14">
        <v>4405945</v>
      </c>
      <c r="G18" s="14">
        <v>0</v>
      </c>
      <c r="H18" s="14">
        <v>0</v>
      </c>
      <c r="I18" s="14">
        <v>43903</v>
      </c>
      <c r="J18" s="14">
        <v>33614</v>
      </c>
      <c r="K18" s="14">
        <v>0</v>
      </c>
      <c r="L18" s="14">
        <v>4424151</v>
      </c>
      <c r="M18" s="14">
        <v>505340</v>
      </c>
      <c r="N18" s="14">
        <v>100411</v>
      </c>
      <c r="O18" s="14">
        <v>448643</v>
      </c>
      <c r="P18" s="34">
        <v>20.6</v>
      </c>
      <c r="Q18" s="34">
        <v>17.53</v>
      </c>
      <c r="R18" s="34">
        <v>16</v>
      </c>
      <c r="S18" s="34">
        <v>38.130000000000003</v>
      </c>
      <c r="T18" s="34">
        <v>2.17</v>
      </c>
      <c r="U18" s="35">
        <v>150056</v>
      </c>
      <c r="V18" s="35">
        <v>23079</v>
      </c>
      <c r="W18" s="36">
        <v>149079</v>
      </c>
      <c r="X18" s="36">
        <v>23079</v>
      </c>
      <c r="Y18" s="36">
        <v>88055</v>
      </c>
      <c r="Z18" s="36">
        <v>18749</v>
      </c>
      <c r="AA18" s="36" t="s">
        <v>110</v>
      </c>
      <c r="AB18" s="36">
        <v>4</v>
      </c>
      <c r="AC18" s="37" t="s">
        <v>110</v>
      </c>
      <c r="AD18" s="36">
        <v>857598</v>
      </c>
      <c r="AE18" s="36">
        <v>239526</v>
      </c>
      <c r="AF18" s="30">
        <v>0</v>
      </c>
      <c r="AG18" s="36">
        <v>51641</v>
      </c>
      <c r="AH18" s="36">
        <v>22298</v>
      </c>
      <c r="AI18" s="36">
        <v>20735</v>
      </c>
      <c r="AJ18" s="13">
        <v>558631</v>
      </c>
      <c r="AK18" s="13">
        <v>0</v>
      </c>
      <c r="AL18" s="13">
        <v>2170</v>
      </c>
      <c r="AM18" s="15" t="s">
        <v>44</v>
      </c>
      <c r="AN18" s="13">
        <v>211299</v>
      </c>
      <c r="AO18" s="13">
        <v>247180</v>
      </c>
      <c r="AP18" s="13">
        <v>0</v>
      </c>
      <c r="AQ18" s="15">
        <v>251194</v>
      </c>
      <c r="AR18" s="13">
        <v>52861</v>
      </c>
      <c r="AS18" s="26">
        <v>0</v>
      </c>
      <c r="AT18" s="30">
        <v>0</v>
      </c>
      <c r="AU18" s="26">
        <v>41518</v>
      </c>
      <c r="AV18" s="26">
        <v>4</v>
      </c>
      <c r="AW18" s="26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1</v>
      </c>
      <c r="BC18" s="30">
        <v>0</v>
      </c>
      <c r="BD18" s="30">
        <v>220</v>
      </c>
      <c r="BE18" s="30">
        <v>0</v>
      </c>
      <c r="BF18" s="30">
        <v>0</v>
      </c>
      <c r="BG18" s="30">
        <v>0</v>
      </c>
      <c r="BH18" s="36" t="s">
        <v>110</v>
      </c>
      <c r="BI18" s="36">
        <v>181</v>
      </c>
      <c r="BJ18" s="36" t="s">
        <v>111</v>
      </c>
      <c r="BK18" s="54"/>
      <c r="BL18" s="30">
        <v>1</v>
      </c>
      <c r="BM18" s="30">
        <v>1477</v>
      </c>
      <c r="BN18" s="36">
        <v>6</v>
      </c>
      <c r="BO18" s="36">
        <v>3</v>
      </c>
      <c r="BP18" s="36">
        <v>28</v>
      </c>
      <c r="BQ18" s="36">
        <v>10</v>
      </c>
      <c r="BR18" s="38">
        <v>7.7</v>
      </c>
      <c r="BS18" s="38">
        <v>14</v>
      </c>
      <c r="BT18" s="30">
        <v>364</v>
      </c>
      <c r="BU18" s="30">
        <v>349</v>
      </c>
      <c r="BV18" s="12"/>
    </row>
    <row r="19" spans="1:74" ht="12.75" x14ac:dyDescent="0.2">
      <c r="A19" s="11" t="s">
        <v>10</v>
      </c>
      <c r="B19" s="12"/>
      <c r="C19" s="13">
        <v>20022</v>
      </c>
      <c r="D19" s="14">
        <v>0</v>
      </c>
      <c r="E19" s="14">
        <v>218339</v>
      </c>
      <c r="F19" s="14">
        <v>639431</v>
      </c>
      <c r="G19" s="2">
        <v>0</v>
      </c>
      <c r="H19" s="2">
        <v>0</v>
      </c>
      <c r="I19" s="2">
        <v>0</v>
      </c>
      <c r="J19" s="2">
        <v>15654</v>
      </c>
      <c r="K19" s="14">
        <v>2446</v>
      </c>
      <c r="L19" s="14">
        <v>593990</v>
      </c>
      <c r="M19" s="14">
        <v>93730</v>
      </c>
      <c r="N19" s="2">
        <v>0</v>
      </c>
      <c r="O19" s="14">
        <v>29386</v>
      </c>
      <c r="P19" s="34">
        <v>3</v>
      </c>
      <c r="Q19" s="34">
        <v>12</v>
      </c>
      <c r="R19" s="34">
        <v>6</v>
      </c>
      <c r="S19" s="34">
        <v>6.25</v>
      </c>
      <c r="T19" s="34">
        <v>0.13</v>
      </c>
      <c r="U19" s="35">
        <v>34926</v>
      </c>
      <c r="V19" s="35">
        <v>3702</v>
      </c>
      <c r="W19" s="36">
        <v>34472</v>
      </c>
      <c r="X19" s="36">
        <v>3702</v>
      </c>
      <c r="Y19" s="36">
        <v>16863</v>
      </c>
      <c r="Z19" s="36">
        <v>1862</v>
      </c>
      <c r="AA19" s="36" t="s">
        <v>111</v>
      </c>
      <c r="AB19" s="36">
        <v>0</v>
      </c>
      <c r="AC19" s="37" t="s">
        <v>110</v>
      </c>
      <c r="AD19" s="36">
        <v>97494</v>
      </c>
      <c r="AE19" s="36">
        <v>13546</v>
      </c>
      <c r="AF19" s="30">
        <v>0</v>
      </c>
      <c r="AG19" s="36">
        <v>4833</v>
      </c>
      <c r="AH19" s="36">
        <v>2295</v>
      </c>
      <c r="AI19" s="36">
        <v>2209</v>
      </c>
      <c r="AJ19" s="13">
        <v>107812</v>
      </c>
      <c r="AK19" s="13">
        <v>167</v>
      </c>
      <c r="AL19" s="13">
        <v>343</v>
      </c>
      <c r="AM19" s="15">
        <v>93</v>
      </c>
      <c r="AN19" s="15">
        <v>50132</v>
      </c>
      <c r="AO19" s="15">
        <v>71099</v>
      </c>
      <c r="AP19" s="15">
        <v>0</v>
      </c>
      <c r="AQ19" s="15">
        <v>5121</v>
      </c>
      <c r="AR19" s="13">
        <v>4776</v>
      </c>
      <c r="AS19" s="26">
        <v>0</v>
      </c>
      <c r="AT19" s="30">
        <v>0</v>
      </c>
      <c r="AU19" s="26">
        <v>5478</v>
      </c>
      <c r="AV19" s="26">
        <v>3</v>
      </c>
      <c r="AW19" s="26">
        <v>0</v>
      </c>
      <c r="AX19" s="30">
        <v>0</v>
      </c>
      <c r="AY19" s="30">
        <v>0</v>
      </c>
      <c r="AZ19" s="30">
        <v>1</v>
      </c>
      <c r="BA19" s="30">
        <v>3</v>
      </c>
      <c r="BB19" s="30">
        <v>1</v>
      </c>
      <c r="BC19" s="30">
        <v>1</v>
      </c>
      <c r="BD19" s="30">
        <v>133</v>
      </c>
      <c r="BE19" s="30">
        <v>0</v>
      </c>
      <c r="BF19" s="30">
        <v>1</v>
      </c>
      <c r="BG19" s="30">
        <v>0</v>
      </c>
      <c r="BH19" s="36" t="s">
        <v>110</v>
      </c>
      <c r="BI19" s="36">
        <v>44</v>
      </c>
      <c r="BJ19" s="36" t="s">
        <v>111</v>
      </c>
      <c r="BK19" s="54"/>
      <c r="BL19" s="30">
        <v>2</v>
      </c>
      <c r="BM19" s="30">
        <v>1603</v>
      </c>
      <c r="BN19" s="36">
        <v>1</v>
      </c>
      <c r="BO19" s="36">
        <v>21</v>
      </c>
      <c r="BP19" s="36">
        <v>23</v>
      </c>
      <c r="BQ19" s="36">
        <v>2</v>
      </c>
      <c r="BR19" s="50"/>
      <c r="BS19" s="38">
        <v>3</v>
      </c>
      <c r="BT19" s="30">
        <v>26</v>
      </c>
      <c r="BU19" s="30">
        <v>20</v>
      </c>
      <c r="BV19" s="12"/>
    </row>
    <row r="20" spans="1:74" ht="12.75" x14ac:dyDescent="0.2">
      <c r="A20" s="11" t="s">
        <v>11</v>
      </c>
      <c r="B20" s="12"/>
      <c r="C20" s="13">
        <v>205417</v>
      </c>
      <c r="D20" s="14">
        <v>0</v>
      </c>
      <c r="E20" s="14">
        <v>1517428</v>
      </c>
      <c r="F20" s="14">
        <v>5644986</v>
      </c>
      <c r="G20" s="14">
        <v>0</v>
      </c>
      <c r="H20" s="14">
        <v>84496</v>
      </c>
      <c r="I20" s="14">
        <v>0</v>
      </c>
      <c r="J20" s="14">
        <v>217382</v>
      </c>
      <c r="K20" s="14">
        <v>372394</v>
      </c>
      <c r="L20" s="14">
        <v>5440668</v>
      </c>
      <c r="M20" s="14">
        <v>528476</v>
      </c>
      <c r="N20" s="14">
        <v>24967</v>
      </c>
      <c r="O20" s="14">
        <v>273871</v>
      </c>
      <c r="P20" s="34">
        <v>15</v>
      </c>
      <c r="Q20" s="34">
        <v>64</v>
      </c>
      <c r="R20" s="34">
        <v>21</v>
      </c>
      <c r="S20" s="34">
        <v>51.9</v>
      </c>
      <c r="T20" s="34">
        <v>2.1</v>
      </c>
      <c r="U20" s="40">
        <v>241833</v>
      </c>
      <c r="V20" s="40">
        <v>30414</v>
      </c>
      <c r="W20" s="40">
        <v>241833</v>
      </c>
      <c r="X20" s="40">
        <v>30414</v>
      </c>
      <c r="Y20" s="40">
        <v>137852</v>
      </c>
      <c r="Z20" s="40">
        <v>30414</v>
      </c>
      <c r="AA20" s="36" t="s">
        <v>110</v>
      </c>
      <c r="AB20" s="40">
        <v>47</v>
      </c>
      <c r="AC20" s="37" t="s">
        <v>110</v>
      </c>
      <c r="AD20" s="40">
        <v>755555</v>
      </c>
      <c r="AE20" s="40">
        <v>539651</v>
      </c>
      <c r="AF20" s="26">
        <v>0</v>
      </c>
      <c r="AG20" s="40">
        <v>61432</v>
      </c>
      <c r="AH20" s="40"/>
      <c r="AI20" s="40">
        <v>34267</v>
      </c>
      <c r="AJ20" s="13">
        <v>808311</v>
      </c>
      <c r="AK20" s="13">
        <v>0</v>
      </c>
      <c r="AL20" s="13">
        <v>15876</v>
      </c>
      <c r="AM20" s="15">
        <v>12224</v>
      </c>
      <c r="AN20" s="15">
        <v>394618</v>
      </c>
      <c r="AO20" s="15"/>
      <c r="AP20" s="15">
        <v>241452</v>
      </c>
      <c r="AQ20" s="13">
        <v>0</v>
      </c>
      <c r="AR20" s="13">
        <v>69707</v>
      </c>
      <c r="AS20" s="30">
        <v>78925</v>
      </c>
      <c r="AT20" s="30">
        <v>19906</v>
      </c>
      <c r="AU20" s="30">
        <v>20838</v>
      </c>
      <c r="AV20" s="26">
        <v>9</v>
      </c>
      <c r="AW20" s="26">
        <v>0</v>
      </c>
      <c r="AX20" s="30">
        <v>8</v>
      </c>
      <c r="AY20" s="30">
        <v>0</v>
      </c>
      <c r="AZ20" s="30">
        <v>0</v>
      </c>
      <c r="BA20" s="30">
        <v>0</v>
      </c>
      <c r="BB20" s="30">
        <v>2</v>
      </c>
      <c r="BC20" s="26">
        <v>0</v>
      </c>
      <c r="BD20" s="26">
        <v>336</v>
      </c>
      <c r="BE20" s="30">
        <v>0</v>
      </c>
      <c r="BF20" s="30">
        <v>0</v>
      </c>
      <c r="BG20" s="26">
        <v>120</v>
      </c>
      <c r="BH20" s="36" t="s">
        <v>110</v>
      </c>
      <c r="BI20" s="36">
        <v>187</v>
      </c>
      <c r="BJ20" s="36" t="s">
        <v>110</v>
      </c>
      <c r="BK20" s="36">
        <v>22</v>
      </c>
      <c r="BL20" s="30">
        <v>8</v>
      </c>
      <c r="BM20" s="53"/>
      <c r="BN20" s="40">
        <v>150</v>
      </c>
      <c r="BO20" s="40">
        <v>329</v>
      </c>
      <c r="BP20" s="40">
        <v>70</v>
      </c>
      <c r="BQ20" s="40">
        <v>18</v>
      </c>
      <c r="BR20" s="28">
        <v>9</v>
      </c>
      <c r="BS20" s="38">
        <v>20</v>
      </c>
      <c r="BT20" s="30">
        <v>629</v>
      </c>
      <c r="BU20" s="30">
        <v>625</v>
      </c>
      <c r="BV20" s="12"/>
    </row>
    <row r="21" spans="1:74" ht="12.75" x14ac:dyDescent="0.2">
      <c r="A21" s="11" t="s">
        <v>53</v>
      </c>
      <c r="B21" s="12"/>
      <c r="C21" s="13">
        <v>111488</v>
      </c>
      <c r="D21" s="14">
        <v>0</v>
      </c>
      <c r="E21" s="14">
        <v>921557</v>
      </c>
      <c r="F21" s="14">
        <v>2922528</v>
      </c>
      <c r="G21" s="14">
        <v>0</v>
      </c>
      <c r="H21" s="14">
        <v>245346</v>
      </c>
      <c r="I21" s="14">
        <v>0</v>
      </c>
      <c r="J21" s="14">
        <v>62127</v>
      </c>
      <c r="K21" s="14">
        <v>67977</v>
      </c>
      <c r="L21" s="14">
        <v>2510542</v>
      </c>
      <c r="M21" s="14">
        <v>269188</v>
      </c>
      <c r="N21" s="14">
        <v>137642</v>
      </c>
      <c r="O21" s="14">
        <v>191597</v>
      </c>
      <c r="P21" s="34">
        <v>10</v>
      </c>
      <c r="Q21" s="34">
        <v>30</v>
      </c>
      <c r="R21" s="34">
        <v>21</v>
      </c>
      <c r="S21" s="34">
        <v>24.02</v>
      </c>
      <c r="T21" s="34">
        <v>1.08</v>
      </c>
      <c r="U21" s="35">
        <v>151715</v>
      </c>
      <c r="V21" s="35">
        <v>47679</v>
      </c>
      <c r="W21" s="36">
        <v>151715</v>
      </c>
      <c r="X21" s="36">
        <v>103314</v>
      </c>
      <c r="Y21" s="36">
        <v>65517</v>
      </c>
      <c r="Z21" s="36">
        <v>47679</v>
      </c>
      <c r="AA21" s="36" t="s">
        <v>111</v>
      </c>
      <c r="AB21" s="36">
        <v>0</v>
      </c>
      <c r="AC21" s="37" t="s">
        <v>110</v>
      </c>
      <c r="AD21" s="36">
        <v>342252</v>
      </c>
      <c r="AE21" s="36">
        <v>103314</v>
      </c>
      <c r="AF21" s="30">
        <v>0</v>
      </c>
      <c r="AG21" s="36">
        <v>25694</v>
      </c>
      <c r="AH21" s="36">
        <v>9055</v>
      </c>
      <c r="AI21" s="36">
        <v>9055</v>
      </c>
      <c r="AJ21" s="13">
        <v>245521</v>
      </c>
      <c r="AK21" s="13">
        <v>2637</v>
      </c>
      <c r="AL21" s="13">
        <v>276</v>
      </c>
      <c r="AM21" s="15">
        <v>4667</v>
      </c>
      <c r="AN21" s="36">
        <v>96624</v>
      </c>
      <c r="AO21" s="36">
        <v>170965</v>
      </c>
      <c r="AP21" s="15">
        <v>78175</v>
      </c>
      <c r="AQ21" s="15">
        <v>881</v>
      </c>
      <c r="AR21" s="13">
        <v>29448</v>
      </c>
      <c r="AS21" s="26">
        <v>20773</v>
      </c>
      <c r="AT21" s="26">
        <v>3359</v>
      </c>
      <c r="AU21" s="30">
        <v>14138</v>
      </c>
      <c r="AV21" s="30">
        <v>9</v>
      </c>
      <c r="AW21" s="26">
        <v>2</v>
      </c>
      <c r="AX21" s="30">
        <v>0</v>
      </c>
      <c r="AY21" s="30">
        <v>1</v>
      </c>
      <c r="AZ21" s="30">
        <v>1</v>
      </c>
      <c r="BA21" s="30">
        <v>19</v>
      </c>
      <c r="BB21" s="30">
        <v>0</v>
      </c>
      <c r="BC21" s="30">
        <v>0</v>
      </c>
      <c r="BD21" s="30">
        <v>293</v>
      </c>
      <c r="BE21" s="30">
        <v>127</v>
      </c>
      <c r="BF21" s="30">
        <v>7</v>
      </c>
      <c r="BG21" s="30" t="s">
        <v>44</v>
      </c>
      <c r="BH21" s="36" t="s">
        <v>110</v>
      </c>
      <c r="BI21" s="36">
        <v>80</v>
      </c>
      <c r="BJ21" s="36" t="s">
        <v>110</v>
      </c>
      <c r="BK21" s="36">
        <v>17</v>
      </c>
      <c r="BL21" s="30">
        <v>6</v>
      </c>
      <c r="BM21" s="30">
        <v>1376</v>
      </c>
      <c r="BN21" s="36">
        <v>34</v>
      </c>
      <c r="BO21" s="36">
        <v>137</v>
      </c>
      <c r="BP21" s="36">
        <v>76</v>
      </c>
      <c r="BQ21" s="36">
        <v>11</v>
      </c>
      <c r="BR21" s="28">
        <v>9.1999999999999993</v>
      </c>
      <c r="BS21" s="38">
        <v>9.5</v>
      </c>
      <c r="BT21" s="30">
        <v>111</v>
      </c>
      <c r="BU21" s="30">
        <v>85</v>
      </c>
      <c r="BV21" s="12"/>
    </row>
    <row r="22" spans="1:74" ht="12.75" x14ac:dyDescent="0.2">
      <c r="A22" s="11" t="s">
        <v>12</v>
      </c>
      <c r="B22" s="12"/>
      <c r="C22" s="13">
        <v>163792</v>
      </c>
      <c r="D22" s="14">
        <v>253050</v>
      </c>
      <c r="E22" s="14">
        <v>1136623</v>
      </c>
      <c r="F22" s="14">
        <v>6559521</v>
      </c>
      <c r="G22" s="2">
        <v>0</v>
      </c>
      <c r="H22" s="14">
        <v>0</v>
      </c>
      <c r="I22" s="14">
        <v>133989</v>
      </c>
      <c r="J22" s="14">
        <v>96216</v>
      </c>
      <c r="K22" s="14">
        <v>25000</v>
      </c>
      <c r="L22" s="14">
        <v>6822597</v>
      </c>
      <c r="M22" s="14">
        <v>683099</v>
      </c>
      <c r="N22" s="2">
        <v>252275</v>
      </c>
      <c r="O22" s="14">
        <v>488712</v>
      </c>
      <c r="P22" s="34">
        <v>32</v>
      </c>
      <c r="Q22" s="34">
        <v>48</v>
      </c>
      <c r="R22" s="34">
        <v>14</v>
      </c>
      <c r="S22" s="34">
        <v>63.79</v>
      </c>
      <c r="T22" s="34">
        <v>0.56000000000000005</v>
      </c>
      <c r="U22" s="35">
        <v>96159</v>
      </c>
      <c r="V22" s="35">
        <v>148766</v>
      </c>
      <c r="W22" s="36">
        <v>95880</v>
      </c>
      <c r="X22" s="36">
        <v>148766</v>
      </c>
      <c r="Y22" s="36">
        <v>103525</v>
      </c>
      <c r="Z22" s="36">
        <v>135657</v>
      </c>
      <c r="AA22" s="36" t="s">
        <v>110</v>
      </c>
      <c r="AB22" s="36">
        <v>9</v>
      </c>
      <c r="AC22" s="37" t="s">
        <v>110</v>
      </c>
      <c r="AD22" s="36">
        <v>638586</v>
      </c>
      <c r="AE22" s="36">
        <v>63441</v>
      </c>
      <c r="AF22" s="30">
        <v>0</v>
      </c>
      <c r="AG22" s="36">
        <v>46828</v>
      </c>
      <c r="AH22" s="36">
        <v>22295</v>
      </c>
      <c r="AI22" s="36">
        <v>22295</v>
      </c>
      <c r="AJ22" s="13">
        <v>813506</v>
      </c>
      <c r="AK22" s="13">
        <v>0</v>
      </c>
      <c r="AL22" s="13">
        <v>651</v>
      </c>
      <c r="AM22" s="15">
        <v>12188</v>
      </c>
      <c r="AN22" s="36">
        <v>362704</v>
      </c>
      <c r="AO22" s="36">
        <v>218362</v>
      </c>
      <c r="AP22" s="15">
        <v>105390</v>
      </c>
      <c r="AQ22" s="15">
        <v>61381</v>
      </c>
      <c r="AR22" s="13">
        <v>34875</v>
      </c>
      <c r="AS22" s="26">
        <v>314235</v>
      </c>
      <c r="AT22" s="30">
        <v>71141.05</v>
      </c>
      <c r="AU22" s="30">
        <v>60107</v>
      </c>
      <c r="AV22" s="30">
        <v>2</v>
      </c>
      <c r="AW22" s="26">
        <v>0</v>
      </c>
      <c r="AX22" s="30">
        <v>0</v>
      </c>
      <c r="AY22" s="30">
        <v>1</v>
      </c>
      <c r="AZ22" s="30">
        <v>0</v>
      </c>
      <c r="BA22" s="30">
        <v>0</v>
      </c>
      <c r="BB22" s="30">
        <v>2</v>
      </c>
      <c r="BC22" s="30">
        <v>0</v>
      </c>
      <c r="BD22" s="30">
        <v>144</v>
      </c>
      <c r="BE22" s="30">
        <v>0</v>
      </c>
      <c r="BF22" s="30">
        <v>0</v>
      </c>
      <c r="BG22" s="30">
        <v>0</v>
      </c>
      <c r="BH22" s="36" t="s">
        <v>110</v>
      </c>
      <c r="BI22" s="36">
        <v>124</v>
      </c>
      <c r="BJ22" s="36" t="s">
        <v>110</v>
      </c>
      <c r="BK22" s="36">
        <v>8</v>
      </c>
      <c r="BL22" s="30">
        <v>5</v>
      </c>
      <c r="BM22" s="30">
        <v>12691</v>
      </c>
      <c r="BN22" s="36">
        <v>6</v>
      </c>
      <c r="BO22" s="36">
        <v>194</v>
      </c>
      <c r="BP22" s="36">
        <v>93</v>
      </c>
      <c r="BQ22" s="36">
        <v>8</v>
      </c>
      <c r="BR22" s="38">
        <v>8.6</v>
      </c>
      <c r="BS22" s="38">
        <v>10</v>
      </c>
      <c r="BT22" s="30">
        <v>127</v>
      </c>
      <c r="BU22" s="30">
        <v>126</v>
      </c>
      <c r="BV22" s="12"/>
    </row>
    <row r="23" spans="1:74" ht="12.75" x14ac:dyDescent="0.2">
      <c r="A23" s="11" t="s">
        <v>13</v>
      </c>
      <c r="B23" s="12"/>
      <c r="C23" s="13">
        <v>68259</v>
      </c>
      <c r="D23" s="14">
        <v>0</v>
      </c>
      <c r="E23" s="2">
        <v>597560</v>
      </c>
      <c r="F23" s="2">
        <v>1381621</v>
      </c>
      <c r="G23" s="2">
        <v>0</v>
      </c>
      <c r="H23" s="2">
        <v>0</v>
      </c>
      <c r="I23" s="2">
        <v>26250</v>
      </c>
      <c r="J23" s="2">
        <v>97505</v>
      </c>
      <c r="K23" s="2">
        <v>0</v>
      </c>
      <c r="L23" s="2">
        <v>1612302</v>
      </c>
      <c r="M23" s="2">
        <v>392239</v>
      </c>
      <c r="N23" s="2">
        <v>15523</v>
      </c>
      <c r="O23" s="14">
        <v>155123</v>
      </c>
      <c r="P23" s="34">
        <v>9</v>
      </c>
      <c r="Q23" s="34">
        <v>14</v>
      </c>
      <c r="R23" s="34">
        <v>10</v>
      </c>
      <c r="S23" s="34">
        <v>18.799999999999997</v>
      </c>
      <c r="T23" s="34">
        <v>6.7</v>
      </c>
      <c r="U23" s="35">
        <v>127296</v>
      </c>
      <c r="V23" s="35">
        <v>59602</v>
      </c>
      <c r="W23" s="36">
        <v>119953</v>
      </c>
      <c r="X23" s="36">
        <v>59602</v>
      </c>
      <c r="Y23" s="36">
        <v>68670</v>
      </c>
      <c r="Z23" s="36">
        <v>16742</v>
      </c>
      <c r="AA23" s="36" t="s">
        <v>110</v>
      </c>
      <c r="AB23" s="36">
        <v>13</v>
      </c>
      <c r="AC23" s="37" t="s">
        <v>110</v>
      </c>
      <c r="AD23" s="36">
        <v>305070</v>
      </c>
      <c r="AE23" s="36">
        <v>94049</v>
      </c>
      <c r="AF23" s="30">
        <v>0</v>
      </c>
      <c r="AG23" s="36">
        <v>18696</v>
      </c>
      <c r="AH23" s="36">
        <v>15089</v>
      </c>
      <c r="AI23" s="36">
        <v>8884</v>
      </c>
      <c r="AJ23" s="13">
        <v>278886</v>
      </c>
      <c r="AK23" s="13">
        <v>90</v>
      </c>
      <c r="AL23" s="13">
        <v>629</v>
      </c>
      <c r="AM23" s="15">
        <v>298</v>
      </c>
      <c r="AN23" s="15"/>
      <c r="AO23" s="15">
        <v>361037</v>
      </c>
      <c r="AP23" s="15">
        <v>0</v>
      </c>
      <c r="AQ23" s="13">
        <v>20544</v>
      </c>
      <c r="AR23" s="13">
        <v>16872</v>
      </c>
      <c r="AS23" s="26">
        <v>8212</v>
      </c>
      <c r="AT23" s="30">
        <v>20385</v>
      </c>
      <c r="AU23" s="30">
        <v>0</v>
      </c>
      <c r="AV23" s="30">
        <v>6</v>
      </c>
      <c r="AW23" s="26">
        <v>0</v>
      </c>
      <c r="AX23" s="30">
        <v>0</v>
      </c>
      <c r="AY23" s="30">
        <v>6</v>
      </c>
      <c r="AZ23" s="30">
        <v>0</v>
      </c>
      <c r="BA23" s="30">
        <v>2</v>
      </c>
      <c r="BB23" s="30">
        <v>1</v>
      </c>
      <c r="BC23" s="30">
        <v>0</v>
      </c>
      <c r="BD23" s="30">
        <v>223.5</v>
      </c>
      <c r="BE23" s="30">
        <v>0</v>
      </c>
      <c r="BF23" s="30">
        <v>1</v>
      </c>
      <c r="BG23" s="30">
        <v>0</v>
      </c>
      <c r="BH23" s="36" t="s">
        <v>110</v>
      </c>
      <c r="BI23" s="36">
        <v>60</v>
      </c>
      <c r="BJ23" s="36" t="s">
        <v>110</v>
      </c>
      <c r="BK23" s="36">
        <v>12</v>
      </c>
      <c r="BL23" s="30">
        <v>10</v>
      </c>
      <c r="BM23" s="30">
        <v>3181</v>
      </c>
      <c r="BN23" s="36">
        <v>31</v>
      </c>
      <c r="BO23" s="36">
        <v>82</v>
      </c>
      <c r="BP23" s="36">
        <v>32</v>
      </c>
      <c r="BQ23" s="36">
        <v>8</v>
      </c>
      <c r="BR23" s="38">
        <v>7.6</v>
      </c>
      <c r="BS23" s="38">
        <v>10</v>
      </c>
      <c r="BT23" s="30">
        <v>102</v>
      </c>
      <c r="BU23" s="30">
        <v>81</v>
      </c>
      <c r="BV23" s="12"/>
    </row>
    <row r="24" spans="1:74" ht="12.75" x14ac:dyDescent="0.2">
      <c r="A24" s="11" t="s">
        <v>70</v>
      </c>
      <c r="B24" s="12"/>
      <c r="C24" s="13">
        <v>5559</v>
      </c>
      <c r="D24" s="14">
        <v>0</v>
      </c>
      <c r="E24" s="2">
        <v>153215</v>
      </c>
      <c r="F24" s="2">
        <v>185777</v>
      </c>
      <c r="G24" s="2">
        <v>0</v>
      </c>
      <c r="H24" s="2">
        <v>0</v>
      </c>
      <c r="I24" s="2">
        <v>0</v>
      </c>
      <c r="J24" s="2">
        <v>194</v>
      </c>
      <c r="K24" s="2">
        <v>0</v>
      </c>
      <c r="L24" s="2">
        <v>208836</v>
      </c>
      <c r="M24" s="2">
        <v>22467</v>
      </c>
      <c r="N24" s="2">
        <v>0</v>
      </c>
      <c r="O24" s="14">
        <v>7360</v>
      </c>
      <c r="P24" s="34">
        <v>1</v>
      </c>
      <c r="Q24" s="34">
        <v>4</v>
      </c>
      <c r="R24" s="34">
        <v>0</v>
      </c>
      <c r="S24" s="34">
        <v>1</v>
      </c>
      <c r="T24" s="34">
        <v>2.36</v>
      </c>
      <c r="U24" s="35">
        <v>16560</v>
      </c>
      <c r="V24" s="35">
        <v>6530</v>
      </c>
      <c r="W24" s="36">
        <v>16560</v>
      </c>
      <c r="X24" s="36">
        <v>6530</v>
      </c>
      <c r="Y24" s="36">
        <v>5499</v>
      </c>
      <c r="Z24" s="36">
        <v>6408</v>
      </c>
      <c r="AA24" s="36" t="s">
        <v>111</v>
      </c>
      <c r="AB24" s="36">
        <v>0</v>
      </c>
      <c r="AC24" s="37" t="s">
        <v>110</v>
      </c>
      <c r="AD24" s="36">
        <v>7982</v>
      </c>
      <c r="AE24" s="36">
        <v>1394</v>
      </c>
      <c r="AF24" s="30">
        <v>0</v>
      </c>
      <c r="AG24" s="36">
        <v>994</v>
      </c>
      <c r="AH24" s="36">
        <v>405</v>
      </c>
      <c r="AI24" s="36">
        <v>435</v>
      </c>
      <c r="AJ24" s="13">
        <v>13180</v>
      </c>
      <c r="AK24" s="13">
        <v>0</v>
      </c>
      <c r="AL24" s="13">
        <v>0</v>
      </c>
      <c r="AM24" s="15">
        <v>3202</v>
      </c>
      <c r="AN24" s="13">
        <v>4447</v>
      </c>
      <c r="AO24" s="16"/>
      <c r="AP24" s="13">
        <v>1632</v>
      </c>
      <c r="AQ24" s="13">
        <v>1900</v>
      </c>
      <c r="AR24" s="13">
        <v>3202</v>
      </c>
      <c r="AS24" s="26">
        <v>0</v>
      </c>
      <c r="AT24" s="30">
        <v>0</v>
      </c>
      <c r="AU24" s="26">
        <v>0</v>
      </c>
      <c r="AV24" s="30">
        <v>4</v>
      </c>
      <c r="AW24" s="26">
        <v>0</v>
      </c>
      <c r="AX24" s="30">
        <v>0</v>
      </c>
      <c r="AY24" s="30" t="s">
        <v>44</v>
      </c>
      <c r="AZ24" s="30">
        <v>0</v>
      </c>
      <c r="BA24" s="30" t="s">
        <v>44</v>
      </c>
      <c r="BB24" s="30" t="s">
        <v>44</v>
      </c>
      <c r="BC24" s="30" t="s">
        <v>44</v>
      </c>
      <c r="BD24" s="30">
        <v>59</v>
      </c>
      <c r="BE24" s="30">
        <v>0</v>
      </c>
      <c r="BF24" s="30">
        <v>0</v>
      </c>
      <c r="BG24" s="30" t="s">
        <v>44</v>
      </c>
      <c r="BH24" s="36" t="s">
        <v>111</v>
      </c>
      <c r="BI24" s="54"/>
      <c r="BJ24" s="54"/>
      <c r="BK24" s="54"/>
      <c r="BL24" s="30">
        <v>3</v>
      </c>
      <c r="BM24" s="30">
        <v>394</v>
      </c>
      <c r="BN24" s="36" t="s">
        <v>44</v>
      </c>
      <c r="BO24" s="36">
        <v>6</v>
      </c>
      <c r="BP24" s="36">
        <v>6</v>
      </c>
      <c r="BQ24" s="36" t="s">
        <v>44</v>
      </c>
      <c r="BR24" s="50"/>
      <c r="BS24" s="38">
        <v>7</v>
      </c>
      <c r="BT24" s="30">
        <v>11</v>
      </c>
      <c r="BU24" s="30">
        <v>9</v>
      </c>
      <c r="BV24" s="12"/>
    </row>
    <row r="25" spans="1:74" ht="12.75" x14ac:dyDescent="0.2">
      <c r="A25" s="11" t="s">
        <v>14</v>
      </c>
      <c r="B25" s="12"/>
      <c r="C25" s="13">
        <v>93738</v>
      </c>
      <c r="D25" s="14">
        <v>0</v>
      </c>
      <c r="E25" s="14">
        <v>690996</v>
      </c>
      <c r="F25" s="14">
        <v>5518876</v>
      </c>
      <c r="G25" s="14">
        <v>0</v>
      </c>
      <c r="H25" s="14">
        <v>0</v>
      </c>
      <c r="I25" s="14">
        <v>68294</v>
      </c>
      <c r="J25" s="14">
        <v>44201</v>
      </c>
      <c r="K25" s="14">
        <v>0</v>
      </c>
      <c r="L25" s="14">
        <v>4962870.3347431291</v>
      </c>
      <c r="M25" s="2">
        <v>437098.1</v>
      </c>
      <c r="N25" s="14">
        <v>0</v>
      </c>
      <c r="O25" s="14">
        <v>249487.2</v>
      </c>
      <c r="P25" s="34">
        <v>20</v>
      </c>
      <c r="Q25" s="34">
        <f>49*2/3</f>
        <v>32.666666666666664</v>
      </c>
      <c r="R25" s="34">
        <f>61*2/3</f>
        <v>40.666666666666664</v>
      </c>
      <c r="S25" s="34">
        <v>37.75</v>
      </c>
      <c r="T25" s="34">
        <v>7.5</v>
      </c>
      <c r="U25" s="35">
        <v>118896</v>
      </c>
      <c r="V25" s="35">
        <v>17159</v>
      </c>
      <c r="W25" s="36">
        <v>118896</v>
      </c>
      <c r="X25" s="36">
        <v>17159</v>
      </c>
      <c r="Y25" s="36">
        <v>82253</v>
      </c>
      <c r="Z25" s="36">
        <v>13806</v>
      </c>
      <c r="AA25" s="36" t="s">
        <v>110</v>
      </c>
      <c r="AB25" s="36">
        <v>145</v>
      </c>
      <c r="AC25" s="37" t="s">
        <v>110</v>
      </c>
      <c r="AD25" s="36">
        <v>392585</v>
      </c>
      <c r="AE25" s="36">
        <v>81759</v>
      </c>
      <c r="AF25" s="30">
        <v>629</v>
      </c>
      <c r="AG25" s="36">
        <v>29970</v>
      </c>
      <c r="AH25" s="36">
        <v>10996</v>
      </c>
      <c r="AI25" s="36">
        <v>11347</v>
      </c>
      <c r="AJ25" s="13">
        <v>575465</v>
      </c>
      <c r="AK25" s="13">
        <v>0</v>
      </c>
      <c r="AL25" s="13">
        <v>624</v>
      </c>
      <c r="AM25" s="15">
        <v>3454</v>
      </c>
      <c r="AN25" s="15">
        <v>121906</v>
      </c>
      <c r="AO25" s="15">
        <v>143</v>
      </c>
      <c r="AP25" s="15">
        <v>44318</v>
      </c>
      <c r="AQ25" s="15" t="s">
        <v>44</v>
      </c>
      <c r="AR25" s="13">
        <v>37052</v>
      </c>
      <c r="AS25" s="26">
        <v>449187</v>
      </c>
      <c r="AT25" s="26">
        <v>11092</v>
      </c>
      <c r="AU25" s="26">
        <v>21960</v>
      </c>
      <c r="AV25" s="26">
        <v>8</v>
      </c>
      <c r="AW25" s="26">
        <v>0</v>
      </c>
      <c r="AX25" s="30">
        <v>0</v>
      </c>
      <c r="AY25" s="30" t="s">
        <v>44</v>
      </c>
      <c r="AZ25" s="30">
        <v>0</v>
      </c>
      <c r="BA25" s="30" t="s">
        <v>44</v>
      </c>
      <c r="BB25" s="30" t="s">
        <v>44</v>
      </c>
      <c r="BC25" s="30" t="s">
        <v>44</v>
      </c>
      <c r="BD25" s="30">
        <v>335</v>
      </c>
      <c r="BE25" s="30">
        <v>0</v>
      </c>
      <c r="BF25" s="30">
        <v>0</v>
      </c>
      <c r="BG25" s="30">
        <v>0</v>
      </c>
      <c r="BH25" s="36" t="s">
        <v>110</v>
      </c>
      <c r="BI25" s="36">
        <v>55</v>
      </c>
      <c r="BJ25" s="36" t="s">
        <v>111</v>
      </c>
      <c r="BK25" s="54"/>
      <c r="BL25" s="30">
        <v>37</v>
      </c>
      <c r="BM25" s="30">
        <v>8493</v>
      </c>
      <c r="BN25" s="36">
        <v>22</v>
      </c>
      <c r="BO25" s="36">
        <v>8</v>
      </c>
      <c r="BP25" s="36">
        <v>76</v>
      </c>
      <c r="BQ25" s="36">
        <v>8</v>
      </c>
      <c r="BR25" s="28">
        <v>8.1999999999999993</v>
      </c>
      <c r="BS25" s="38">
        <v>7</v>
      </c>
      <c r="BT25" s="30">
        <v>310</v>
      </c>
      <c r="BU25" s="30">
        <v>281</v>
      </c>
      <c r="BV25" s="12"/>
    </row>
    <row r="26" spans="1:74" ht="12.75" x14ac:dyDescent="0.2">
      <c r="A26" s="11" t="s">
        <v>15</v>
      </c>
      <c r="B26" s="12"/>
      <c r="C26" s="13">
        <v>262764</v>
      </c>
      <c r="D26" s="14">
        <v>0</v>
      </c>
      <c r="E26" s="14">
        <v>1465219</v>
      </c>
      <c r="F26" s="14">
        <v>6225043</v>
      </c>
      <c r="G26" s="14">
        <v>67500</v>
      </c>
      <c r="H26" s="14">
        <v>0</v>
      </c>
      <c r="I26" s="14">
        <v>712892</v>
      </c>
      <c r="J26" s="14">
        <v>139524</v>
      </c>
      <c r="K26" s="14">
        <v>0</v>
      </c>
      <c r="L26" s="14">
        <v>5934117</v>
      </c>
      <c r="M26" s="14">
        <v>640771.38</v>
      </c>
      <c r="N26" s="14">
        <v>154478.88</v>
      </c>
      <c r="O26" s="14">
        <v>437586.12</v>
      </c>
      <c r="P26" s="34">
        <v>32</v>
      </c>
      <c r="Q26" s="34">
        <v>40</v>
      </c>
      <c r="R26" s="34">
        <v>61</v>
      </c>
      <c r="S26" s="34">
        <v>50.69</v>
      </c>
      <c r="T26" s="34">
        <v>6.33</v>
      </c>
      <c r="U26" s="35">
        <v>178548</v>
      </c>
      <c r="V26" s="35">
        <v>53274</v>
      </c>
      <c r="W26" s="36">
        <v>172815</v>
      </c>
      <c r="X26" s="36">
        <v>53274</v>
      </c>
      <c r="Y26" s="36">
        <v>147147</v>
      </c>
      <c r="Z26" s="36">
        <v>53274</v>
      </c>
      <c r="AA26" s="36" t="s">
        <v>110</v>
      </c>
      <c r="AB26" s="36">
        <v>60</v>
      </c>
      <c r="AC26" s="37" t="s">
        <v>110</v>
      </c>
      <c r="AD26" s="36">
        <v>1004000</v>
      </c>
      <c r="AE26" s="36">
        <v>178653</v>
      </c>
      <c r="AF26" s="30">
        <v>690</v>
      </c>
      <c r="AG26" s="36">
        <v>53599</v>
      </c>
      <c r="AH26" s="36">
        <v>29105</v>
      </c>
      <c r="AI26" s="36">
        <v>22211</v>
      </c>
      <c r="AJ26" s="13">
        <v>779517</v>
      </c>
      <c r="AK26" s="13">
        <v>0</v>
      </c>
      <c r="AL26" s="13">
        <v>605</v>
      </c>
      <c r="AM26" s="15">
        <v>17760</v>
      </c>
      <c r="AN26" s="15">
        <v>228344</v>
      </c>
      <c r="AO26" s="15">
        <v>141521</v>
      </c>
      <c r="AP26" s="15">
        <v>111266</v>
      </c>
      <c r="AQ26" s="13">
        <v>186809</v>
      </c>
      <c r="AR26" s="13">
        <v>90882</v>
      </c>
      <c r="AS26" s="26">
        <v>0</v>
      </c>
      <c r="AT26" s="30">
        <v>0</v>
      </c>
      <c r="AU26" s="26">
        <v>36140</v>
      </c>
      <c r="AV26" s="26">
        <v>5</v>
      </c>
      <c r="AW26" s="26">
        <v>0</v>
      </c>
      <c r="AX26" s="30">
        <v>0</v>
      </c>
      <c r="AY26" s="30">
        <v>3</v>
      </c>
      <c r="AZ26" s="30">
        <v>0</v>
      </c>
      <c r="BA26" s="30" t="s">
        <v>44</v>
      </c>
      <c r="BB26" s="30" t="s">
        <v>44</v>
      </c>
      <c r="BC26" s="30" t="s">
        <v>44</v>
      </c>
      <c r="BD26" s="30">
        <v>255</v>
      </c>
      <c r="BE26" s="30">
        <v>0</v>
      </c>
      <c r="BF26" s="30">
        <v>0</v>
      </c>
      <c r="BG26" s="30">
        <v>212.5</v>
      </c>
      <c r="BH26" s="36" t="s">
        <v>110</v>
      </c>
      <c r="BI26" s="36">
        <v>123</v>
      </c>
      <c r="BJ26" s="36" t="s">
        <v>111</v>
      </c>
      <c r="BK26" s="54"/>
      <c r="BL26" s="30">
        <v>0</v>
      </c>
      <c r="BM26" s="53"/>
      <c r="BN26" s="36">
        <v>29</v>
      </c>
      <c r="BO26" s="36">
        <v>12</v>
      </c>
      <c r="BP26" s="36">
        <v>46</v>
      </c>
      <c r="BQ26" s="36">
        <v>9</v>
      </c>
      <c r="BR26" s="28">
        <v>9.4</v>
      </c>
      <c r="BS26" s="38">
        <v>21</v>
      </c>
      <c r="BT26" s="30">
        <v>575</v>
      </c>
      <c r="BU26" s="30">
        <v>451</v>
      </c>
      <c r="BV26" s="12"/>
    </row>
    <row r="27" spans="1:74" ht="12.75" x14ac:dyDescent="0.2">
      <c r="A27" s="11" t="s">
        <v>16</v>
      </c>
      <c r="B27" s="12"/>
      <c r="C27" s="13">
        <v>17662</v>
      </c>
      <c r="D27" s="14">
        <v>0</v>
      </c>
      <c r="E27" s="14">
        <v>189966</v>
      </c>
      <c r="F27" s="14">
        <v>631306</v>
      </c>
      <c r="G27" s="14">
        <v>0</v>
      </c>
      <c r="H27" s="14">
        <v>0</v>
      </c>
      <c r="I27" s="14">
        <v>12276</v>
      </c>
      <c r="J27" s="14">
        <v>2965</v>
      </c>
      <c r="K27" s="14">
        <v>30000</v>
      </c>
      <c r="L27" s="14">
        <v>705460</v>
      </c>
      <c r="M27" s="14">
        <v>77005</v>
      </c>
      <c r="N27" s="14">
        <v>0</v>
      </c>
      <c r="O27" s="14">
        <v>30182</v>
      </c>
      <c r="P27" s="34">
        <v>3</v>
      </c>
      <c r="Q27" s="34">
        <v>5</v>
      </c>
      <c r="R27" s="34">
        <v>3</v>
      </c>
      <c r="S27" s="34">
        <v>7.4</v>
      </c>
      <c r="T27" s="34">
        <v>1.04</v>
      </c>
      <c r="U27" s="35">
        <v>28040</v>
      </c>
      <c r="V27" s="35">
        <v>4641</v>
      </c>
      <c r="W27" s="36">
        <v>26140</v>
      </c>
      <c r="X27" s="36">
        <v>4641</v>
      </c>
      <c r="Y27" s="36">
        <v>15966</v>
      </c>
      <c r="Z27" s="36">
        <v>4567</v>
      </c>
      <c r="AA27" s="36" t="s">
        <v>111</v>
      </c>
      <c r="AB27" s="36">
        <v>0</v>
      </c>
      <c r="AC27" s="37" t="s">
        <v>110</v>
      </c>
      <c r="AD27" s="36">
        <v>77014</v>
      </c>
      <c r="AE27" s="36">
        <v>28051</v>
      </c>
      <c r="AF27" s="30">
        <v>1</v>
      </c>
      <c r="AG27" s="36">
        <v>3990</v>
      </c>
      <c r="AH27" s="36">
        <v>2242</v>
      </c>
      <c r="AI27" s="36">
        <v>2242</v>
      </c>
      <c r="AJ27" s="13">
        <v>89614</v>
      </c>
      <c r="AK27" s="13">
        <v>0</v>
      </c>
      <c r="AL27" s="13">
        <v>4032</v>
      </c>
      <c r="AM27" s="15">
        <v>493</v>
      </c>
      <c r="AN27" s="15">
        <v>0</v>
      </c>
      <c r="AO27" s="15">
        <v>109881</v>
      </c>
      <c r="AP27" s="15">
        <v>101414</v>
      </c>
      <c r="AQ27" s="15">
        <v>6639</v>
      </c>
      <c r="AR27" s="13">
        <v>13485</v>
      </c>
      <c r="AS27" s="26">
        <v>2431</v>
      </c>
      <c r="AT27" s="30">
        <v>0</v>
      </c>
      <c r="AU27" s="30">
        <v>0</v>
      </c>
      <c r="AV27" s="30">
        <v>4</v>
      </c>
      <c r="AW27" s="26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1</v>
      </c>
      <c r="BC27" s="30">
        <v>0</v>
      </c>
      <c r="BD27" s="30">
        <v>152</v>
      </c>
      <c r="BE27" s="30">
        <v>0</v>
      </c>
      <c r="BF27" s="30">
        <v>0</v>
      </c>
      <c r="BG27" s="30">
        <v>0</v>
      </c>
      <c r="BH27" s="36" t="s">
        <v>110</v>
      </c>
      <c r="BI27" s="54"/>
      <c r="BJ27" s="36" t="s">
        <v>111</v>
      </c>
      <c r="BK27" s="54"/>
      <c r="BL27" s="30">
        <v>1</v>
      </c>
      <c r="BM27" s="53"/>
      <c r="BN27" s="36">
        <v>22</v>
      </c>
      <c r="BO27" s="36">
        <v>0</v>
      </c>
      <c r="BP27" s="36">
        <v>13</v>
      </c>
      <c r="BQ27" s="36">
        <v>2</v>
      </c>
      <c r="BR27" s="50"/>
      <c r="BS27" s="38">
        <v>6</v>
      </c>
      <c r="BT27" s="30">
        <v>92</v>
      </c>
      <c r="BU27" s="30">
        <v>80</v>
      </c>
      <c r="BV27" s="12"/>
    </row>
    <row r="28" spans="1:74" ht="12.75" x14ac:dyDescent="0.2">
      <c r="A28" s="11" t="s">
        <v>17</v>
      </c>
      <c r="B28" s="12"/>
      <c r="C28" s="13">
        <v>163724</v>
      </c>
      <c r="D28" s="14">
        <v>0</v>
      </c>
      <c r="E28" s="14">
        <v>1161835</v>
      </c>
      <c r="F28" s="14">
        <v>6124642</v>
      </c>
      <c r="G28" s="14">
        <v>0</v>
      </c>
      <c r="H28" s="14">
        <v>0</v>
      </c>
      <c r="I28" s="14">
        <v>200000</v>
      </c>
      <c r="J28" s="14">
        <v>35760</v>
      </c>
      <c r="K28" s="14">
        <v>0</v>
      </c>
      <c r="L28" s="14">
        <v>5587217</v>
      </c>
      <c r="M28" s="14">
        <v>500500</v>
      </c>
      <c r="N28" s="14">
        <v>188068</v>
      </c>
      <c r="O28" s="14">
        <v>385000</v>
      </c>
      <c r="P28" s="34">
        <v>23</v>
      </c>
      <c r="Q28" s="34">
        <v>35</v>
      </c>
      <c r="R28" s="34">
        <v>32</v>
      </c>
      <c r="S28" s="34">
        <v>43</v>
      </c>
      <c r="T28" s="34">
        <v>5</v>
      </c>
      <c r="U28" s="35">
        <v>163182</v>
      </c>
      <c r="V28" s="35">
        <v>44971</v>
      </c>
      <c r="W28" s="36">
        <v>162083</v>
      </c>
      <c r="X28" s="36">
        <v>44971</v>
      </c>
      <c r="Y28" s="36">
        <v>98334</v>
      </c>
      <c r="Z28" s="36">
        <v>29924</v>
      </c>
      <c r="AA28" s="36" t="s">
        <v>110</v>
      </c>
      <c r="AB28" s="36">
        <v>475</v>
      </c>
      <c r="AC28" s="37" t="s">
        <v>110</v>
      </c>
      <c r="AD28" s="36">
        <v>756498</v>
      </c>
      <c r="AE28" s="36">
        <v>261216</v>
      </c>
      <c r="AF28" s="30">
        <v>1319</v>
      </c>
      <c r="AG28" s="36">
        <v>41586</v>
      </c>
      <c r="AH28" s="36">
        <v>27865</v>
      </c>
      <c r="AI28" s="36">
        <v>27865</v>
      </c>
      <c r="AJ28" s="13">
        <v>386210</v>
      </c>
      <c r="AK28" s="13">
        <v>0</v>
      </c>
      <c r="AL28" s="13">
        <v>2148</v>
      </c>
      <c r="AM28" s="13">
        <v>6506</v>
      </c>
      <c r="AN28" s="15">
        <v>238275</v>
      </c>
      <c r="AO28" s="15">
        <v>259245</v>
      </c>
      <c r="AP28" s="13">
        <v>128432</v>
      </c>
      <c r="AQ28" s="13">
        <v>146990</v>
      </c>
      <c r="AR28" s="13">
        <v>45743</v>
      </c>
      <c r="AS28" s="26">
        <v>45168</v>
      </c>
      <c r="AT28" s="26">
        <v>31386</v>
      </c>
      <c r="AU28" s="26">
        <v>25530</v>
      </c>
      <c r="AV28" s="26">
        <v>6</v>
      </c>
      <c r="AW28" s="26">
        <v>2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316</v>
      </c>
      <c r="BE28" s="30">
        <v>54</v>
      </c>
      <c r="BF28" s="30">
        <v>0</v>
      </c>
      <c r="BG28" s="30">
        <v>0</v>
      </c>
      <c r="BH28" s="36" t="s">
        <v>110</v>
      </c>
      <c r="BI28" s="36">
        <v>196</v>
      </c>
      <c r="BJ28" s="36" t="s">
        <v>110</v>
      </c>
      <c r="BK28" s="36">
        <v>46</v>
      </c>
      <c r="BL28" s="30">
        <v>0</v>
      </c>
      <c r="BM28" s="53"/>
      <c r="BN28" s="36">
        <v>30</v>
      </c>
      <c r="BO28" s="36">
        <v>28</v>
      </c>
      <c r="BP28" s="36">
        <v>407</v>
      </c>
      <c r="BQ28" s="36">
        <v>11</v>
      </c>
      <c r="BR28" s="28">
        <v>7.5</v>
      </c>
      <c r="BS28" s="38">
        <v>8</v>
      </c>
      <c r="BT28" s="30">
        <v>246</v>
      </c>
      <c r="BU28" s="30">
        <v>226</v>
      </c>
      <c r="BV28" s="12"/>
    </row>
    <row r="29" spans="1:74" ht="12.75" x14ac:dyDescent="0.2">
      <c r="A29" s="11" t="s">
        <v>18</v>
      </c>
      <c r="B29" s="12"/>
      <c r="C29" s="13">
        <v>78154</v>
      </c>
      <c r="D29" s="2">
        <v>0</v>
      </c>
      <c r="E29" s="14">
        <v>559795</v>
      </c>
      <c r="F29" s="14">
        <v>2083851.9039999994</v>
      </c>
      <c r="G29" s="2">
        <v>0</v>
      </c>
      <c r="H29" s="2">
        <v>0</v>
      </c>
      <c r="I29" s="2">
        <v>13813.14</v>
      </c>
      <c r="J29" s="14">
        <v>3588.4400000000005</v>
      </c>
      <c r="K29" s="14">
        <v>40100.339999999997</v>
      </c>
      <c r="L29" s="14">
        <v>1717063.5439999995</v>
      </c>
      <c r="M29" s="2">
        <v>267357.46000000002</v>
      </c>
      <c r="N29" s="2">
        <v>72511.87</v>
      </c>
      <c r="O29" s="14">
        <v>107555.06</v>
      </c>
      <c r="P29" s="34">
        <v>9</v>
      </c>
      <c r="Q29" s="34">
        <v>22</v>
      </c>
      <c r="R29" s="34">
        <v>21</v>
      </c>
      <c r="S29" s="34">
        <v>21.43</v>
      </c>
      <c r="T29" s="34">
        <v>3.0139999999999998</v>
      </c>
      <c r="U29" s="35">
        <v>104785</v>
      </c>
      <c r="V29" s="35">
        <v>23802</v>
      </c>
      <c r="W29" s="36">
        <v>98975</v>
      </c>
      <c r="X29" s="36">
        <v>23802</v>
      </c>
      <c r="Y29" s="36">
        <v>48006</v>
      </c>
      <c r="Z29" s="36">
        <v>21913</v>
      </c>
      <c r="AA29" s="36" t="s">
        <v>111</v>
      </c>
      <c r="AB29" s="36">
        <v>0</v>
      </c>
      <c r="AC29" s="37" t="s">
        <v>110</v>
      </c>
      <c r="AD29" s="36">
        <v>213889</v>
      </c>
      <c r="AE29" s="36">
        <v>124729</v>
      </c>
      <c r="AF29" s="30">
        <v>0</v>
      </c>
      <c r="AG29" s="36">
        <v>18602</v>
      </c>
      <c r="AH29" s="36">
        <v>6402</v>
      </c>
      <c r="AI29" s="36">
        <v>6386</v>
      </c>
      <c r="AJ29" s="13">
        <v>200367</v>
      </c>
      <c r="AK29" s="13">
        <v>0</v>
      </c>
      <c r="AL29" s="13">
        <v>1112</v>
      </c>
      <c r="AM29" s="13">
        <v>1424</v>
      </c>
      <c r="AN29" s="15">
        <v>25539</v>
      </c>
      <c r="AO29" s="15">
        <v>32061</v>
      </c>
      <c r="AP29" s="13">
        <v>14010</v>
      </c>
      <c r="AQ29" s="13">
        <v>20504</v>
      </c>
      <c r="AR29" s="13">
        <v>18601</v>
      </c>
      <c r="AS29" s="26">
        <v>0</v>
      </c>
      <c r="AT29" s="30">
        <v>0</v>
      </c>
      <c r="AU29" s="26">
        <v>12667</v>
      </c>
      <c r="AV29" s="26">
        <v>4</v>
      </c>
      <c r="AW29" s="26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179</v>
      </c>
      <c r="BE29" s="30">
        <v>0</v>
      </c>
      <c r="BF29" s="30">
        <v>0</v>
      </c>
      <c r="BG29" s="30">
        <v>0</v>
      </c>
      <c r="BH29" s="36" t="s">
        <v>110</v>
      </c>
      <c r="BI29" s="36">
        <v>158</v>
      </c>
      <c r="BJ29" s="36" t="s">
        <v>110</v>
      </c>
      <c r="BK29" s="36">
        <v>2</v>
      </c>
      <c r="BL29" s="30">
        <v>16</v>
      </c>
      <c r="BM29" s="30">
        <v>16078.64</v>
      </c>
      <c r="BN29" s="36">
        <v>25</v>
      </c>
      <c r="BO29" s="36">
        <v>33</v>
      </c>
      <c r="BP29" s="36">
        <v>29</v>
      </c>
      <c r="BQ29" s="36">
        <v>6</v>
      </c>
      <c r="BR29" s="38">
        <v>7.7</v>
      </c>
      <c r="BS29" s="38">
        <v>13.5</v>
      </c>
      <c r="BT29" s="30">
        <v>143</v>
      </c>
      <c r="BU29" s="30">
        <v>100</v>
      </c>
      <c r="BV29" s="12"/>
    </row>
    <row r="30" spans="1:74" ht="12.75" x14ac:dyDescent="0.2">
      <c r="A30" s="11" t="s">
        <v>19</v>
      </c>
      <c r="B30" s="12"/>
      <c r="C30" s="13">
        <v>91762</v>
      </c>
      <c r="D30" s="14">
        <v>2500</v>
      </c>
      <c r="E30" s="14">
        <v>649795</v>
      </c>
      <c r="F30" s="14">
        <v>5086899</v>
      </c>
      <c r="G30" s="14">
        <v>0</v>
      </c>
      <c r="H30" s="14">
        <v>0</v>
      </c>
      <c r="I30" s="14">
        <v>21417</v>
      </c>
      <c r="J30" s="14">
        <v>59276</v>
      </c>
      <c r="K30" s="14">
        <v>232827</v>
      </c>
      <c r="L30" s="14">
        <v>4266016</v>
      </c>
      <c r="M30" s="14">
        <v>520810</v>
      </c>
      <c r="N30" s="14">
        <v>166353</v>
      </c>
      <c r="O30" s="2">
        <v>333813</v>
      </c>
      <c r="P30" s="34">
        <v>19</v>
      </c>
      <c r="Q30" s="34">
        <v>36</v>
      </c>
      <c r="R30" s="34">
        <v>14</v>
      </c>
      <c r="S30" s="34">
        <v>32.43</v>
      </c>
      <c r="T30" s="34">
        <v>2.1</v>
      </c>
      <c r="U30" s="35">
        <v>114810</v>
      </c>
      <c r="V30" s="35">
        <v>39676</v>
      </c>
      <c r="W30" s="36">
        <v>111975</v>
      </c>
      <c r="X30" s="36">
        <v>39676</v>
      </c>
      <c r="Y30" s="36">
        <v>86444</v>
      </c>
      <c r="Z30" s="36">
        <v>35716</v>
      </c>
      <c r="AA30" s="36" t="s">
        <v>110</v>
      </c>
      <c r="AB30" s="36">
        <v>12</v>
      </c>
      <c r="AC30" s="37" t="s">
        <v>110</v>
      </c>
      <c r="AD30" s="36">
        <v>517817</v>
      </c>
      <c r="AE30" s="36">
        <v>106597</v>
      </c>
      <c r="AF30" s="30">
        <v>0</v>
      </c>
      <c r="AG30" s="36">
        <v>32901</v>
      </c>
      <c r="AH30" s="36">
        <v>22188</v>
      </c>
      <c r="AI30" s="36">
        <v>14357</v>
      </c>
      <c r="AJ30" s="36">
        <v>393640</v>
      </c>
      <c r="AK30" s="13">
        <v>0</v>
      </c>
      <c r="AL30" s="13">
        <v>94</v>
      </c>
      <c r="AM30" s="13">
        <v>3050</v>
      </c>
      <c r="AN30" s="15">
        <v>279764</v>
      </c>
      <c r="AO30" s="15">
        <v>98506</v>
      </c>
      <c r="AP30" s="13">
        <v>115723</v>
      </c>
      <c r="AQ30" s="13">
        <v>90126</v>
      </c>
      <c r="AR30" s="13">
        <v>41560</v>
      </c>
      <c r="AS30" s="30">
        <v>399343</v>
      </c>
      <c r="AT30" s="26">
        <v>38921</v>
      </c>
      <c r="AU30" s="26">
        <v>26340.93</v>
      </c>
      <c r="AV30" s="26">
        <v>5</v>
      </c>
      <c r="AW30" s="26">
        <v>0</v>
      </c>
      <c r="AX30" s="30">
        <v>0</v>
      </c>
      <c r="AY30" s="30">
        <v>1</v>
      </c>
      <c r="AZ30" s="30">
        <v>0</v>
      </c>
      <c r="BA30" s="30" t="s">
        <v>44</v>
      </c>
      <c r="BB30" s="30">
        <v>2</v>
      </c>
      <c r="BC30" s="30" t="s">
        <v>44</v>
      </c>
      <c r="BD30" s="30">
        <v>236</v>
      </c>
      <c r="BE30" s="30">
        <v>0</v>
      </c>
      <c r="BF30" s="30">
        <v>0</v>
      </c>
      <c r="BG30" s="30">
        <v>101.75</v>
      </c>
      <c r="BH30" s="36" t="s">
        <v>110</v>
      </c>
      <c r="BI30" s="36">
        <v>65</v>
      </c>
      <c r="BJ30" s="36" t="s">
        <v>111</v>
      </c>
      <c r="BK30" s="54"/>
      <c r="BL30" s="30">
        <v>8</v>
      </c>
      <c r="BM30" s="30">
        <v>1191</v>
      </c>
      <c r="BN30" s="36">
        <v>28</v>
      </c>
      <c r="BO30" s="36">
        <v>33</v>
      </c>
      <c r="BP30" s="36">
        <v>45</v>
      </c>
      <c r="BQ30" s="36">
        <v>9</v>
      </c>
      <c r="BR30" s="38">
        <v>8.3000000000000007</v>
      </c>
      <c r="BS30" s="38">
        <v>8.25</v>
      </c>
      <c r="BT30" s="30">
        <v>296</v>
      </c>
      <c r="BU30" s="30">
        <v>288</v>
      </c>
      <c r="BV30" s="12"/>
    </row>
    <row r="31" spans="1:74" ht="12.75" x14ac:dyDescent="0.2">
      <c r="A31" s="11" t="s">
        <v>20</v>
      </c>
      <c r="B31" s="12"/>
      <c r="C31" s="13">
        <v>177396</v>
      </c>
      <c r="D31" s="14">
        <v>0</v>
      </c>
      <c r="E31" s="14">
        <v>1120587</v>
      </c>
      <c r="F31" s="14">
        <v>16610811</v>
      </c>
      <c r="G31" s="14">
        <v>0</v>
      </c>
      <c r="H31" s="14">
        <v>2281751</v>
      </c>
      <c r="I31" s="14">
        <v>9135840</v>
      </c>
      <c r="J31" s="14">
        <v>77178</v>
      </c>
      <c r="K31" s="14">
        <v>20674</v>
      </c>
      <c r="L31" s="14">
        <v>11277327</v>
      </c>
      <c r="M31" s="14">
        <v>1047305</v>
      </c>
      <c r="N31" s="14">
        <v>349203</v>
      </c>
      <c r="O31" s="14">
        <v>507392</v>
      </c>
      <c r="P31" s="34">
        <v>81</v>
      </c>
      <c r="Q31" s="34">
        <v>55</v>
      </c>
      <c r="R31" s="34">
        <v>15</v>
      </c>
      <c r="S31" s="34">
        <v>110</v>
      </c>
      <c r="T31" s="34">
        <v>2.7</v>
      </c>
      <c r="U31" s="35">
        <v>213412</v>
      </c>
      <c r="V31" s="35">
        <v>45081</v>
      </c>
      <c r="W31" s="36">
        <v>210944</v>
      </c>
      <c r="X31" s="36">
        <v>45081</v>
      </c>
      <c r="Y31" s="36">
        <v>151039</v>
      </c>
      <c r="Z31" s="36">
        <v>51125</v>
      </c>
      <c r="AA31" s="36" t="s">
        <v>110</v>
      </c>
      <c r="AB31" s="36">
        <v>168</v>
      </c>
      <c r="AC31" s="37" t="s">
        <v>110</v>
      </c>
      <c r="AD31" s="36">
        <v>1058048</v>
      </c>
      <c r="AE31" s="36">
        <v>427703</v>
      </c>
      <c r="AF31" s="30">
        <v>150</v>
      </c>
      <c r="AG31" s="36">
        <v>80611</v>
      </c>
      <c r="AH31" s="36">
        <v>55599</v>
      </c>
      <c r="AI31" s="36">
        <v>45398</v>
      </c>
      <c r="AJ31" s="13">
        <v>1138865</v>
      </c>
      <c r="AK31" s="13">
        <v>0</v>
      </c>
      <c r="AL31" s="13">
        <v>192</v>
      </c>
      <c r="AM31" s="13">
        <v>5431</v>
      </c>
      <c r="AN31" s="15">
        <v>424430</v>
      </c>
      <c r="AO31" s="15">
        <v>458011</v>
      </c>
      <c r="AP31" s="13">
        <v>219520</v>
      </c>
      <c r="AQ31" s="13">
        <v>451135</v>
      </c>
      <c r="AR31" s="13">
        <v>53425</v>
      </c>
      <c r="AS31" s="26">
        <v>379392.12299999996</v>
      </c>
      <c r="AT31" s="26">
        <v>111930</v>
      </c>
      <c r="AU31" s="26">
        <v>53793.116666666669</v>
      </c>
      <c r="AV31" s="26">
        <v>7</v>
      </c>
      <c r="AW31" s="26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2</v>
      </c>
      <c r="BC31" s="30">
        <v>2</v>
      </c>
      <c r="BD31" s="30">
        <v>313</v>
      </c>
      <c r="BE31" s="30">
        <v>0</v>
      </c>
      <c r="BF31" s="30">
        <v>0</v>
      </c>
      <c r="BG31" s="30">
        <v>20</v>
      </c>
      <c r="BH31" s="36" t="s">
        <v>110</v>
      </c>
      <c r="BI31" s="36">
        <v>20</v>
      </c>
      <c r="BJ31" s="36" t="s">
        <v>111</v>
      </c>
      <c r="BK31" s="54"/>
      <c r="BL31" s="30">
        <v>27</v>
      </c>
      <c r="BM31" s="30">
        <v>18752</v>
      </c>
      <c r="BN31" s="36">
        <v>15</v>
      </c>
      <c r="BO31" s="36">
        <v>48</v>
      </c>
      <c r="BP31" s="36">
        <v>137</v>
      </c>
      <c r="BQ31" s="36">
        <v>41</v>
      </c>
      <c r="BR31" s="38">
        <v>8.4</v>
      </c>
      <c r="BS31" s="38">
        <v>13</v>
      </c>
      <c r="BT31" s="30">
        <v>249</v>
      </c>
      <c r="BU31" s="30">
        <v>244</v>
      </c>
      <c r="BV31" s="12"/>
    </row>
    <row r="32" spans="1:74" ht="12.75" x14ac:dyDescent="0.2">
      <c r="A32" s="11" t="s">
        <v>21</v>
      </c>
      <c r="B32" s="12"/>
      <c r="C32" s="13">
        <v>206070</v>
      </c>
      <c r="D32" s="14">
        <v>0</v>
      </c>
      <c r="E32" s="14">
        <v>1032116</v>
      </c>
      <c r="F32" s="14">
        <v>3912561</v>
      </c>
      <c r="G32" s="14">
        <v>0</v>
      </c>
      <c r="H32" s="14">
        <v>0</v>
      </c>
      <c r="I32" s="14">
        <v>59997</v>
      </c>
      <c r="J32" s="14">
        <v>936.1</v>
      </c>
      <c r="K32" s="14">
        <v>235959</v>
      </c>
      <c r="L32" s="14">
        <v>3419834</v>
      </c>
      <c r="M32" s="14">
        <v>484047</v>
      </c>
      <c r="N32" s="14">
        <v>103919</v>
      </c>
      <c r="O32" s="14">
        <v>134709</v>
      </c>
      <c r="P32" s="34">
        <v>22</v>
      </c>
      <c r="Q32" s="34">
        <v>25</v>
      </c>
      <c r="R32" s="34">
        <v>11</v>
      </c>
      <c r="S32" s="34">
        <v>37.64</v>
      </c>
      <c r="T32" s="34">
        <v>8.8000000000000007</v>
      </c>
      <c r="U32" s="35">
        <v>91745</v>
      </c>
      <c r="V32" s="35">
        <v>51871</v>
      </c>
      <c r="W32" s="36">
        <v>87766</v>
      </c>
      <c r="X32" s="36">
        <v>51871</v>
      </c>
      <c r="Y32" s="36">
        <v>76402</v>
      </c>
      <c r="Z32" s="36">
        <v>51871</v>
      </c>
      <c r="AA32" s="36" t="s">
        <v>111</v>
      </c>
      <c r="AB32" s="36">
        <v>0</v>
      </c>
      <c r="AC32" s="37" t="s">
        <v>110</v>
      </c>
      <c r="AD32" s="36">
        <v>603047</v>
      </c>
      <c r="AE32" s="36">
        <v>62341</v>
      </c>
      <c r="AF32" s="30">
        <v>4539</v>
      </c>
      <c r="AG32" s="36">
        <v>51188</v>
      </c>
      <c r="AH32" s="36">
        <v>15782</v>
      </c>
      <c r="AI32" s="36">
        <v>15782</v>
      </c>
      <c r="AJ32" s="13">
        <v>467335</v>
      </c>
      <c r="AK32" s="13">
        <v>0</v>
      </c>
      <c r="AL32" s="13">
        <v>725</v>
      </c>
      <c r="AM32" s="13">
        <v>3229</v>
      </c>
      <c r="AN32" s="15">
        <v>61602</v>
      </c>
      <c r="AO32" s="15">
        <v>34624</v>
      </c>
      <c r="AP32" s="13">
        <v>42967</v>
      </c>
      <c r="AQ32" s="13">
        <v>145346</v>
      </c>
      <c r="AR32" s="13">
        <v>39606</v>
      </c>
      <c r="AS32" s="26">
        <v>0</v>
      </c>
      <c r="AT32" s="30">
        <v>0</v>
      </c>
      <c r="AU32" s="26">
        <v>30643</v>
      </c>
      <c r="AV32" s="26">
        <v>2</v>
      </c>
      <c r="AW32" s="26">
        <v>0</v>
      </c>
      <c r="AX32" s="30">
        <v>0</v>
      </c>
      <c r="AY32" s="30">
        <v>4</v>
      </c>
      <c r="AZ32" s="30">
        <v>0</v>
      </c>
      <c r="BA32" s="30">
        <v>0</v>
      </c>
      <c r="BB32" s="30">
        <v>0</v>
      </c>
      <c r="BC32" s="30">
        <v>0</v>
      </c>
      <c r="BD32" s="30">
        <v>117</v>
      </c>
      <c r="BE32" s="30">
        <v>0</v>
      </c>
      <c r="BF32" s="30">
        <v>0</v>
      </c>
      <c r="BG32" s="30">
        <v>85</v>
      </c>
      <c r="BH32" s="36" t="s">
        <v>110</v>
      </c>
      <c r="BI32" s="36">
        <v>81</v>
      </c>
      <c r="BJ32" s="36" t="s">
        <v>111</v>
      </c>
      <c r="BK32" s="54"/>
      <c r="BL32" s="30">
        <v>21</v>
      </c>
      <c r="BM32" s="30">
        <v>11969</v>
      </c>
      <c r="BN32" s="36">
        <v>7</v>
      </c>
      <c r="BO32" s="36">
        <v>12</v>
      </c>
      <c r="BP32" s="36">
        <v>42</v>
      </c>
      <c r="BQ32" s="36">
        <v>7</v>
      </c>
      <c r="BR32" s="28">
        <v>8.4</v>
      </c>
      <c r="BS32" s="38">
        <v>5</v>
      </c>
      <c r="BT32" s="30">
        <v>240</v>
      </c>
      <c r="BU32" s="30">
        <v>226</v>
      </c>
      <c r="BV32" s="12"/>
    </row>
    <row r="33" spans="1:74" ht="12.75" x14ac:dyDescent="0.2">
      <c r="A33" s="11" t="s">
        <v>118</v>
      </c>
      <c r="B33" s="12"/>
      <c r="C33" s="13">
        <v>181223</v>
      </c>
      <c r="D33" s="14">
        <v>0</v>
      </c>
      <c r="E33" s="14">
        <v>1236316</v>
      </c>
      <c r="F33" s="14">
        <v>5490100</v>
      </c>
      <c r="G33" s="14">
        <v>0</v>
      </c>
      <c r="H33" s="14">
        <v>0</v>
      </c>
      <c r="I33" s="14">
        <v>67000</v>
      </c>
      <c r="J33" s="14">
        <v>90809</v>
      </c>
      <c r="K33" s="14">
        <v>1000</v>
      </c>
      <c r="L33" s="14">
        <v>5853866</v>
      </c>
      <c r="M33" s="14">
        <v>855924</v>
      </c>
      <c r="N33" s="14">
        <v>138208</v>
      </c>
      <c r="O33" s="14">
        <v>346733</v>
      </c>
      <c r="P33" s="34">
        <v>31</v>
      </c>
      <c r="Q33" s="34">
        <v>50</v>
      </c>
      <c r="R33" s="34">
        <v>17</v>
      </c>
      <c r="S33" s="34">
        <v>54.83</v>
      </c>
      <c r="T33" s="34">
        <v>0.17</v>
      </c>
      <c r="U33" s="35">
        <v>208929</v>
      </c>
      <c r="V33" s="35">
        <v>56377</v>
      </c>
      <c r="W33" s="36">
        <v>201624</v>
      </c>
      <c r="X33" s="36">
        <v>56377</v>
      </c>
      <c r="Y33" s="36">
        <v>139730</v>
      </c>
      <c r="Z33" s="36">
        <v>42547</v>
      </c>
      <c r="AA33" s="36" t="s">
        <v>110</v>
      </c>
      <c r="AB33" s="36">
        <v>58</v>
      </c>
      <c r="AC33" s="37" t="s">
        <v>110</v>
      </c>
      <c r="AD33" s="36">
        <v>924536</v>
      </c>
      <c r="AE33" s="36">
        <v>242910</v>
      </c>
      <c r="AF33" s="30">
        <v>10863</v>
      </c>
      <c r="AG33" s="36">
        <v>40485</v>
      </c>
      <c r="AH33" s="36">
        <v>26208</v>
      </c>
      <c r="AI33" s="36">
        <v>25882</v>
      </c>
      <c r="AJ33" s="13">
        <v>583239</v>
      </c>
      <c r="AK33" s="13">
        <v>0</v>
      </c>
      <c r="AL33" s="13">
        <v>1930</v>
      </c>
      <c r="AM33" s="15">
        <v>2543</v>
      </c>
      <c r="AN33" s="15">
        <v>0</v>
      </c>
      <c r="AO33" s="55"/>
      <c r="AP33" s="36">
        <v>0</v>
      </c>
      <c r="AQ33" s="36">
        <v>0</v>
      </c>
      <c r="AR33" s="13">
        <v>45554</v>
      </c>
      <c r="AS33" s="26">
        <v>98455.1</v>
      </c>
      <c r="AT33" s="30">
        <v>17192.45</v>
      </c>
      <c r="AU33" s="30">
        <v>27811</v>
      </c>
      <c r="AV33" s="30">
        <v>5</v>
      </c>
      <c r="AW33" s="26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268</v>
      </c>
      <c r="BE33" s="30">
        <v>0</v>
      </c>
      <c r="BF33" s="30">
        <v>0</v>
      </c>
      <c r="BG33" s="30">
        <v>0</v>
      </c>
      <c r="BH33" s="36" t="s">
        <v>110</v>
      </c>
      <c r="BI33" s="36">
        <v>155</v>
      </c>
      <c r="BJ33" s="36" t="s">
        <v>111</v>
      </c>
      <c r="BK33" s="54"/>
      <c r="BL33" s="30">
        <v>4</v>
      </c>
      <c r="BM33" s="30">
        <v>2229.5</v>
      </c>
      <c r="BN33" s="36">
        <v>24</v>
      </c>
      <c r="BO33" s="36">
        <v>47</v>
      </c>
      <c r="BP33" s="36">
        <v>83</v>
      </c>
      <c r="BQ33" s="36">
        <v>17</v>
      </c>
      <c r="BR33" s="38">
        <v>8.6</v>
      </c>
      <c r="BS33" s="38">
        <v>12.9</v>
      </c>
      <c r="BT33" s="30">
        <v>453.97</v>
      </c>
      <c r="BU33" s="30">
        <v>399.23</v>
      </c>
      <c r="BV33" s="12"/>
    </row>
    <row r="34" spans="1:74" ht="12.75" x14ac:dyDescent="0.2">
      <c r="A34" s="11" t="s">
        <v>22</v>
      </c>
      <c r="B34" s="12"/>
      <c r="C34" s="13">
        <v>57554</v>
      </c>
      <c r="D34" s="14">
        <v>0</v>
      </c>
      <c r="E34" s="14">
        <v>443185</v>
      </c>
      <c r="F34" s="14">
        <v>2241889</v>
      </c>
      <c r="G34" s="14">
        <v>0</v>
      </c>
      <c r="H34" s="14">
        <v>0</v>
      </c>
      <c r="I34" s="14">
        <v>15998</v>
      </c>
      <c r="J34" s="14">
        <v>29489</v>
      </c>
      <c r="K34" s="14">
        <v>28679</v>
      </c>
      <c r="L34" s="14">
        <v>2178527</v>
      </c>
      <c r="M34" s="14">
        <v>267356</v>
      </c>
      <c r="N34" s="14">
        <v>29309</v>
      </c>
      <c r="O34" s="14">
        <v>97286</v>
      </c>
      <c r="P34" s="34">
        <v>20</v>
      </c>
      <c r="Q34" s="34">
        <v>8</v>
      </c>
      <c r="R34" s="34">
        <v>0</v>
      </c>
      <c r="S34" s="34">
        <v>24.5</v>
      </c>
      <c r="T34" s="34">
        <v>0</v>
      </c>
      <c r="U34" s="35">
        <v>97153</v>
      </c>
      <c r="V34" s="35">
        <v>17132</v>
      </c>
      <c r="W34" s="36">
        <v>95880</v>
      </c>
      <c r="X34" s="36">
        <v>17132</v>
      </c>
      <c r="Y34" s="36">
        <v>56357</v>
      </c>
      <c r="Z34" s="36">
        <v>7950</v>
      </c>
      <c r="AA34" s="36" t="s">
        <v>111</v>
      </c>
      <c r="AB34" s="36">
        <v>0</v>
      </c>
      <c r="AC34" s="37" t="s">
        <v>110</v>
      </c>
      <c r="AD34" s="36">
        <v>209155</v>
      </c>
      <c r="AE34" s="36">
        <v>47985</v>
      </c>
      <c r="AF34" s="30">
        <v>0</v>
      </c>
      <c r="AG34" s="36">
        <v>10719</v>
      </c>
      <c r="AH34" s="36">
        <v>4522</v>
      </c>
      <c r="AI34" s="36">
        <v>4522</v>
      </c>
      <c r="AJ34" s="13">
        <v>118782</v>
      </c>
      <c r="AK34" s="13">
        <v>0</v>
      </c>
      <c r="AL34" s="13">
        <v>1938</v>
      </c>
      <c r="AM34" s="15">
        <v>0</v>
      </c>
      <c r="AN34" s="15">
        <v>30110</v>
      </c>
      <c r="AO34" s="15">
        <v>29945</v>
      </c>
      <c r="AP34" s="13">
        <v>10382</v>
      </c>
      <c r="AQ34" s="13">
        <v>8934</v>
      </c>
      <c r="AR34" s="13">
        <v>10395</v>
      </c>
      <c r="AS34" s="26">
        <v>0</v>
      </c>
      <c r="AT34" s="26">
        <v>8899</v>
      </c>
      <c r="AU34" s="30">
        <v>6571</v>
      </c>
      <c r="AV34" s="30">
        <v>5</v>
      </c>
      <c r="AW34" s="26">
        <v>1</v>
      </c>
      <c r="AX34" s="30">
        <v>1</v>
      </c>
      <c r="AY34" s="30">
        <v>0</v>
      </c>
      <c r="AZ34" s="30">
        <v>0</v>
      </c>
      <c r="BA34" s="30">
        <v>0</v>
      </c>
      <c r="BB34" s="30">
        <v>0</v>
      </c>
      <c r="BC34" s="30">
        <v>3</v>
      </c>
      <c r="BD34" s="30">
        <v>168</v>
      </c>
      <c r="BE34" s="30">
        <v>166</v>
      </c>
      <c r="BF34" s="30">
        <v>0</v>
      </c>
      <c r="BG34" s="30">
        <v>21.5</v>
      </c>
      <c r="BH34" s="36" t="s">
        <v>110</v>
      </c>
      <c r="BI34" s="36">
        <v>153</v>
      </c>
      <c r="BJ34" s="36" t="s">
        <v>110</v>
      </c>
      <c r="BK34" s="36">
        <v>11</v>
      </c>
      <c r="BL34" s="30">
        <v>4</v>
      </c>
      <c r="BM34" s="30">
        <v>623</v>
      </c>
      <c r="BN34" s="36">
        <v>17</v>
      </c>
      <c r="BO34" s="36">
        <v>1</v>
      </c>
      <c r="BP34" s="36">
        <v>29</v>
      </c>
      <c r="BQ34" s="36">
        <v>4</v>
      </c>
      <c r="BR34" s="38">
        <v>8.8000000000000007</v>
      </c>
      <c r="BS34" s="38">
        <v>7</v>
      </c>
      <c r="BT34" s="30">
        <v>47</v>
      </c>
      <c r="BU34" s="30">
        <v>39</v>
      </c>
      <c r="BV34" s="12"/>
    </row>
    <row r="35" spans="1:74" ht="12.75" x14ac:dyDescent="0.2">
      <c r="A35" s="11" t="s">
        <v>23</v>
      </c>
      <c r="B35" s="12"/>
      <c r="C35" s="13">
        <v>53723</v>
      </c>
      <c r="D35" s="14">
        <v>0</v>
      </c>
      <c r="E35" s="14">
        <v>370291</v>
      </c>
      <c r="F35" s="14">
        <v>988963</v>
      </c>
      <c r="G35" s="14">
        <v>0</v>
      </c>
      <c r="H35" s="14">
        <v>0</v>
      </c>
      <c r="I35" s="14">
        <v>0</v>
      </c>
      <c r="J35" s="14">
        <v>85488</v>
      </c>
      <c r="K35" s="14">
        <v>0</v>
      </c>
      <c r="L35" s="14">
        <v>1241319.8700000001</v>
      </c>
      <c r="M35" s="14">
        <v>151369</v>
      </c>
      <c r="N35" s="14">
        <v>0</v>
      </c>
      <c r="O35" s="14">
        <v>52053.24</v>
      </c>
      <c r="P35" s="34">
        <v>11</v>
      </c>
      <c r="Q35" s="34">
        <v>12</v>
      </c>
      <c r="R35" s="34">
        <v>13</v>
      </c>
      <c r="S35" s="34">
        <v>19.5</v>
      </c>
      <c r="T35" s="34">
        <v>3</v>
      </c>
      <c r="U35" s="35">
        <v>59210</v>
      </c>
      <c r="V35" s="35">
        <v>60478</v>
      </c>
      <c r="W35" s="36">
        <v>59210</v>
      </c>
      <c r="X35" s="36">
        <v>60478</v>
      </c>
      <c r="Y35" s="36">
        <v>30550</v>
      </c>
      <c r="Z35" s="36">
        <v>60478</v>
      </c>
      <c r="AA35" s="36" t="s">
        <v>110</v>
      </c>
      <c r="AB35" s="36">
        <v>6</v>
      </c>
      <c r="AC35" s="37" t="s">
        <v>110</v>
      </c>
      <c r="AD35" s="36">
        <v>128624</v>
      </c>
      <c r="AE35" s="36">
        <v>19287</v>
      </c>
      <c r="AF35" s="30">
        <v>0</v>
      </c>
      <c r="AG35" s="36">
        <v>9770</v>
      </c>
      <c r="AH35" s="36">
        <v>3940</v>
      </c>
      <c r="AI35" s="36">
        <v>3940</v>
      </c>
      <c r="AJ35" s="13">
        <v>113284</v>
      </c>
      <c r="AK35" s="13">
        <v>0</v>
      </c>
      <c r="AL35" s="13">
        <v>0</v>
      </c>
      <c r="AM35" s="13">
        <v>0</v>
      </c>
      <c r="AN35" s="15">
        <v>23623</v>
      </c>
      <c r="AO35" s="15">
        <v>29852</v>
      </c>
      <c r="AP35" s="13">
        <v>8161</v>
      </c>
      <c r="AQ35" s="13">
        <v>0</v>
      </c>
      <c r="AR35" s="13">
        <v>17630</v>
      </c>
      <c r="AS35" s="26">
        <v>0</v>
      </c>
      <c r="AT35" s="26">
        <v>4746</v>
      </c>
      <c r="AU35" s="26">
        <v>4254</v>
      </c>
      <c r="AV35" s="26">
        <v>4</v>
      </c>
      <c r="AW35" s="26">
        <v>0</v>
      </c>
      <c r="AX35" s="30">
        <v>1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190</v>
      </c>
      <c r="BE35" s="30">
        <v>0</v>
      </c>
      <c r="BF35" s="30">
        <v>0</v>
      </c>
      <c r="BG35" s="30">
        <v>40</v>
      </c>
      <c r="BH35" s="36" t="s">
        <v>110</v>
      </c>
      <c r="BI35" s="36">
        <v>11</v>
      </c>
      <c r="BJ35" s="36" t="s">
        <v>111</v>
      </c>
      <c r="BK35" s="54"/>
      <c r="BL35" s="30">
        <v>3</v>
      </c>
      <c r="BM35" s="30">
        <v>789.5</v>
      </c>
      <c r="BN35" s="36">
        <v>9</v>
      </c>
      <c r="BO35" s="36">
        <v>15</v>
      </c>
      <c r="BP35" s="36">
        <v>19</v>
      </c>
      <c r="BQ35" s="36">
        <v>4</v>
      </c>
      <c r="BR35" s="50"/>
      <c r="BS35" s="38">
        <v>15</v>
      </c>
      <c r="BT35" s="30">
        <v>134</v>
      </c>
      <c r="BU35" s="30">
        <v>67</v>
      </c>
      <c r="BV35" s="12"/>
    </row>
    <row r="36" spans="1:74" ht="12.75" x14ac:dyDescent="0.2">
      <c r="A36" s="11" t="s">
        <v>24</v>
      </c>
      <c r="B36" s="12"/>
      <c r="C36" s="13">
        <v>203560</v>
      </c>
      <c r="D36" s="14">
        <v>0</v>
      </c>
      <c r="E36" s="14">
        <v>1332003</v>
      </c>
      <c r="F36" s="14">
        <v>6763315</v>
      </c>
      <c r="G36" s="14">
        <v>0</v>
      </c>
      <c r="H36" s="14">
        <v>0</v>
      </c>
      <c r="I36" s="14">
        <v>99999</v>
      </c>
      <c r="J36" s="14">
        <v>70925</v>
      </c>
      <c r="K36" s="14">
        <v>37651</v>
      </c>
      <c r="L36" s="14">
        <v>5930989</v>
      </c>
      <c r="M36" s="14">
        <v>1067632</v>
      </c>
      <c r="N36" s="14">
        <v>61500</v>
      </c>
      <c r="O36" s="14">
        <v>310755</v>
      </c>
      <c r="P36" s="34">
        <v>35</v>
      </c>
      <c r="Q36" s="34">
        <v>42</v>
      </c>
      <c r="R36" s="34">
        <v>39</v>
      </c>
      <c r="S36" s="34">
        <v>55.8</v>
      </c>
      <c r="T36" s="34">
        <v>4.5</v>
      </c>
      <c r="U36" s="35">
        <v>207945</v>
      </c>
      <c r="V36" s="35">
        <v>37924</v>
      </c>
      <c r="W36" s="36">
        <v>203844</v>
      </c>
      <c r="X36" s="35">
        <v>37924</v>
      </c>
      <c r="Y36" s="36">
        <v>147172</v>
      </c>
      <c r="Z36" s="36">
        <v>35249</v>
      </c>
      <c r="AA36" s="36" t="s">
        <v>111</v>
      </c>
      <c r="AB36" s="36">
        <v>0</v>
      </c>
      <c r="AC36" s="37" t="s">
        <v>110</v>
      </c>
      <c r="AD36" s="36">
        <v>1290093</v>
      </c>
      <c r="AE36" s="36">
        <v>297365</v>
      </c>
      <c r="AF36" s="30">
        <v>5</v>
      </c>
      <c r="AG36" s="36">
        <v>73962</v>
      </c>
      <c r="AH36" s="36">
        <v>42807</v>
      </c>
      <c r="AI36" s="36">
        <v>31576</v>
      </c>
      <c r="AJ36" s="13">
        <v>788700</v>
      </c>
      <c r="AK36" s="13">
        <v>0</v>
      </c>
      <c r="AL36" s="13">
        <v>1422</v>
      </c>
      <c r="AM36" s="13">
        <v>9255</v>
      </c>
      <c r="AN36" s="15">
        <v>258996</v>
      </c>
      <c r="AO36" s="15">
        <v>250172</v>
      </c>
      <c r="AP36" s="13">
        <v>299962</v>
      </c>
      <c r="AQ36" s="13">
        <v>98327</v>
      </c>
      <c r="AR36" s="13">
        <v>66031</v>
      </c>
      <c r="AS36" s="26">
        <v>186560</v>
      </c>
      <c r="AT36" s="26">
        <v>39208</v>
      </c>
      <c r="AU36" s="26">
        <v>51052</v>
      </c>
      <c r="AV36" s="26">
        <v>6</v>
      </c>
      <c r="AW36" s="26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336</v>
      </c>
      <c r="BE36" s="30">
        <v>0</v>
      </c>
      <c r="BF36" s="30">
        <v>0</v>
      </c>
      <c r="BG36" s="30">
        <v>0</v>
      </c>
      <c r="BH36" s="36" t="s">
        <v>110</v>
      </c>
      <c r="BI36" s="36">
        <v>123</v>
      </c>
      <c r="BJ36" s="36" t="s">
        <v>110</v>
      </c>
      <c r="BK36" s="36">
        <v>16</v>
      </c>
      <c r="BL36" s="30">
        <v>10</v>
      </c>
      <c r="BM36" s="30">
        <v>12580</v>
      </c>
      <c r="BN36" s="36">
        <v>40</v>
      </c>
      <c r="BO36" s="36">
        <v>232</v>
      </c>
      <c r="BP36" s="36">
        <v>55</v>
      </c>
      <c r="BQ36" s="36">
        <v>7</v>
      </c>
      <c r="BR36" s="38">
        <v>8.6</v>
      </c>
      <c r="BS36" s="38">
        <v>18</v>
      </c>
      <c r="BT36" s="30">
        <v>427</v>
      </c>
      <c r="BU36" s="30">
        <v>415</v>
      </c>
      <c r="BV36" s="12"/>
    </row>
    <row r="37" spans="1:74" ht="12.75" x14ac:dyDescent="0.2">
      <c r="A37" s="11" t="s">
        <v>25</v>
      </c>
      <c r="B37" s="12"/>
      <c r="C37" s="13">
        <v>126486</v>
      </c>
      <c r="D37" s="14">
        <v>0</v>
      </c>
      <c r="E37" s="14">
        <v>902828</v>
      </c>
      <c r="F37" s="14">
        <v>6596006</v>
      </c>
      <c r="G37" s="14">
        <v>0</v>
      </c>
      <c r="H37" s="14">
        <v>1500000</v>
      </c>
      <c r="I37" s="14">
        <v>1031985</v>
      </c>
      <c r="J37" s="14">
        <v>166874</v>
      </c>
      <c r="K37" s="14">
        <v>0</v>
      </c>
      <c r="L37" s="14">
        <v>4664139</v>
      </c>
      <c r="M37" s="14">
        <v>719667</v>
      </c>
      <c r="N37" s="14">
        <v>0</v>
      </c>
      <c r="O37" s="14">
        <v>274890</v>
      </c>
      <c r="P37" s="34">
        <v>25</v>
      </c>
      <c r="Q37" s="34">
        <v>28</v>
      </c>
      <c r="R37" s="34">
        <v>31</v>
      </c>
      <c r="S37" s="34">
        <v>41</v>
      </c>
      <c r="T37" s="34">
        <v>3</v>
      </c>
      <c r="U37" s="35">
        <v>137636</v>
      </c>
      <c r="V37" s="35">
        <v>50414</v>
      </c>
      <c r="W37" s="36">
        <v>126267</v>
      </c>
      <c r="X37" s="36">
        <v>50414</v>
      </c>
      <c r="Y37" s="36">
        <v>88141</v>
      </c>
      <c r="Z37" s="36">
        <v>243889</v>
      </c>
      <c r="AA37" s="36" t="s">
        <v>111</v>
      </c>
      <c r="AB37" s="36">
        <v>0</v>
      </c>
      <c r="AC37" s="37" t="s">
        <v>110</v>
      </c>
      <c r="AD37" s="36">
        <v>662528</v>
      </c>
      <c r="AE37" s="36">
        <v>287908</v>
      </c>
      <c r="AF37" s="30">
        <v>54</v>
      </c>
      <c r="AG37" s="36">
        <v>54564</v>
      </c>
      <c r="AH37" s="36">
        <v>29068</v>
      </c>
      <c r="AI37" s="36">
        <v>23545</v>
      </c>
      <c r="AJ37" s="13">
        <v>456384</v>
      </c>
      <c r="AK37" s="13">
        <v>0</v>
      </c>
      <c r="AL37" s="13">
        <v>473</v>
      </c>
      <c r="AM37" s="13">
        <v>2540</v>
      </c>
      <c r="AN37" s="15">
        <v>219987</v>
      </c>
      <c r="AO37" s="15">
        <v>199320</v>
      </c>
      <c r="AP37" s="13">
        <v>103949</v>
      </c>
      <c r="AQ37" s="13">
        <v>253727</v>
      </c>
      <c r="AR37" s="13">
        <v>53718</v>
      </c>
      <c r="AS37" s="30">
        <v>0</v>
      </c>
      <c r="AT37" s="30">
        <v>0</v>
      </c>
      <c r="AU37" s="26">
        <v>131686</v>
      </c>
      <c r="AV37" s="26">
        <v>5</v>
      </c>
      <c r="AW37" s="26">
        <v>0</v>
      </c>
      <c r="AX37" s="30">
        <v>0</v>
      </c>
      <c r="AY37" s="30">
        <v>0</v>
      </c>
      <c r="AZ37" s="30">
        <v>0</v>
      </c>
      <c r="BA37" s="30">
        <v>0</v>
      </c>
      <c r="BB37" s="30">
        <v>1</v>
      </c>
      <c r="BC37" s="30">
        <v>2</v>
      </c>
      <c r="BD37" s="30">
        <v>265</v>
      </c>
      <c r="BE37" s="30">
        <v>0</v>
      </c>
      <c r="BF37" s="30">
        <v>0</v>
      </c>
      <c r="BG37" s="30">
        <v>147.5</v>
      </c>
      <c r="BH37" s="36" t="s">
        <v>110</v>
      </c>
      <c r="BI37" s="36">
        <v>43</v>
      </c>
      <c r="BJ37" s="36" t="s">
        <v>110</v>
      </c>
      <c r="BK37" s="36">
        <v>34</v>
      </c>
      <c r="BL37" s="30">
        <v>12</v>
      </c>
      <c r="BM37" s="30">
        <v>6717</v>
      </c>
      <c r="BN37" s="36">
        <v>21</v>
      </c>
      <c r="BO37" s="36">
        <v>25</v>
      </c>
      <c r="BP37" s="36">
        <v>87</v>
      </c>
      <c r="BQ37" s="36">
        <v>17</v>
      </c>
      <c r="BR37" s="38">
        <v>8.74</v>
      </c>
      <c r="BS37" s="38">
        <v>12</v>
      </c>
      <c r="BT37" s="30">
        <v>462</v>
      </c>
      <c r="BU37" s="30">
        <v>423</v>
      </c>
      <c r="BV37" s="12"/>
    </row>
    <row r="38" spans="1:74" ht="12.75" x14ac:dyDescent="0.2">
      <c r="A38" s="11" t="s">
        <v>26</v>
      </c>
      <c r="B38" s="12"/>
      <c r="C38" s="13">
        <v>170243</v>
      </c>
      <c r="D38" s="2">
        <v>0</v>
      </c>
      <c r="E38" s="14">
        <v>1096022</v>
      </c>
      <c r="F38" s="14">
        <v>5310107</v>
      </c>
      <c r="G38" s="2">
        <v>0</v>
      </c>
      <c r="H38" s="2">
        <v>20314</v>
      </c>
      <c r="I38" s="2">
        <v>60762</v>
      </c>
      <c r="J38" s="14">
        <v>58655</v>
      </c>
      <c r="K38" s="14">
        <v>0</v>
      </c>
      <c r="L38" s="14">
        <v>3624536</v>
      </c>
      <c r="M38" s="14">
        <v>700169</v>
      </c>
      <c r="N38" s="2">
        <v>149831</v>
      </c>
      <c r="O38" s="14">
        <v>372263</v>
      </c>
      <c r="P38" s="34">
        <v>27</v>
      </c>
      <c r="Q38" s="34">
        <v>16</v>
      </c>
      <c r="R38" s="34">
        <v>18</v>
      </c>
      <c r="S38" s="34">
        <v>35.42</v>
      </c>
      <c r="T38" s="34">
        <v>0</v>
      </c>
      <c r="U38" s="35">
        <v>159274</v>
      </c>
      <c r="V38" s="35">
        <v>31332</v>
      </c>
      <c r="W38" s="36">
        <v>159274</v>
      </c>
      <c r="X38" s="36">
        <v>31332</v>
      </c>
      <c r="Y38" s="36">
        <v>102703</v>
      </c>
      <c r="Z38" s="36">
        <v>28161</v>
      </c>
      <c r="AA38" s="36" t="s">
        <v>110</v>
      </c>
      <c r="AB38" s="36">
        <v>2</v>
      </c>
      <c r="AC38" s="37" t="s">
        <v>110</v>
      </c>
      <c r="AD38" s="36">
        <v>1027258</v>
      </c>
      <c r="AE38" s="36">
        <v>344153</v>
      </c>
      <c r="AF38" s="30">
        <v>0</v>
      </c>
      <c r="AG38" s="36">
        <v>53779</v>
      </c>
      <c r="AH38" s="36">
        <v>24684</v>
      </c>
      <c r="AI38" s="36">
        <v>20140</v>
      </c>
      <c r="AJ38" s="13">
        <v>385555</v>
      </c>
      <c r="AK38" s="13">
        <v>0</v>
      </c>
      <c r="AL38" s="13">
        <v>0</v>
      </c>
      <c r="AM38" s="13">
        <v>1821</v>
      </c>
      <c r="AN38" s="15">
        <v>130000</v>
      </c>
      <c r="AO38" s="15">
        <v>190796</v>
      </c>
      <c r="AP38" s="15">
        <v>65671</v>
      </c>
      <c r="AQ38" s="15">
        <v>43321</v>
      </c>
      <c r="AR38" s="13">
        <v>34590</v>
      </c>
      <c r="AS38" s="30">
        <v>41085</v>
      </c>
      <c r="AT38" s="30">
        <v>112128</v>
      </c>
      <c r="AU38" s="30">
        <v>24924</v>
      </c>
      <c r="AV38" s="30">
        <v>4</v>
      </c>
      <c r="AW38" s="26">
        <v>0</v>
      </c>
      <c r="AX38" s="26">
        <v>1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202</v>
      </c>
      <c r="BE38" s="30">
        <v>0</v>
      </c>
      <c r="BF38" s="30">
        <v>0</v>
      </c>
      <c r="BG38" s="30">
        <v>42</v>
      </c>
      <c r="BH38" s="36" t="s">
        <v>110</v>
      </c>
      <c r="BI38" s="36">
        <v>58</v>
      </c>
      <c r="BJ38" s="36" t="s">
        <v>110</v>
      </c>
      <c r="BK38" s="36">
        <v>40</v>
      </c>
      <c r="BL38" s="30">
        <v>2</v>
      </c>
      <c r="BM38" s="53"/>
      <c r="BN38" s="36">
        <v>87</v>
      </c>
      <c r="BO38" s="36">
        <v>5</v>
      </c>
      <c r="BP38" s="36">
        <v>61</v>
      </c>
      <c r="BQ38" s="36">
        <v>10</v>
      </c>
      <c r="BR38" s="50"/>
      <c r="BS38" s="38">
        <v>7.5</v>
      </c>
      <c r="BT38" s="30">
        <v>287</v>
      </c>
      <c r="BU38" s="30">
        <v>242</v>
      </c>
      <c r="BV38" s="12"/>
    </row>
    <row r="39" spans="1:74" ht="12.75" x14ac:dyDescent="0.2">
      <c r="A39" s="11" t="s">
        <v>27</v>
      </c>
      <c r="B39" s="12"/>
      <c r="C39" s="13">
        <v>15482</v>
      </c>
      <c r="D39" s="2">
        <v>0</v>
      </c>
      <c r="E39" s="14">
        <v>172060</v>
      </c>
      <c r="F39" s="14">
        <v>681496</v>
      </c>
      <c r="G39" s="14">
        <v>0</v>
      </c>
      <c r="H39" s="14">
        <v>0</v>
      </c>
      <c r="I39" s="14">
        <v>0</v>
      </c>
      <c r="J39" s="14">
        <v>14186</v>
      </c>
      <c r="K39" s="14">
        <v>420</v>
      </c>
      <c r="L39" s="14">
        <v>560321</v>
      </c>
      <c r="M39" s="14">
        <v>88820</v>
      </c>
      <c r="N39" s="14">
        <v>19918</v>
      </c>
      <c r="O39" s="14">
        <v>0</v>
      </c>
      <c r="P39" s="34">
        <v>1</v>
      </c>
      <c r="Q39" s="34">
        <v>9</v>
      </c>
      <c r="R39" s="34">
        <v>8</v>
      </c>
      <c r="S39" s="34">
        <v>5.5</v>
      </c>
      <c r="T39" s="34">
        <v>0</v>
      </c>
      <c r="U39" s="35">
        <v>30992</v>
      </c>
      <c r="V39" s="35">
        <v>0</v>
      </c>
      <c r="W39" s="36">
        <v>30992</v>
      </c>
      <c r="X39" s="35">
        <v>0</v>
      </c>
      <c r="Y39" s="36">
        <v>17466</v>
      </c>
      <c r="Z39" s="35">
        <v>0</v>
      </c>
      <c r="AA39" s="36" t="s">
        <v>111</v>
      </c>
      <c r="AB39" s="35">
        <v>0</v>
      </c>
      <c r="AC39" s="37" t="s">
        <v>110</v>
      </c>
      <c r="AD39" s="36">
        <v>76190</v>
      </c>
      <c r="AE39" s="35">
        <v>5424</v>
      </c>
      <c r="AF39" s="30">
        <v>0</v>
      </c>
      <c r="AG39" s="36">
        <v>2352</v>
      </c>
      <c r="AH39" s="36">
        <v>1082</v>
      </c>
      <c r="AI39" s="36">
        <v>1082</v>
      </c>
      <c r="AJ39" s="13">
        <v>69417</v>
      </c>
      <c r="AK39" s="13">
        <v>2461</v>
      </c>
      <c r="AL39" s="13">
        <v>10</v>
      </c>
      <c r="AM39" s="13">
        <v>197</v>
      </c>
      <c r="AN39" s="15">
        <v>9895</v>
      </c>
      <c r="AO39" s="15">
        <v>0</v>
      </c>
      <c r="AP39" s="15">
        <v>4557</v>
      </c>
      <c r="AQ39" s="13">
        <v>0</v>
      </c>
      <c r="AR39" s="13">
        <v>7946</v>
      </c>
      <c r="AS39" s="26">
        <v>1913</v>
      </c>
      <c r="AT39" s="30">
        <v>3000</v>
      </c>
      <c r="AU39" s="30">
        <v>1912.47</v>
      </c>
      <c r="AV39" s="30">
        <v>3</v>
      </c>
      <c r="AW39" s="26">
        <v>0</v>
      </c>
      <c r="AX39" s="26">
        <v>0</v>
      </c>
      <c r="AY39" s="30">
        <v>0</v>
      </c>
      <c r="AZ39" s="30">
        <v>1</v>
      </c>
      <c r="BA39" s="30">
        <v>8</v>
      </c>
      <c r="BB39" s="30">
        <v>0</v>
      </c>
      <c r="BC39" s="30">
        <v>0</v>
      </c>
      <c r="BD39" s="30">
        <v>131.25</v>
      </c>
      <c r="BE39" s="30">
        <v>0</v>
      </c>
      <c r="BF39" s="30">
        <v>13</v>
      </c>
      <c r="BG39" s="30">
        <v>0</v>
      </c>
      <c r="BH39" s="36" t="s">
        <v>110</v>
      </c>
      <c r="BI39" s="36">
        <v>8</v>
      </c>
      <c r="BJ39" s="36" t="s">
        <v>110</v>
      </c>
      <c r="BK39" s="54"/>
      <c r="BL39" s="30">
        <v>0</v>
      </c>
      <c r="BM39" s="53"/>
      <c r="BN39" s="36">
        <v>4</v>
      </c>
      <c r="BO39" s="36">
        <v>10</v>
      </c>
      <c r="BP39" s="36">
        <v>17</v>
      </c>
      <c r="BQ39" s="36">
        <v>0</v>
      </c>
      <c r="BR39" s="50"/>
      <c r="BS39" s="38">
        <v>5</v>
      </c>
      <c r="BT39" s="30">
        <v>73.099999999999994</v>
      </c>
      <c r="BU39" s="30">
        <v>27</v>
      </c>
      <c r="BV39" s="12"/>
    </row>
    <row r="40" spans="1:74" ht="12.75" x14ac:dyDescent="0.2">
      <c r="A40" s="11" t="s">
        <v>75</v>
      </c>
      <c r="B40" s="12"/>
      <c r="C40" s="13">
        <v>261156</v>
      </c>
      <c r="D40" s="14">
        <v>0</v>
      </c>
      <c r="E40" s="14">
        <v>1698745</v>
      </c>
      <c r="F40" s="14">
        <v>7993695</v>
      </c>
      <c r="G40" s="14">
        <v>0</v>
      </c>
      <c r="H40" s="14">
        <v>20348</v>
      </c>
      <c r="I40" s="14">
        <v>0</v>
      </c>
      <c r="J40" s="14">
        <v>82661</v>
      </c>
      <c r="K40" s="14">
        <v>105147</v>
      </c>
      <c r="L40" s="14">
        <v>6628110</v>
      </c>
      <c r="M40" s="14">
        <v>824678</v>
      </c>
      <c r="N40" s="14">
        <v>45512</v>
      </c>
      <c r="O40" s="14">
        <v>626584</v>
      </c>
      <c r="P40" s="34">
        <v>27</v>
      </c>
      <c r="Q40" s="34">
        <v>57</v>
      </c>
      <c r="R40" s="34">
        <v>26</v>
      </c>
      <c r="S40" s="34">
        <v>56.7</v>
      </c>
      <c r="T40" s="34">
        <v>0</v>
      </c>
      <c r="U40" s="35">
        <v>212285</v>
      </c>
      <c r="V40" s="35">
        <v>50661</v>
      </c>
      <c r="W40" s="36">
        <v>212285</v>
      </c>
      <c r="X40" s="36">
        <v>50661</v>
      </c>
      <c r="Y40" s="36">
        <v>99089</v>
      </c>
      <c r="Z40" s="36">
        <v>41997</v>
      </c>
      <c r="AA40" s="36" t="s">
        <v>110</v>
      </c>
      <c r="AB40" s="36">
        <v>62</v>
      </c>
      <c r="AC40" s="37" t="s">
        <v>110</v>
      </c>
      <c r="AD40" s="36">
        <v>862521</v>
      </c>
      <c r="AE40" s="36">
        <v>378011</v>
      </c>
      <c r="AF40" s="30">
        <v>0</v>
      </c>
      <c r="AG40" s="36">
        <v>75181</v>
      </c>
      <c r="AH40" s="36">
        <v>46256</v>
      </c>
      <c r="AI40" s="36">
        <v>38496</v>
      </c>
      <c r="AJ40" s="13">
        <v>723549</v>
      </c>
      <c r="AK40" s="36">
        <v>19373</v>
      </c>
      <c r="AL40" s="13">
        <v>0</v>
      </c>
      <c r="AM40" s="13">
        <v>11440</v>
      </c>
      <c r="AN40" s="15">
        <v>479110</v>
      </c>
      <c r="AO40" s="15">
        <v>175031</v>
      </c>
      <c r="AP40" s="13">
        <v>281923</v>
      </c>
      <c r="AQ40" s="13">
        <v>184723</v>
      </c>
      <c r="AR40" s="13">
        <v>70720</v>
      </c>
      <c r="AS40" s="26">
        <v>0</v>
      </c>
      <c r="AT40" s="30">
        <v>0</v>
      </c>
      <c r="AU40" s="30">
        <v>33571</v>
      </c>
      <c r="AV40" s="30">
        <v>9</v>
      </c>
      <c r="AW40" s="30">
        <v>7</v>
      </c>
      <c r="AX40" s="30">
        <v>0</v>
      </c>
      <c r="AY40" s="30">
        <v>0</v>
      </c>
      <c r="AZ40" s="30">
        <v>2</v>
      </c>
      <c r="BA40" s="30">
        <v>21</v>
      </c>
      <c r="BB40" s="30">
        <v>0</v>
      </c>
      <c r="BC40" s="30">
        <v>3</v>
      </c>
      <c r="BD40" s="30">
        <v>570</v>
      </c>
      <c r="BE40" s="30">
        <v>520</v>
      </c>
      <c r="BF40" s="30">
        <v>63</v>
      </c>
      <c r="BG40" s="30">
        <v>278</v>
      </c>
      <c r="BH40" s="36" t="s">
        <v>110</v>
      </c>
      <c r="BI40" s="36">
        <v>102</v>
      </c>
      <c r="BJ40" s="36" t="s">
        <v>110</v>
      </c>
      <c r="BK40" s="36">
        <v>12</v>
      </c>
      <c r="BL40" s="30">
        <v>10</v>
      </c>
      <c r="BM40" s="30">
        <v>358</v>
      </c>
      <c r="BN40" s="36">
        <v>101</v>
      </c>
      <c r="BO40" s="36">
        <v>20</v>
      </c>
      <c r="BP40" s="36">
        <v>125</v>
      </c>
      <c r="BQ40" s="36">
        <v>4</v>
      </c>
      <c r="BR40" s="50"/>
      <c r="BS40" s="38">
        <v>24</v>
      </c>
      <c r="BT40" s="30">
        <v>426</v>
      </c>
      <c r="BU40" s="30">
        <v>289</v>
      </c>
      <c r="BV40" s="12"/>
    </row>
    <row r="41" spans="1:74" ht="12.75" x14ac:dyDescent="0.2">
      <c r="A41" s="11" t="s">
        <v>28</v>
      </c>
      <c r="B41" s="12"/>
      <c r="C41" s="13">
        <v>109515</v>
      </c>
      <c r="D41" s="2">
        <v>0</v>
      </c>
      <c r="E41" s="14">
        <v>766691</v>
      </c>
      <c r="F41" s="14">
        <v>4762188.3899999997</v>
      </c>
      <c r="G41" s="2">
        <v>0</v>
      </c>
      <c r="H41" s="2">
        <v>0</v>
      </c>
      <c r="I41" s="14">
        <v>527288.59</v>
      </c>
      <c r="J41" s="14">
        <v>52776.15</v>
      </c>
      <c r="K41" s="14">
        <v>0</v>
      </c>
      <c r="L41" s="14">
        <v>4118828.45</v>
      </c>
      <c r="M41" s="2">
        <v>627091.88</v>
      </c>
      <c r="N41" s="14">
        <v>0</v>
      </c>
      <c r="O41" s="14">
        <v>287077</v>
      </c>
      <c r="P41" s="34">
        <v>18</v>
      </c>
      <c r="Q41" s="34">
        <v>39</v>
      </c>
      <c r="R41" s="34">
        <v>0</v>
      </c>
      <c r="S41" s="34">
        <v>45</v>
      </c>
      <c r="T41" s="34">
        <v>0</v>
      </c>
      <c r="U41" s="35">
        <v>188138</v>
      </c>
      <c r="V41" s="35">
        <v>43727</v>
      </c>
      <c r="W41" s="36">
        <v>182464</v>
      </c>
      <c r="X41" s="36">
        <v>43727</v>
      </c>
      <c r="Y41" s="36">
        <v>84596</v>
      </c>
      <c r="Z41" s="36">
        <v>43727</v>
      </c>
      <c r="AA41" s="36" t="s">
        <v>110</v>
      </c>
      <c r="AB41" s="36">
        <v>49</v>
      </c>
      <c r="AC41" s="37" t="s">
        <v>110</v>
      </c>
      <c r="AD41" s="36">
        <v>790021</v>
      </c>
      <c r="AE41" s="36">
        <v>211293</v>
      </c>
      <c r="AF41" s="30">
        <v>106</v>
      </c>
      <c r="AG41" s="36">
        <v>42484</v>
      </c>
      <c r="AH41" s="36">
        <v>22371</v>
      </c>
      <c r="AI41" s="36">
        <v>19044</v>
      </c>
      <c r="AJ41" s="13">
        <v>517476</v>
      </c>
      <c r="AK41" s="13">
        <v>0</v>
      </c>
      <c r="AL41" s="13">
        <v>0</v>
      </c>
      <c r="AM41" s="13">
        <v>1716</v>
      </c>
      <c r="AN41" s="15">
        <v>320241</v>
      </c>
      <c r="AO41" s="15">
        <v>2622849</v>
      </c>
      <c r="AP41" s="13">
        <v>90525</v>
      </c>
      <c r="AQ41" s="13">
        <v>13731</v>
      </c>
      <c r="AR41" s="13">
        <v>33043</v>
      </c>
      <c r="AS41" s="26">
        <v>87972</v>
      </c>
      <c r="AT41" s="26">
        <v>9721</v>
      </c>
      <c r="AU41" s="26">
        <v>37331</v>
      </c>
      <c r="AV41" s="26">
        <v>5</v>
      </c>
      <c r="AW41" s="26">
        <v>0</v>
      </c>
      <c r="AX41" s="30">
        <v>0</v>
      </c>
      <c r="AY41" s="30">
        <v>0</v>
      </c>
      <c r="AZ41" s="30">
        <v>0</v>
      </c>
      <c r="BA41" s="30">
        <v>0</v>
      </c>
      <c r="BB41" s="30">
        <v>0</v>
      </c>
      <c r="BC41" s="30">
        <v>0</v>
      </c>
      <c r="BD41" s="30">
        <v>230</v>
      </c>
      <c r="BE41" s="30">
        <v>0</v>
      </c>
      <c r="BF41" s="30">
        <v>0</v>
      </c>
      <c r="BG41" s="30">
        <v>0</v>
      </c>
      <c r="BH41" s="36" t="s">
        <v>110</v>
      </c>
      <c r="BI41" s="36">
        <v>162</v>
      </c>
      <c r="BJ41" s="36" t="s">
        <v>110</v>
      </c>
      <c r="BK41" s="36">
        <v>12</v>
      </c>
      <c r="BL41" s="30">
        <v>4</v>
      </c>
      <c r="BM41" s="30">
        <v>6228</v>
      </c>
      <c r="BN41" s="36">
        <v>17</v>
      </c>
      <c r="BO41" s="36">
        <v>32</v>
      </c>
      <c r="BP41" s="36">
        <v>43</v>
      </c>
      <c r="BQ41" s="36">
        <v>14</v>
      </c>
      <c r="BR41" s="50"/>
      <c r="BS41" s="38">
        <v>7</v>
      </c>
      <c r="BT41" s="30">
        <v>321</v>
      </c>
      <c r="BU41" s="30">
        <v>233</v>
      </c>
      <c r="BV41" s="12"/>
    </row>
    <row r="42" spans="1:74" ht="12.75" x14ac:dyDescent="0.2">
      <c r="A42" s="11" t="s">
        <v>29</v>
      </c>
      <c r="B42" s="12"/>
      <c r="C42" s="13">
        <v>111335</v>
      </c>
      <c r="D42" s="14">
        <v>0</v>
      </c>
      <c r="E42" s="14">
        <v>813406</v>
      </c>
      <c r="F42" s="14">
        <v>4709519</v>
      </c>
      <c r="G42" s="14">
        <v>0</v>
      </c>
      <c r="H42" s="14">
        <v>0</v>
      </c>
      <c r="I42" s="14">
        <v>955399.99</v>
      </c>
      <c r="J42" s="14">
        <v>2312</v>
      </c>
      <c r="K42" s="14">
        <v>64792</v>
      </c>
      <c r="L42" s="14">
        <v>3741396</v>
      </c>
      <c r="M42" s="14">
        <v>479838</v>
      </c>
      <c r="N42" s="14">
        <v>140486.92000000001</v>
      </c>
      <c r="O42" s="14">
        <v>348818</v>
      </c>
      <c r="P42" s="34">
        <v>26</v>
      </c>
      <c r="Q42" s="34">
        <v>16</v>
      </c>
      <c r="R42" s="34">
        <v>10</v>
      </c>
      <c r="S42" s="34">
        <v>39.299999999999997</v>
      </c>
      <c r="T42" s="34">
        <v>4.3</v>
      </c>
      <c r="U42" s="35">
        <v>109758</v>
      </c>
      <c r="V42" s="35">
        <v>18144</v>
      </c>
      <c r="W42" s="36">
        <v>103449</v>
      </c>
      <c r="X42" s="36">
        <v>18144</v>
      </c>
      <c r="Y42" s="36">
        <v>65305</v>
      </c>
      <c r="Z42" s="36">
        <v>14329</v>
      </c>
      <c r="AA42" s="36" t="s">
        <v>110</v>
      </c>
      <c r="AB42" s="36">
        <v>2</v>
      </c>
      <c r="AC42" s="37" t="s">
        <v>110</v>
      </c>
      <c r="AD42" s="36">
        <v>540177</v>
      </c>
      <c r="AE42" s="36">
        <v>181842</v>
      </c>
      <c r="AF42" s="30" t="s">
        <v>44</v>
      </c>
      <c r="AG42" s="36">
        <v>39391</v>
      </c>
      <c r="AH42" s="36">
        <v>15302</v>
      </c>
      <c r="AI42" s="36">
        <v>14673</v>
      </c>
      <c r="AJ42" s="13">
        <v>358335</v>
      </c>
      <c r="AK42" s="13">
        <v>0</v>
      </c>
      <c r="AL42" s="13">
        <v>14398</v>
      </c>
      <c r="AM42" s="13">
        <v>1612</v>
      </c>
      <c r="AN42" s="15">
        <v>191866</v>
      </c>
      <c r="AO42" s="15">
        <v>165471</v>
      </c>
      <c r="AP42" s="15">
        <v>101652</v>
      </c>
      <c r="AQ42" s="13">
        <v>122953</v>
      </c>
      <c r="AR42" s="13">
        <v>19442</v>
      </c>
      <c r="AS42" s="26">
        <v>0</v>
      </c>
      <c r="AT42" s="26">
        <v>0</v>
      </c>
      <c r="AU42" s="26">
        <v>17561</v>
      </c>
      <c r="AV42" s="26">
        <v>4</v>
      </c>
      <c r="AW42" s="26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2</v>
      </c>
      <c r="BD42" s="30">
        <v>203</v>
      </c>
      <c r="BE42" s="30">
        <v>0</v>
      </c>
      <c r="BF42" s="30">
        <v>0</v>
      </c>
      <c r="BG42" s="30">
        <v>0</v>
      </c>
      <c r="BH42" s="36" t="s">
        <v>110</v>
      </c>
      <c r="BI42" s="36">
        <v>309</v>
      </c>
      <c r="BJ42" s="36" t="s">
        <v>111</v>
      </c>
      <c r="BK42" s="54"/>
      <c r="BL42" s="30">
        <v>3</v>
      </c>
      <c r="BM42" s="30">
        <v>544</v>
      </c>
      <c r="BN42" s="36">
        <v>6</v>
      </c>
      <c r="BO42" s="36">
        <v>10</v>
      </c>
      <c r="BP42" s="36">
        <v>24</v>
      </c>
      <c r="BQ42" s="36">
        <v>8</v>
      </c>
      <c r="BR42" s="38">
        <v>7.7</v>
      </c>
      <c r="BS42" s="38">
        <v>6</v>
      </c>
      <c r="BT42" s="30">
        <v>43</v>
      </c>
      <c r="BU42" s="30">
        <v>43</v>
      </c>
      <c r="BV42" s="12"/>
    </row>
    <row r="43" spans="1:74" ht="12.75" x14ac:dyDescent="0.2">
      <c r="A43" s="11" t="s">
        <v>30</v>
      </c>
      <c r="B43" s="12"/>
      <c r="C43" s="13">
        <v>21212</v>
      </c>
      <c r="D43" s="14">
        <v>0</v>
      </c>
      <c r="E43" s="14">
        <v>224788</v>
      </c>
      <c r="F43" s="14">
        <v>1179288</v>
      </c>
      <c r="G43" s="14">
        <v>0</v>
      </c>
      <c r="H43" s="14">
        <v>0</v>
      </c>
      <c r="I43" s="14">
        <v>43315</v>
      </c>
      <c r="J43" s="14">
        <v>21965</v>
      </c>
      <c r="K43" s="14">
        <v>120618</v>
      </c>
      <c r="L43" s="14">
        <v>840719</v>
      </c>
      <c r="M43" s="14">
        <v>145354</v>
      </c>
      <c r="N43" s="14">
        <v>18025</v>
      </c>
      <c r="O43" s="14">
        <v>38894</v>
      </c>
      <c r="P43" s="34">
        <v>6</v>
      </c>
      <c r="Q43" s="34">
        <v>6</v>
      </c>
      <c r="R43" s="34">
        <v>0</v>
      </c>
      <c r="S43" s="34">
        <v>8.77</v>
      </c>
      <c r="T43" s="34">
        <v>0</v>
      </c>
      <c r="U43" s="35">
        <v>90458</v>
      </c>
      <c r="V43" s="35">
        <v>22978</v>
      </c>
      <c r="W43" s="36">
        <v>75955</v>
      </c>
      <c r="X43" s="36">
        <v>22978</v>
      </c>
      <c r="Y43" s="36">
        <v>35115</v>
      </c>
      <c r="Z43" s="36">
        <v>12349</v>
      </c>
      <c r="AA43" s="36" t="s">
        <v>111</v>
      </c>
      <c r="AB43" s="36">
        <v>0</v>
      </c>
      <c r="AC43" s="37" t="s">
        <v>110</v>
      </c>
      <c r="AD43" s="36">
        <v>86122</v>
      </c>
      <c r="AE43" s="36">
        <v>22245</v>
      </c>
      <c r="AF43" s="30">
        <v>7</v>
      </c>
      <c r="AG43" s="36">
        <v>5269</v>
      </c>
      <c r="AH43" s="36">
        <v>2378</v>
      </c>
      <c r="AI43" s="36">
        <v>2289</v>
      </c>
      <c r="AJ43" s="13">
        <v>48982</v>
      </c>
      <c r="AK43" s="13">
        <v>6224</v>
      </c>
      <c r="AL43" s="13">
        <v>231</v>
      </c>
      <c r="AM43" s="13">
        <v>3192</v>
      </c>
      <c r="AN43" s="15">
        <v>22429</v>
      </c>
      <c r="AO43" s="15">
        <v>7619</v>
      </c>
      <c r="AP43" s="15">
        <v>8325</v>
      </c>
      <c r="AQ43" s="15">
        <v>2023</v>
      </c>
      <c r="AR43" s="13">
        <v>14978</v>
      </c>
      <c r="AS43" s="30">
        <v>1800</v>
      </c>
      <c r="AT43" s="30">
        <v>935.43</v>
      </c>
      <c r="AU43" s="30">
        <v>1270</v>
      </c>
      <c r="AV43" s="30">
        <v>2</v>
      </c>
      <c r="AW43" s="26">
        <v>0</v>
      </c>
      <c r="AX43" s="30">
        <v>0</v>
      </c>
      <c r="AY43" s="30">
        <v>0</v>
      </c>
      <c r="AZ43" s="30">
        <v>1</v>
      </c>
      <c r="BA43" s="30">
        <v>18</v>
      </c>
      <c r="BB43" s="30">
        <v>0</v>
      </c>
      <c r="BC43" s="30">
        <v>0</v>
      </c>
      <c r="BD43" s="30">
        <v>55</v>
      </c>
      <c r="BE43" s="30">
        <v>0</v>
      </c>
      <c r="BF43" s="30">
        <v>8.25</v>
      </c>
      <c r="BG43" s="30">
        <v>0</v>
      </c>
      <c r="BH43" s="36" t="s">
        <v>110</v>
      </c>
      <c r="BI43" s="36">
        <v>22</v>
      </c>
      <c r="BJ43" s="36" t="s">
        <v>111</v>
      </c>
      <c r="BK43" s="54"/>
      <c r="BL43" s="30">
        <v>3</v>
      </c>
      <c r="BM43" s="30">
        <v>807.5</v>
      </c>
      <c r="BN43" s="36">
        <v>4</v>
      </c>
      <c r="BO43" s="36">
        <v>78</v>
      </c>
      <c r="BP43" s="36">
        <v>16</v>
      </c>
      <c r="BQ43" s="36">
        <v>3</v>
      </c>
      <c r="BR43" s="50"/>
      <c r="BS43" s="38">
        <v>5.75</v>
      </c>
      <c r="BT43" s="30">
        <v>82</v>
      </c>
      <c r="BU43" s="30">
        <v>44</v>
      </c>
      <c r="BV43" s="12"/>
    </row>
    <row r="44" spans="1:74" ht="12.75" x14ac:dyDescent="0.2">
      <c r="A44" s="11" t="s">
        <v>31</v>
      </c>
      <c r="B44" s="12"/>
      <c r="C44" s="13">
        <v>6243</v>
      </c>
      <c r="D44" s="18">
        <v>0</v>
      </c>
      <c r="E44" s="18">
        <v>119418</v>
      </c>
      <c r="F44" s="18">
        <v>26898.43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111551</v>
      </c>
      <c r="M44" s="18">
        <v>26898.43</v>
      </c>
      <c r="N44" s="18">
        <v>0</v>
      </c>
      <c r="O44" s="18">
        <v>0</v>
      </c>
      <c r="P44" s="51"/>
      <c r="Q44" s="51"/>
      <c r="R44" s="51"/>
      <c r="S44" s="34">
        <v>2.7</v>
      </c>
      <c r="T44" s="34">
        <v>0</v>
      </c>
      <c r="U44" s="35">
        <v>14542</v>
      </c>
      <c r="V44" s="35">
        <v>8804</v>
      </c>
      <c r="W44" s="36">
        <v>14542</v>
      </c>
      <c r="X44" s="36">
        <v>8804</v>
      </c>
      <c r="Y44" s="36">
        <v>5297</v>
      </c>
      <c r="Z44" s="36">
        <v>8804</v>
      </c>
      <c r="AA44" s="54"/>
      <c r="AB44" s="54"/>
      <c r="AC44" s="37" t="s">
        <v>110</v>
      </c>
      <c r="AD44" s="36">
        <v>10000</v>
      </c>
      <c r="AE44" s="36">
        <v>10000</v>
      </c>
      <c r="AF44" s="30">
        <v>0</v>
      </c>
      <c r="AG44" s="36">
        <v>1168</v>
      </c>
      <c r="AH44" s="54"/>
      <c r="AI44" s="36">
        <v>434</v>
      </c>
      <c r="AJ44" s="13">
        <v>10746</v>
      </c>
      <c r="AK44" s="13">
        <v>0</v>
      </c>
      <c r="AL44" s="13">
        <v>0</v>
      </c>
      <c r="AM44" s="13">
        <v>0</v>
      </c>
      <c r="AN44" s="16"/>
      <c r="AO44" s="16"/>
      <c r="AP44" s="16"/>
      <c r="AQ44" s="16"/>
      <c r="AR44" s="13">
        <v>345</v>
      </c>
      <c r="AS44" s="49"/>
      <c r="AT44" s="49"/>
      <c r="AU44" s="26">
        <v>1057</v>
      </c>
      <c r="AV44" s="26">
        <v>2</v>
      </c>
      <c r="AW44" s="49"/>
      <c r="AX44" s="49"/>
      <c r="AY44" s="53"/>
      <c r="AZ44" s="53"/>
      <c r="BA44" s="53"/>
      <c r="BB44" s="53"/>
      <c r="BC44" s="53"/>
      <c r="BD44" s="30">
        <v>72.5</v>
      </c>
      <c r="BE44" s="30">
        <v>0</v>
      </c>
      <c r="BF44" s="53"/>
      <c r="BG44" s="53"/>
      <c r="BH44" s="54"/>
      <c r="BI44" s="54"/>
      <c r="BJ44" s="54"/>
      <c r="BK44" s="54"/>
      <c r="BL44" s="49"/>
      <c r="BM44" s="49"/>
      <c r="BN44" s="54"/>
      <c r="BO44" s="54"/>
      <c r="BP44" s="36">
        <v>7</v>
      </c>
      <c r="BQ44" s="50"/>
      <c r="BR44" s="50"/>
      <c r="BS44" s="52"/>
      <c r="BT44" s="53"/>
      <c r="BU44" s="53"/>
      <c r="BV44" s="12"/>
    </row>
    <row r="45" spans="1:74" ht="12.75" x14ac:dyDescent="0.2">
      <c r="A45" s="11" t="s">
        <v>56</v>
      </c>
      <c r="B45" s="12"/>
      <c r="C45" s="29"/>
      <c r="D45" s="14">
        <v>0</v>
      </c>
      <c r="E45" s="14">
        <v>2413199</v>
      </c>
      <c r="F45" s="14">
        <v>0</v>
      </c>
      <c r="G45" s="2">
        <v>0</v>
      </c>
      <c r="H45" s="2">
        <v>0</v>
      </c>
      <c r="I45" s="2">
        <v>0</v>
      </c>
      <c r="J45" s="14">
        <v>135531</v>
      </c>
      <c r="K45" s="14">
        <v>1166419</v>
      </c>
      <c r="L45" s="14">
        <v>1021886</v>
      </c>
      <c r="M45" s="14">
        <v>668852</v>
      </c>
      <c r="N45" s="14">
        <v>15988</v>
      </c>
      <c r="O45" s="14">
        <v>0</v>
      </c>
      <c r="P45" s="34">
        <v>7</v>
      </c>
      <c r="Q45" s="34">
        <v>4</v>
      </c>
      <c r="R45" s="34">
        <v>0</v>
      </c>
      <c r="S45" s="34">
        <v>9.9</v>
      </c>
      <c r="T45" s="34">
        <v>0</v>
      </c>
      <c r="U45" s="35">
        <v>4201</v>
      </c>
      <c r="V45" s="35">
        <v>67559</v>
      </c>
      <c r="W45" s="36">
        <v>4201</v>
      </c>
      <c r="X45" s="36">
        <v>67559</v>
      </c>
      <c r="Y45" s="36">
        <v>178</v>
      </c>
      <c r="Z45" s="36">
        <v>14152</v>
      </c>
      <c r="AA45" s="36" t="s">
        <v>111</v>
      </c>
      <c r="AB45" s="36">
        <v>0</v>
      </c>
      <c r="AC45" s="37" t="s">
        <v>111</v>
      </c>
      <c r="AD45" s="36">
        <v>3125</v>
      </c>
      <c r="AE45" s="36">
        <v>459401</v>
      </c>
      <c r="AF45" s="30">
        <v>0</v>
      </c>
      <c r="AG45" s="36">
        <v>16167</v>
      </c>
      <c r="AH45" s="36">
        <v>7507</v>
      </c>
      <c r="AI45" s="36">
        <v>7507</v>
      </c>
      <c r="AJ45" s="13">
        <v>119</v>
      </c>
      <c r="AK45" s="13">
        <v>0</v>
      </c>
      <c r="AL45" s="13">
        <v>0</v>
      </c>
      <c r="AM45" s="13">
        <v>0</v>
      </c>
      <c r="AN45" s="16"/>
      <c r="AO45" s="16"/>
      <c r="AP45" s="16"/>
      <c r="AQ45" s="13">
        <v>0</v>
      </c>
      <c r="AR45" s="13">
        <v>1286</v>
      </c>
      <c r="AS45" s="26">
        <v>0</v>
      </c>
      <c r="AT45" s="26">
        <v>0</v>
      </c>
      <c r="AU45" s="26">
        <v>0</v>
      </c>
      <c r="AV45" s="26">
        <v>1</v>
      </c>
      <c r="AW45" s="26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40</v>
      </c>
      <c r="BE45" s="30">
        <v>0</v>
      </c>
      <c r="BF45" s="30">
        <v>0</v>
      </c>
      <c r="BG45" s="30">
        <v>0</v>
      </c>
      <c r="BH45" s="36" t="s">
        <v>111</v>
      </c>
      <c r="BI45" s="54"/>
      <c r="BJ45" s="54"/>
      <c r="BK45" s="54"/>
      <c r="BL45" s="54"/>
      <c r="BM45" s="49"/>
      <c r="BN45" s="36">
        <v>9</v>
      </c>
      <c r="BO45" s="36">
        <v>40</v>
      </c>
      <c r="BP45" s="36">
        <v>3</v>
      </c>
      <c r="BQ45" s="36">
        <v>0</v>
      </c>
      <c r="BR45" s="52"/>
      <c r="BS45" s="38">
        <v>40</v>
      </c>
      <c r="BT45" s="30">
        <v>60</v>
      </c>
      <c r="BU45" s="30">
        <v>50</v>
      </c>
      <c r="BV45" s="12"/>
    </row>
    <row r="46" spans="1:74" ht="12.75" x14ac:dyDescent="0.2">
      <c r="A46" s="11" t="s">
        <v>73</v>
      </c>
      <c r="B46" s="12"/>
      <c r="C46" s="13">
        <v>35907</v>
      </c>
      <c r="D46" s="18">
        <v>0</v>
      </c>
      <c r="E46" s="18">
        <v>295956</v>
      </c>
      <c r="F46" s="18">
        <v>1524098</v>
      </c>
      <c r="G46" s="18">
        <v>0</v>
      </c>
      <c r="H46" s="18">
        <v>0</v>
      </c>
      <c r="I46" s="18">
        <v>39900</v>
      </c>
      <c r="J46" s="18">
        <v>24175</v>
      </c>
      <c r="K46" s="18">
        <v>411149</v>
      </c>
      <c r="L46" s="18">
        <v>1167333</v>
      </c>
      <c r="M46" s="18">
        <v>190761</v>
      </c>
      <c r="N46" s="18">
        <v>0</v>
      </c>
      <c r="O46" s="18">
        <v>141033</v>
      </c>
      <c r="P46" s="34">
        <v>7</v>
      </c>
      <c r="Q46" s="34">
        <v>9</v>
      </c>
      <c r="R46" s="34">
        <v>8</v>
      </c>
      <c r="S46" s="34">
        <v>11.6</v>
      </c>
      <c r="T46" s="34">
        <v>1.1599999999999999</v>
      </c>
      <c r="U46" s="35">
        <v>59285</v>
      </c>
      <c r="V46" s="35">
        <v>32319</v>
      </c>
      <c r="W46" s="36">
        <v>57951</v>
      </c>
      <c r="X46" s="36">
        <v>32318</v>
      </c>
      <c r="Y46" s="36">
        <v>44216</v>
      </c>
      <c r="Z46" s="36">
        <v>30787</v>
      </c>
      <c r="AA46" s="36" t="s">
        <v>111</v>
      </c>
      <c r="AB46" s="36">
        <v>0</v>
      </c>
      <c r="AC46" s="37" t="s">
        <v>110</v>
      </c>
      <c r="AD46" s="36">
        <v>232186</v>
      </c>
      <c r="AE46" s="36">
        <v>40934</v>
      </c>
      <c r="AF46" s="30">
        <v>0</v>
      </c>
      <c r="AG46" s="36">
        <v>14283</v>
      </c>
      <c r="AH46" s="36">
        <v>10042</v>
      </c>
      <c r="AI46" s="36">
        <v>7142</v>
      </c>
      <c r="AJ46" s="13">
        <v>189438</v>
      </c>
      <c r="AK46" s="13">
        <v>0</v>
      </c>
      <c r="AL46" s="13">
        <v>927</v>
      </c>
      <c r="AM46" s="13">
        <v>1635</v>
      </c>
      <c r="AN46" s="13">
        <v>102938</v>
      </c>
      <c r="AO46" s="13">
        <v>81216</v>
      </c>
      <c r="AP46" s="13">
        <v>42034</v>
      </c>
      <c r="AQ46" s="13">
        <v>0</v>
      </c>
      <c r="AR46" s="13">
        <v>17942</v>
      </c>
      <c r="AS46" s="30">
        <v>15879</v>
      </c>
      <c r="AT46" s="30">
        <v>3902.41</v>
      </c>
      <c r="AU46" s="30">
        <v>3473.5</v>
      </c>
      <c r="AV46" s="30">
        <v>1</v>
      </c>
      <c r="AW46" s="26">
        <v>0</v>
      </c>
      <c r="AX46" s="30">
        <v>0</v>
      </c>
      <c r="AY46" s="30">
        <v>0</v>
      </c>
      <c r="AZ46" s="30">
        <v>0</v>
      </c>
      <c r="BA46" s="30">
        <v>0</v>
      </c>
      <c r="BB46" s="30">
        <v>1</v>
      </c>
      <c r="BC46" s="30">
        <v>0</v>
      </c>
      <c r="BD46" s="30">
        <v>47</v>
      </c>
      <c r="BE46" s="30">
        <v>0</v>
      </c>
      <c r="BF46" s="30">
        <v>0</v>
      </c>
      <c r="BG46" s="30">
        <v>0</v>
      </c>
      <c r="BH46" s="36" t="s">
        <v>110</v>
      </c>
      <c r="BI46" s="36">
        <v>81</v>
      </c>
      <c r="BJ46" s="36" t="s">
        <v>110</v>
      </c>
      <c r="BK46" s="36">
        <v>10</v>
      </c>
      <c r="BL46" s="30">
        <v>4</v>
      </c>
      <c r="BM46" s="30">
        <v>2144</v>
      </c>
      <c r="BN46" s="36">
        <v>3</v>
      </c>
      <c r="BO46" s="36">
        <v>35</v>
      </c>
      <c r="BP46" s="36">
        <v>25</v>
      </c>
      <c r="BQ46" s="36">
        <v>2</v>
      </c>
      <c r="BR46" s="38">
        <v>7.4</v>
      </c>
      <c r="BS46" s="38">
        <v>4</v>
      </c>
      <c r="BT46" s="30">
        <v>120</v>
      </c>
      <c r="BU46" s="30">
        <v>97</v>
      </c>
      <c r="BV46" s="12"/>
    </row>
    <row r="47" spans="1:74" ht="12.75" x14ac:dyDescent="0.2">
      <c r="A47" s="11" t="s">
        <v>32</v>
      </c>
      <c r="B47" s="12"/>
      <c r="C47" s="13">
        <v>46124</v>
      </c>
      <c r="D47" s="14">
        <v>0</v>
      </c>
      <c r="E47" s="14">
        <v>380090.59</v>
      </c>
      <c r="F47" s="14">
        <v>1723717.07</v>
      </c>
      <c r="G47" s="14">
        <v>0</v>
      </c>
      <c r="H47" s="14">
        <v>5083.41</v>
      </c>
      <c r="I47" s="14">
        <v>241497.44</v>
      </c>
      <c r="J47" s="14">
        <v>21225.75</v>
      </c>
      <c r="K47" s="14">
        <v>9822.23</v>
      </c>
      <c r="L47" s="14">
        <v>1392511.61</v>
      </c>
      <c r="M47" s="14">
        <v>219985.13</v>
      </c>
      <c r="N47" s="14">
        <v>38463.78</v>
      </c>
      <c r="O47" s="14">
        <v>69640.72</v>
      </c>
      <c r="P47" s="34">
        <v>4</v>
      </c>
      <c r="Q47" s="34">
        <v>9</v>
      </c>
      <c r="R47" s="34">
        <v>17</v>
      </c>
      <c r="S47" s="34">
        <v>11.48</v>
      </c>
      <c r="T47" s="34">
        <v>3.54</v>
      </c>
      <c r="U47" s="35">
        <v>91753</v>
      </c>
      <c r="V47" s="35">
        <v>11302</v>
      </c>
      <c r="W47" s="36">
        <v>85914</v>
      </c>
      <c r="X47" s="36">
        <v>11302</v>
      </c>
      <c r="Y47" s="36">
        <v>44675</v>
      </c>
      <c r="Z47" s="36">
        <v>10982</v>
      </c>
      <c r="AA47" s="36" t="s">
        <v>110</v>
      </c>
      <c r="AB47" s="36">
        <v>0</v>
      </c>
      <c r="AC47" s="37" t="s">
        <v>110</v>
      </c>
      <c r="AD47" s="36">
        <v>181097</v>
      </c>
      <c r="AE47" s="36">
        <v>47893</v>
      </c>
      <c r="AF47" s="30">
        <v>0</v>
      </c>
      <c r="AG47" s="36">
        <v>12054</v>
      </c>
      <c r="AH47" s="36">
        <v>4840</v>
      </c>
      <c r="AI47" s="36">
        <v>4840</v>
      </c>
      <c r="AJ47" s="13">
        <v>245764</v>
      </c>
      <c r="AK47" s="13">
        <v>0</v>
      </c>
      <c r="AL47" s="13">
        <v>41</v>
      </c>
      <c r="AM47" s="13">
        <v>998</v>
      </c>
      <c r="AN47" s="15">
        <v>33681</v>
      </c>
      <c r="AO47" s="15">
        <v>16961</v>
      </c>
      <c r="AP47" s="15">
        <v>9518</v>
      </c>
      <c r="AQ47" s="13">
        <v>9504</v>
      </c>
      <c r="AR47" s="13">
        <v>15015</v>
      </c>
      <c r="AS47" s="26">
        <v>58294</v>
      </c>
      <c r="AT47" s="26">
        <v>3347</v>
      </c>
      <c r="AU47" s="26">
        <v>6303</v>
      </c>
      <c r="AV47" s="26">
        <v>6</v>
      </c>
      <c r="AW47" s="26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1</v>
      </c>
      <c r="BC47" s="30">
        <v>4</v>
      </c>
      <c r="BD47" s="30">
        <v>186</v>
      </c>
      <c r="BE47" s="30">
        <v>0</v>
      </c>
      <c r="BF47" s="30">
        <v>0</v>
      </c>
      <c r="BG47" s="30">
        <v>7</v>
      </c>
      <c r="BH47" s="36" t="s">
        <v>110</v>
      </c>
      <c r="BI47" s="36">
        <v>31</v>
      </c>
      <c r="BJ47" s="36" t="s">
        <v>111</v>
      </c>
      <c r="BK47" s="54"/>
      <c r="BL47" s="30">
        <v>0</v>
      </c>
      <c r="BM47" s="53"/>
      <c r="BN47" s="36">
        <v>6</v>
      </c>
      <c r="BO47" s="36">
        <v>37</v>
      </c>
      <c r="BP47" s="36">
        <v>34</v>
      </c>
      <c r="BQ47" s="36">
        <v>3</v>
      </c>
      <c r="BR47" s="38">
        <v>8.92</v>
      </c>
      <c r="BS47" s="38">
        <v>8.5</v>
      </c>
      <c r="BT47" s="30">
        <v>121</v>
      </c>
      <c r="BU47" s="30">
        <v>90</v>
      </c>
      <c r="BV47" s="12"/>
    </row>
    <row r="48" spans="1:74" ht="12.75" x14ac:dyDescent="0.2">
      <c r="A48" s="11" t="s">
        <v>54</v>
      </c>
      <c r="B48" s="12"/>
      <c r="C48" s="13">
        <v>308153</v>
      </c>
      <c r="D48" s="14">
        <v>0</v>
      </c>
      <c r="E48" s="14">
        <v>2050953</v>
      </c>
      <c r="F48" s="14">
        <v>9928514</v>
      </c>
      <c r="G48" s="14">
        <v>0</v>
      </c>
      <c r="H48" s="14">
        <v>0</v>
      </c>
      <c r="I48" s="14">
        <v>283087</v>
      </c>
      <c r="J48" s="14">
        <v>111274</v>
      </c>
      <c r="K48" s="14">
        <v>291737</v>
      </c>
      <c r="L48" s="14">
        <v>8340255</v>
      </c>
      <c r="M48" s="14">
        <v>1293902</v>
      </c>
      <c r="N48" s="14">
        <v>301485</v>
      </c>
      <c r="O48" s="14">
        <v>570149</v>
      </c>
      <c r="P48" s="34">
        <v>27</v>
      </c>
      <c r="Q48" s="34">
        <v>82</v>
      </c>
      <c r="R48" s="34">
        <v>18</v>
      </c>
      <c r="S48" s="34">
        <v>75.33</v>
      </c>
      <c r="T48" s="34">
        <v>4</v>
      </c>
      <c r="U48" s="35">
        <v>357517</v>
      </c>
      <c r="V48" s="35">
        <v>66343</v>
      </c>
      <c r="W48" s="36">
        <v>345997</v>
      </c>
      <c r="X48" s="36">
        <v>66343</v>
      </c>
      <c r="Y48" s="36">
        <v>229932</v>
      </c>
      <c r="Z48" s="36">
        <v>29849</v>
      </c>
      <c r="AA48" s="36" t="s">
        <v>110</v>
      </c>
      <c r="AB48" s="36">
        <v>269</v>
      </c>
      <c r="AC48" s="37" t="s">
        <v>110</v>
      </c>
      <c r="AD48" s="36">
        <v>2511896</v>
      </c>
      <c r="AE48" s="36">
        <v>802179</v>
      </c>
      <c r="AF48" s="30">
        <v>94</v>
      </c>
      <c r="AG48" s="36">
        <v>83591</v>
      </c>
      <c r="AH48" s="36">
        <v>58166</v>
      </c>
      <c r="AI48" s="36">
        <v>40933</v>
      </c>
      <c r="AJ48" s="13">
        <v>932557</v>
      </c>
      <c r="AK48" s="13">
        <v>0</v>
      </c>
      <c r="AL48" s="13">
        <v>9083</v>
      </c>
      <c r="AM48" s="13">
        <v>6198</v>
      </c>
      <c r="AN48" s="13">
        <v>896875</v>
      </c>
      <c r="AO48" s="13">
        <v>440573</v>
      </c>
      <c r="AP48" s="13">
        <v>204822</v>
      </c>
      <c r="AQ48" s="13">
        <v>292245</v>
      </c>
      <c r="AR48" s="13">
        <v>67677</v>
      </c>
      <c r="AS48" s="30">
        <v>338866</v>
      </c>
      <c r="AT48" s="30">
        <v>181000</v>
      </c>
      <c r="AU48" s="30">
        <v>132301</v>
      </c>
      <c r="AV48" s="30">
        <v>8</v>
      </c>
      <c r="AW48" s="26">
        <v>1</v>
      </c>
      <c r="AX48" s="30">
        <v>0</v>
      </c>
      <c r="AY48" s="30">
        <v>0</v>
      </c>
      <c r="AZ48" s="30">
        <v>0</v>
      </c>
      <c r="BA48" s="30">
        <v>0</v>
      </c>
      <c r="BB48" s="30">
        <v>2</v>
      </c>
      <c r="BC48" s="30">
        <v>0</v>
      </c>
      <c r="BD48" s="30">
        <v>395</v>
      </c>
      <c r="BE48" s="30">
        <v>71</v>
      </c>
      <c r="BF48" s="30">
        <v>0</v>
      </c>
      <c r="BG48" s="30">
        <v>0</v>
      </c>
      <c r="BH48" s="36" t="s">
        <v>110</v>
      </c>
      <c r="BI48" s="36">
        <v>524</v>
      </c>
      <c r="BJ48" s="36" t="s">
        <v>110</v>
      </c>
      <c r="BK48" s="36">
        <v>52</v>
      </c>
      <c r="BL48" s="30">
        <v>5</v>
      </c>
      <c r="BM48" s="30">
        <v>1342</v>
      </c>
      <c r="BN48" s="36">
        <v>12</v>
      </c>
      <c r="BO48" s="36">
        <v>176</v>
      </c>
      <c r="BP48" s="36">
        <v>89</v>
      </c>
      <c r="BQ48" s="36">
        <v>22</v>
      </c>
      <c r="BR48" s="28">
        <v>9</v>
      </c>
      <c r="BS48" s="38">
        <v>23</v>
      </c>
      <c r="BT48" s="30">
        <v>451</v>
      </c>
      <c r="BU48" s="30">
        <v>454</v>
      </c>
      <c r="BV48" s="12"/>
    </row>
    <row r="49" spans="1:74" ht="12.75" x14ac:dyDescent="0.2">
      <c r="A49" s="11" t="s">
        <v>36</v>
      </c>
      <c r="B49" s="12"/>
      <c r="C49" s="13">
        <v>24248</v>
      </c>
      <c r="D49" s="2">
        <v>0</v>
      </c>
      <c r="E49" s="14">
        <v>323133</v>
      </c>
      <c r="F49" s="2">
        <v>690364.60999999987</v>
      </c>
      <c r="G49" s="2">
        <v>0</v>
      </c>
      <c r="H49" s="2">
        <v>0</v>
      </c>
      <c r="I49" s="2">
        <v>42486.69</v>
      </c>
      <c r="J49" s="14">
        <v>12525.84</v>
      </c>
      <c r="K49" s="14">
        <v>25885</v>
      </c>
      <c r="L49" s="14">
        <v>607744.55999999982</v>
      </c>
      <c r="M49" s="14">
        <v>115260.54000000001</v>
      </c>
      <c r="N49" s="2">
        <v>4776.9699999999993</v>
      </c>
      <c r="O49" s="14">
        <v>70995.649999999994</v>
      </c>
      <c r="P49" s="34">
        <v>2</v>
      </c>
      <c r="Q49" s="34">
        <v>8</v>
      </c>
      <c r="R49" s="34">
        <v>7</v>
      </c>
      <c r="S49" s="34">
        <v>4.68</v>
      </c>
      <c r="T49" s="34">
        <v>0.92</v>
      </c>
      <c r="U49" s="35">
        <v>59731</v>
      </c>
      <c r="V49" s="35">
        <v>10507</v>
      </c>
      <c r="W49" s="36">
        <v>58492</v>
      </c>
      <c r="X49" s="36">
        <v>11038</v>
      </c>
      <c r="Y49" s="36">
        <v>20149</v>
      </c>
      <c r="Z49" s="36">
        <v>5801</v>
      </c>
      <c r="AA49" s="36" t="s">
        <v>111</v>
      </c>
      <c r="AB49" s="36">
        <v>0</v>
      </c>
      <c r="AC49" s="37" t="s">
        <v>110</v>
      </c>
      <c r="AD49" s="36">
        <v>62659</v>
      </c>
      <c r="AE49" s="36">
        <v>27370</v>
      </c>
      <c r="AF49" s="30">
        <v>0</v>
      </c>
      <c r="AG49" s="36">
        <v>4799</v>
      </c>
      <c r="AH49" s="36">
        <v>1970</v>
      </c>
      <c r="AI49" s="36">
        <v>1970</v>
      </c>
      <c r="AJ49" s="13">
        <v>59180</v>
      </c>
      <c r="AK49" s="13">
        <v>0</v>
      </c>
      <c r="AL49" s="13">
        <v>57</v>
      </c>
      <c r="AM49" s="15">
        <v>872</v>
      </c>
      <c r="AN49" s="17">
        <v>9223</v>
      </c>
      <c r="AO49" s="17">
        <v>11222</v>
      </c>
      <c r="AP49" s="15">
        <v>5711</v>
      </c>
      <c r="AQ49" s="13">
        <v>11898</v>
      </c>
      <c r="AR49" s="13">
        <v>5422</v>
      </c>
      <c r="AS49" s="26">
        <v>5717</v>
      </c>
      <c r="AT49" s="26">
        <v>1520</v>
      </c>
      <c r="AU49" s="30">
        <v>2424</v>
      </c>
      <c r="AV49" s="30">
        <v>5</v>
      </c>
      <c r="AW49" s="26">
        <v>2</v>
      </c>
      <c r="AX49" s="30">
        <v>0</v>
      </c>
      <c r="AY49" s="30">
        <v>2</v>
      </c>
      <c r="AZ49" s="30">
        <v>0</v>
      </c>
      <c r="BA49" s="30">
        <v>0</v>
      </c>
      <c r="BB49" s="30">
        <v>1</v>
      </c>
      <c r="BC49" s="30">
        <v>0</v>
      </c>
      <c r="BD49" s="30">
        <v>77</v>
      </c>
      <c r="BE49" s="30">
        <v>65.5</v>
      </c>
      <c r="BF49" s="30">
        <v>0</v>
      </c>
      <c r="BG49" s="30">
        <v>504</v>
      </c>
      <c r="BH49" s="36" t="s">
        <v>110</v>
      </c>
      <c r="BI49" s="36">
        <v>17</v>
      </c>
      <c r="BJ49" s="36" t="s">
        <v>111</v>
      </c>
      <c r="BK49" s="54"/>
      <c r="BL49" s="30">
        <v>2</v>
      </c>
      <c r="BM49" s="30">
        <v>200</v>
      </c>
      <c r="BN49" s="36">
        <v>3</v>
      </c>
      <c r="BO49" s="36">
        <v>0</v>
      </c>
      <c r="BP49" s="36">
        <v>28</v>
      </c>
      <c r="BQ49" s="36">
        <v>2</v>
      </c>
      <c r="BR49" s="50"/>
      <c r="BS49" s="38">
        <v>1.5</v>
      </c>
      <c r="BT49" s="30">
        <v>29.7</v>
      </c>
      <c r="BU49" s="30">
        <v>29.7</v>
      </c>
      <c r="BV49" s="12"/>
    </row>
    <row r="50" spans="1:74" ht="12.75" x14ac:dyDescent="0.2">
      <c r="A50" s="11" t="s">
        <v>33</v>
      </c>
      <c r="B50" s="12"/>
      <c r="C50" s="13">
        <v>44276</v>
      </c>
      <c r="D50" s="14">
        <v>0</v>
      </c>
      <c r="E50" s="14">
        <v>333002</v>
      </c>
      <c r="F50" s="14">
        <v>811459</v>
      </c>
      <c r="G50" s="14">
        <v>0</v>
      </c>
      <c r="H50" s="14">
        <v>0</v>
      </c>
      <c r="I50" s="2">
        <v>310008</v>
      </c>
      <c r="J50" s="14">
        <v>24723</v>
      </c>
      <c r="K50" s="14">
        <v>46144</v>
      </c>
      <c r="L50" s="14">
        <v>950663</v>
      </c>
      <c r="M50" s="14">
        <v>64304</v>
      </c>
      <c r="N50" s="2">
        <v>20000</v>
      </c>
      <c r="O50" s="14">
        <v>84672</v>
      </c>
      <c r="P50" s="34">
        <v>4</v>
      </c>
      <c r="Q50" s="34">
        <v>6</v>
      </c>
      <c r="R50" s="34">
        <v>13</v>
      </c>
      <c r="S50" s="34">
        <v>8.9</v>
      </c>
      <c r="T50" s="34">
        <v>0.7</v>
      </c>
      <c r="U50" s="35">
        <v>34289</v>
      </c>
      <c r="V50" s="35">
        <v>27654</v>
      </c>
      <c r="W50" s="36">
        <v>33444</v>
      </c>
      <c r="X50" s="36">
        <v>27654</v>
      </c>
      <c r="Y50" s="36">
        <v>16192</v>
      </c>
      <c r="Z50" s="36">
        <v>20361</v>
      </c>
      <c r="AA50" s="36" t="s">
        <v>111</v>
      </c>
      <c r="AB50" s="36">
        <v>0</v>
      </c>
      <c r="AC50" s="37" t="s">
        <v>110</v>
      </c>
      <c r="AD50" s="36">
        <v>134542</v>
      </c>
      <c r="AE50" s="36">
        <v>52840</v>
      </c>
      <c r="AF50" s="30">
        <v>0</v>
      </c>
      <c r="AG50" s="36">
        <v>11736</v>
      </c>
      <c r="AH50" s="36">
        <v>4941</v>
      </c>
      <c r="AI50" s="36">
        <v>4941</v>
      </c>
      <c r="AJ50" s="13">
        <v>122944</v>
      </c>
      <c r="AK50" s="13">
        <v>0</v>
      </c>
      <c r="AL50" s="13">
        <v>849</v>
      </c>
      <c r="AM50" s="15">
        <v>334</v>
      </c>
      <c r="AN50" s="15">
        <v>55055</v>
      </c>
      <c r="AO50" s="15">
        <v>32271</v>
      </c>
      <c r="AP50" s="15">
        <v>28400</v>
      </c>
      <c r="AQ50" s="15">
        <v>7695</v>
      </c>
      <c r="AR50" s="13">
        <v>16891</v>
      </c>
      <c r="AS50" s="26">
        <v>0</v>
      </c>
      <c r="AT50" s="26">
        <v>10654</v>
      </c>
      <c r="AU50" s="26">
        <v>8968</v>
      </c>
      <c r="AV50" s="26">
        <v>1</v>
      </c>
      <c r="AW50" s="26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50</v>
      </c>
      <c r="BE50" s="30">
        <v>0</v>
      </c>
      <c r="BF50" s="30">
        <v>0</v>
      </c>
      <c r="BG50" s="30">
        <v>0</v>
      </c>
      <c r="BH50" s="36" t="s">
        <v>110</v>
      </c>
      <c r="BI50" s="36">
        <v>43</v>
      </c>
      <c r="BJ50" s="36" t="s">
        <v>110</v>
      </c>
      <c r="BK50" s="36">
        <v>2</v>
      </c>
      <c r="BL50" s="30">
        <v>8</v>
      </c>
      <c r="BM50" s="30">
        <v>2127</v>
      </c>
      <c r="BN50" s="36">
        <v>19</v>
      </c>
      <c r="BO50" s="36">
        <v>20</v>
      </c>
      <c r="BP50" s="36">
        <v>16</v>
      </c>
      <c r="BQ50" s="36">
        <v>2</v>
      </c>
      <c r="BR50" s="38">
        <v>7.9</v>
      </c>
      <c r="BS50" s="38">
        <v>11</v>
      </c>
      <c r="BT50" s="30">
        <v>79</v>
      </c>
      <c r="BU50" s="30">
        <v>36</v>
      </c>
      <c r="BV50" s="12"/>
    </row>
    <row r="51" spans="1:74" ht="12.75" x14ac:dyDescent="0.2">
      <c r="A51" s="11" t="s">
        <v>34</v>
      </c>
      <c r="B51" s="12"/>
      <c r="C51" s="13">
        <v>324087</v>
      </c>
      <c r="D51" s="14">
        <v>0</v>
      </c>
      <c r="E51" s="14">
        <v>1627684</v>
      </c>
      <c r="F51" s="14">
        <v>10836420</v>
      </c>
      <c r="G51" s="14">
        <v>0</v>
      </c>
      <c r="H51" s="14">
        <v>0</v>
      </c>
      <c r="I51" s="14">
        <v>0</v>
      </c>
      <c r="J51" s="14">
        <v>233957</v>
      </c>
      <c r="K51" s="14">
        <v>0</v>
      </c>
      <c r="L51" s="14">
        <v>7321171.71</v>
      </c>
      <c r="M51" s="14">
        <v>1620255</v>
      </c>
      <c r="N51" s="14">
        <v>0</v>
      </c>
      <c r="O51" s="14">
        <v>495689</v>
      </c>
      <c r="P51" s="34">
        <v>43</v>
      </c>
      <c r="Q51" s="34">
        <v>62</v>
      </c>
      <c r="R51" s="34">
        <v>22</v>
      </c>
      <c r="S51" s="34">
        <v>72.98</v>
      </c>
      <c r="T51" s="34">
        <v>2.5</v>
      </c>
      <c r="U51" s="35">
        <v>240820</v>
      </c>
      <c r="V51" s="35">
        <v>28441</v>
      </c>
      <c r="W51" s="36">
        <v>240820</v>
      </c>
      <c r="X51" s="36">
        <v>28441</v>
      </c>
      <c r="Y51" s="36">
        <v>180538</v>
      </c>
      <c r="Z51" s="36">
        <v>21809</v>
      </c>
      <c r="AA51" s="36" t="s">
        <v>110</v>
      </c>
      <c r="AB51" s="36">
        <v>128</v>
      </c>
      <c r="AC51" s="37" t="s">
        <v>110</v>
      </c>
      <c r="AD51" s="36">
        <v>1601313</v>
      </c>
      <c r="AE51" s="36">
        <v>149052</v>
      </c>
      <c r="AF51" s="30" t="s">
        <v>44</v>
      </c>
      <c r="AG51" s="36">
        <v>93299</v>
      </c>
      <c r="AH51" s="36">
        <v>55475</v>
      </c>
      <c r="AI51" s="36">
        <v>31300</v>
      </c>
      <c r="AJ51" s="13">
        <v>923651</v>
      </c>
      <c r="AK51" s="13">
        <v>0</v>
      </c>
      <c r="AL51" s="36">
        <v>334</v>
      </c>
      <c r="AM51" s="13">
        <v>10279</v>
      </c>
      <c r="AN51" s="13">
        <v>225290</v>
      </c>
      <c r="AO51" s="13">
        <v>336221</v>
      </c>
      <c r="AP51" s="13">
        <v>217916</v>
      </c>
      <c r="AQ51" s="13">
        <v>56583</v>
      </c>
      <c r="AR51" s="13">
        <v>121051</v>
      </c>
      <c r="AS51" s="26">
        <v>0</v>
      </c>
      <c r="AT51" s="26">
        <v>87545</v>
      </c>
      <c r="AU51" s="30">
        <v>52812</v>
      </c>
      <c r="AV51" s="26">
        <v>7</v>
      </c>
      <c r="AW51" s="26">
        <v>0</v>
      </c>
      <c r="AX51" s="30">
        <v>1</v>
      </c>
      <c r="AY51" s="30">
        <v>1</v>
      </c>
      <c r="AZ51" s="30">
        <v>1</v>
      </c>
      <c r="BA51" s="30">
        <v>0</v>
      </c>
      <c r="BB51" s="30">
        <v>1</v>
      </c>
      <c r="BC51" s="30">
        <v>0</v>
      </c>
      <c r="BD51" s="30">
        <v>354</v>
      </c>
      <c r="BE51" s="30">
        <v>40</v>
      </c>
      <c r="BF51" s="30">
        <v>0</v>
      </c>
      <c r="BG51" s="30">
        <v>112</v>
      </c>
      <c r="BH51" s="36" t="s">
        <v>110</v>
      </c>
      <c r="BI51" s="36">
        <v>41</v>
      </c>
      <c r="BJ51" s="36" t="s">
        <v>110</v>
      </c>
      <c r="BK51" s="36">
        <v>7</v>
      </c>
      <c r="BL51" s="30">
        <v>3</v>
      </c>
      <c r="BM51" s="30">
        <v>2117</v>
      </c>
      <c r="BN51" s="36">
        <v>34</v>
      </c>
      <c r="BO51" s="36">
        <v>118</v>
      </c>
      <c r="BP51" s="36">
        <v>95</v>
      </c>
      <c r="BQ51" s="36">
        <v>20</v>
      </c>
      <c r="BR51" s="38">
        <v>8.1999999999999993</v>
      </c>
      <c r="BS51" s="38">
        <v>19</v>
      </c>
      <c r="BT51" s="30">
        <v>721</v>
      </c>
      <c r="BU51" s="30">
        <v>722</v>
      </c>
      <c r="BV51" s="12"/>
    </row>
    <row r="52" spans="1:74" ht="12.75" x14ac:dyDescent="0.2">
      <c r="A52" s="11" t="s">
        <v>35</v>
      </c>
      <c r="B52" s="12"/>
      <c r="C52" s="13">
        <v>97448</v>
      </c>
      <c r="D52" s="14">
        <v>0</v>
      </c>
      <c r="E52" s="14">
        <v>692046</v>
      </c>
      <c r="F52" s="14">
        <v>5357980.71</v>
      </c>
      <c r="G52" s="2">
        <v>0</v>
      </c>
      <c r="H52" s="2">
        <v>0</v>
      </c>
      <c r="I52" s="2">
        <v>0</v>
      </c>
      <c r="J52" s="14">
        <v>18485.150000000001</v>
      </c>
      <c r="K52" s="14">
        <v>13507</v>
      </c>
      <c r="L52" s="14">
        <v>5014643</v>
      </c>
      <c r="M52" s="14">
        <v>418405</v>
      </c>
      <c r="N52" s="14">
        <v>182382</v>
      </c>
      <c r="O52" s="14">
        <v>334406.95</v>
      </c>
      <c r="P52" s="34">
        <v>31</v>
      </c>
      <c r="Q52" s="34">
        <v>23</v>
      </c>
      <c r="R52" s="34">
        <v>16</v>
      </c>
      <c r="S52" s="34">
        <v>47</v>
      </c>
      <c r="T52" s="34">
        <v>1.43</v>
      </c>
      <c r="U52" s="35">
        <v>129904</v>
      </c>
      <c r="V52" s="35">
        <v>35872</v>
      </c>
      <c r="W52" s="36">
        <v>118538</v>
      </c>
      <c r="X52" s="36">
        <v>35870</v>
      </c>
      <c r="Y52" s="36">
        <v>80209</v>
      </c>
      <c r="Z52" s="36">
        <v>30668</v>
      </c>
      <c r="AA52" s="36" t="s">
        <v>110</v>
      </c>
      <c r="AB52" s="36">
        <v>10</v>
      </c>
      <c r="AC52" s="37" t="s">
        <v>110</v>
      </c>
      <c r="AD52" s="36">
        <v>608304</v>
      </c>
      <c r="AE52" s="36">
        <v>283979</v>
      </c>
      <c r="AF52" s="30">
        <v>19</v>
      </c>
      <c r="AG52" s="36">
        <v>61349</v>
      </c>
      <c r="AH52" s="36">
        <v>20326</v>
      </c>
      <c r="AI52" s="36">
        <v>20290</v>
      </c>
      <c r="AJ52" s="13">
        <v>597412</v>
      </c>
      <c r="AK52" s="13">
        <v>0</v>
      </c>
      <c r="AL52" s="36">
        <v>1073</v>
      </c>
      <c r="AM52" s="13">
        <v>8376</v>
      </c>
      <c r="AN52" s="13">
        <v>401741</v>
      </c>
      <c r="AO52" s="13">
        <v>317461</v>
      </c>
      <c r="AP52" s="13">
        <v>232353</v>
      </c>
      <c r="AQ52" s="36">
        <v>120672</v>
      </c>
      <c r="AR52" s="13">
        <v>60096</v>
      </c>
      <c r="AS52" s="26">
        <v>227870</v>
      </c>
      <c r="AT52" s="26">
        <v>68056</v>
      </c>
      <c r="AU52" s="26">
        <v>25859</v>
      </c>
      <c r="AV52" s="26">
        <v>5</v>
      </c>
      <c r="AW52" s="30">
        <v>4</v>
      </c>
      <c r="AX52" s="30">
        <v>0</v>
      </c>
      <c r="AY52" s="30">
        <v>0</v>
      </c>
      <c r="AZ52" s="30">
        <v>0</v>
      </c>
      <c r="BA52" s="30">
        <v>0</v>
      </c>
      <c r="BB52" s="30">
        <v>1</v>
      </c>
      <c r="BC52" s="30">
        <v>0</v>
      </c>
      <c r="BD52" s="30">
        <v>260</v>
      </c>
      <c r="BE52" s="30">
        <v>184</v>
      </c>
      <c r="BF52" s="30">
        <v>0</v>
      </c>
      <c r="BG52" s="30">
        <v>0</v>
      </c>
      <c r="BH52" s="36" t="s">
        <v>110</v>
      </c>
      <c r="BI52" s="36">
        <v>85</v>
      </c>
      <c r="BJ52" s="36" t="s">
        <v>110</v>
      </c>
      <c r="BK52" s="36">
        <v>4</v>
      </c>
      <c r="BL52" s="30">
        <v>2</v>
      </c>
      <c r="BM52" s="30">
        <v>4247</v>
      </c>
      <c r="BN52" s="36">
        <v>33</v>
      </c>
      <c r="BO52" s="36">
        <v>76</v>
      </c>
      <c r="BP52" s="36">
        <v>80</v>
      </c>
      <c r="BQ52" s="36">
        <v>9</v>
      </c>
      <c r="BR52" s="38">
        <v>8.5</v>
      </c>
      <c r="BS52" s="38">
        <v>18</v>
      </c>
      <c r="BT52" s="30">
        <v>454</v>
      </c>
      <c r="BU52" s="30">
        <v>376</v>
      </c>
      <c r="BV52" s="12"/>
    </row>
    <row r="53" spans="1:74" ht="12.75" x14ac:dyDescent="0.2">
      <c r="A53" s="11" t="s">
        <v>55</v>
      </c>
      <c r="B53" s="12"/>
      <c r="C53" s="13">
        <v>437895</v>
      </c>
      <c r="D53" s="14">
        <v>0</v>
      </c>
      <c r="E53" s="14">
        <v>2840027</v>
      </c>
      <c r="F53" s="14">
        <v>14503931</v>
      </c>
      <c r="G53" s="2">
        <v>0</v>
      </c>
      <c r="H53" s="2">
        <v>178806</v>
      </c>
      <c r="I53" s="2">
        <v>0</v>
      </c>
      <c r="J53" s="14">
        <v>214659</v>
      </c>
      <c r="K53" s="14">
        <v>620516</v>
      </c>
      <c r="L53" s="14">
        <v>11944538</v>
      </c>
      <c r="M53" s="14">
        <v>1521899</v>
      </c>
      <c r="N53" s="14">
        <v>409395</v>
      </c>
      <c r="O53" s="14">
        <v>655157</v>
      </c>
      <c r="P53" s="34">
        <v>37</v>
      </c>
      <c r="Q53" s="34">
        <v>109</v>
      </c>
      <c r="R53" s="34">
        <v>15</v>
      </c>
      <c r="S53" s="34">
        <v>99.9</v>
      </c>
      <c r="T53" s="34">
        <v>0</v>
      </c>
      <c r="U53" s="35">
        <v>360237</v>
      </c>
      <c r="V53" s="35">
        <v>60802</v>
      </c>
      <c r="W53" s="36">
        <v>355502</v>
      </c>
      <c r="X53" s="36">
        <v>60804</v>
      </c>
      <c r="Y53" s="36">
        <v>294312</v>
      </c>
      <c r="Z53" s="36">
        <v>38038</v>
      </c>
      <c r="AA53" s="36" t="s">
        <v>110</v>
      </c>
      <c r="AB53" s="36">
        <v>158</v>
      </c>
      <c r="AC53" s="37" t="s">
        <v>110</v>
      </c>
      <c r="AD53" s="36">
        <v>2278251</v>
      </c>
      <c r="AE53" s="36">
        <v>543542</v>
      </c>
      <c r="AF53" s="30">
        <v>172</v>
      </c>
      <c r="AG53" s="36">
        <v>114771</v>
      </c>
      <c r="AH53" s="36">
        <v>77163</v>
      </c>
      <c r="AI53" s="36">
        <v>64057</v>
      </c>
      <c r="AJ53" s="13">
        <v>1365546</v>
      </c>
      <c r="AK53" s="13">
        <v>30023</v>
      </c>
      <c r="AL53" s="36">
        <v>1331</v>
      </c>
      <c r="AM53" s="13">
        <v>13248</v>
      </c>
      <c r="AN53" s="13">
        <v>2134969</v>
      </c>
      <c r="AO53" s="13">
        <v>537447</v>
      </c>
      <c r="AP53" s="13">
        <v>1082714</v>
      </c>
      <c r="AQ53" s="13">
        <v>444633</v>
      </c>
      <c r="AR53" s="13">
        <v>127404</v>
      </c>
      <c r="AS53" s="26">
        <v>145601</v>
      </c>
      <c r="AT53" s="26">
        <v>109360</v>
      </c>
      <c r="AU53" s="26">
        <v>68742</v>
      </c>
      <c r="AV53" s="26">
        <v>10</v>
      </c>
      <c r="AW53" s="26">
        <v>0</v>
      </c>
      <c r="AX53" s="26">
        <v>4</v>
      </c>
      <c r="AY53" s="30">
        <v>1</v>
      </c>
      <c r="AZ53" s="30">
        <v>1</v>
      </c>
      <c r="BA53" s="30">
        <v>57</v>
      </c>
      <c r="BB53" s="30">
        <v>1</v>
      </c>
      <c r="BC53" s="30" t="s">
        <v>44</v>
      </c>
      <c r="BD53" s="30">
        <v>611</v>
      </c>
      <c r="BE53" s="30">
        <v>0</v>
      </c>
      <c r="BF53" s="30">
        <v>53.5</v>
      </c>
      <c r="BG53" s="30">
        <v>160</v>
      </c>
      <c r="BH53" s="36" t="s">
        <v>110</v>
      </c>
      <c r="BI53" s="36">
        <v>44</v>
      </c>
      <c r="BJ53" s="36" t="s">
        <v>110</v>
      </c>
      <c r="BK53" s="36">
        <v>22</v>
      </c>
      <c r="BL53" s="30">
        <v>23</v>
      </c>
      <c r="BM53" s="30">
        <v>18052.849999999999</v>
      </c>
      <c r="BN53" s="36">
        <v>140</v>
      </c>
      <c r="BO53" s="36">
        <v>349</v>
      </c>
      <c r="BP53" s="36">
        <v>180</v>
      </c>
      <c r="BQ53" s="36">
        <v>20</v>
      </c>
      <c r="BR53" s="38">
        <v>8.8000000000000007</v>
      </c>
      <c r="BS53" s="38">
        <v>38</v>
      </c>
      <c r="BT53" s="30">
        <v>1450</v>
      </c>
      <c r="BU53" s="30">
        <v>630</v>
      </c>
      <c r="BV53" s="12"/>
    </row>
    <row r="54" spans="1:74" ht="12.75" x14ac:dyDescent="0.2">
      <c r="A54" s="11" t="s">
        <v>71</v>
      </c>
      <c r="B54" s="12"/>
      <c r="C54" s="13">
        <v>6389</v>
      </c>
      <c r="D54" s="14">
        <v>0</v>
      </c>
      <c r="E54" s="14">
        <v>144184</v>
      </c>
      <c r="F54" s="14">
        <v>158215</v>
      </c>
      <c r="G54" s="2">
        <v>0</v>
      </c>
      <c r="H54" s="2">
        <v>200000</v>
      </c>
      <c r="I54" s="2">
        <v>40000</v>
      </c>
      <c r="J54" s="14">
        <v>1469</v>
      </c>
      <c r="K54" s="14">
        <v>0</v>
      </c>
      <c r="L54" s="14">
        <v>173100</v>
      </c>
      <c r="M54" s="14">
        <v>14517</v>
      </c>
      <c r="N54" s="14">
        <v>4034</v>
      </c>
      <c r="O54" s="14">
        <v>20339</v>
      </c>
      <c r="P54" s="34">
        <v>0</v>
      </c>
      <c r="Q54" s="34">
        <v>5</v>
      </c>
      <c r="R54" s="34">
        <v>0</v>
      </c>
      <c r="S54" s="34">
        <v>1.82</v>
      </c>
      <c r="T54" s="34">
        <v>0</v>
      </c>
      <c r="U54" s="35">
        <v>15714</v>
      </c>
      <c r="V54" s="35">
        <v>1567</v>
      </c>
      <c r="W54" s="36">
        <v>15714</v>
      </c>
      <c r="X54" s="36">
        <v>1567</v>
      </c>
      <c r="Y54" s="36">
        <v>7019</v>
      </c>
      <c r="Z54" s="36">
        <v>571</v>
      </c>
      <c r="AA54" s="36" t="s">
        <v>111</v>
      </c>
      <c r="AB54" s="36">
        <v>0</v>
      </c>
      <c r="AC54" s="37" t="s">
        <v>110</v>
      </c>
      <c r="AD54" s="36">
        <v>12863</v>
      </c>
      <c r="AE54" s="36">
        <v>2247</v>
      </c>
      <c r="AF54" s="30">
        <v>2</v>
      </c>
      <c r="AG54" s="36">
        <v>1045</v>
      </c>
      <c r="AH54" s="36">
        <v>404</v>
      </c>
      <c r="AI54" s="36">
        <v>1045</v>
      </c>
      <c r="AJ54" s="13">
        <v>3805</v>
      </c>
      <c r="AK54" s="13">
        <v>918</v>
      </c>
      <c r="AL54" s="13">
        <v>163</v>
      </c>
      <c r="AM54" s="13">
        <v>1091</v>
      </c>
      <c r="AN54" s="16"/>
      <c r="AO54" s="16"/>
      <c r="AP54" s="13">
        <v>0</v>
      </c>
      <c r="AQ54" s="13">
        <v>0</v>
      </c>
      <c r="AR54" s="13">
        <v>1130</v>
      </c>
      <c r="AS54" s="30">
        <v>0</v>
      </c>
      <c r="AT54" s="30">
        <v>0</v>
      </c>
      <c r="AU54" s="30">
        <v>0</v>
      </c>
      <c r="AV54" s="30">
        <v>2</v>
      </c>
      <c r="AW54" s="30">
        <v>6</v>
      </c>
      <c r="AX54" s="30">
        <v>1</v>
      </c>
      <c r="AY54" s="30">
        <v>4</v>
      </c>
      <c r="AZ54" s="30">
        <v>1</v>
      </c>
      <c r="BA54" s="30">
        <v>7</v>
      </c>
      <c r="BB54" s="30">
        <v>0</v>
      </c>
      <c r="BC54" s="30">
        <v>0</v>
      </c>
      <c r="BD54" s="30">
        <v>40</v>
      </c>
      <c r="BE54" s="30">
        <v>2</v>
      </c>
      <c r="BF54" s="30">
        <v>10</v>
      </c>
      <c r="BG54" s="30">
        <v>0</v>
      </c>
      <c r="BH54" s="36" t="s">
        <v>111</v>
      </c>
      <c r="BI54" s="54"/>
      <c r="BJ54" s="54"/>
      <c r="BK54" s="54"/>
      <c r="BL54" s="30">
        <v>0</v>
      </c>
      <c r="BM54" s="53"/>
      <c r="BN54" s="36">
        <v>2</v>
      </c>
      <c r="BO54" s="36">
        <v>12</v>
      </c>
      <c r="BP54" s="36">
        <v>4</v>
      </c>
      <c r="BQ54" s="36">
        <v>0</v>
      </c>
      <c r="BR54" s="50"/>
      <c r="BS54" s="38">
        <v>0.5</v>
      </c>
      <c r="BT54" s="30">
        <v>4</v>
      </c>
      <c r="BU54" s="30">
        <v>3</v>
      </c>
      <c r="BV54" s="12"/>
    </row>
    <row r="55" spans="1:74" ht="12.75" x14ac:dyDescent="0.2">
      <c r="A55" s="11" t="s">
        <v>194</v>
      </c>
      <c r="B55" s="12"/>
      <c r="C55" s="13">
        <v>437894</v>
      </c>
      <c r="D55" s="14">
        <v>34000</v>
      </c>
      <c r="E55" s="14">
        <v>3004000</v>
      </c>
      <c r="F55" s="14">
        <v>11590000</v>
      </c>
      <c r="G55" s="14">
        <v>0</v>
      </c>
      <c r="H55" s="14">
        <v>0</v>
      </c>
      <c r="I55" s="14">
        <v>0</v>
      </c>
      <c r="J55" s="14">
        <v>154000</v>
      </c>
      <c r="K55" s="14">
        <v>210000</v>
      </c>
      <c r="L55" s="14">
        <v>9933000</v>
      </c>
      <c r="M55" s="14">
        <v>970000</v>
      </c>
      <c r="N55" s="14">
        <v>272000</v>
      </c>
      <c r="O55" s="14">
        <v>758000</v>
      </c>
      <c r="P55" s="34">
        <v>56</v>
      </c>
      <c r="Q55" s="34">
        <v>53</v>
      </c>
      <c r="R55" s="34">
        <v>22</v>
      </c>
      <c r="S55" s="34">
        <v>89.93</v>
      </c>
      <c r="T55" s="34">
        <v>5</v>
      </c>
      <c r="U55" s="35">
        <v>301734</v>
      </c>
      <c r="V55" s="35">
        <v>201954</v>
      </c>
      <c r="W55" s="36">
        <v>297611</v>
      </c>
      <c r="X55" s="36">
        <v>201954</v>
      </c>
      <c r="Y55" s="36">
        <v>226405</v>
      </c>
      <c r="Z55" s="36">
        <v>201954</v>
      </c>
      <c r="AA55" s="36" t="s">
        <v>110</v>
      </c>
      <c r="AB55" s="36">
        <v>191</v>
      </c>
      <c r="AC55" s="37" t="s">
        <v>110</v>
      </c>
      <c r="AD55" s="36">
        <v>2259225</v>
      </c>
      <c r="AE55" s="36">
        <v>1093608</v>
      </c>
      <c r="AF55" s="56">
        <v>0</v>
      </c>
      <c r="AG55" s="36">
        <v>110159</v>
      </c>
      <c r="AH55" s="36">
        <v>65261</v>
      </c>
      <c r="AI55" s="36">
        <v>60915</v>
      </c>
      <c r="AJ55" s="13">
        <v>1488482</v>
      </c>
      <c r="AK55" s="13">
        <v>0</v>
      </c>
      <c r="AL55" s="13">
        <v>1370</v>
      </c>
      <c r="AM55" s="13">
        <v>3292</v>
      </c>
      <c r="AN55" s="15">
        <v>1137518</v>
      </c>
      <c r="AO55" s="15">
        <v>510023</v>
      </c>
      <c r="AP55" s="13">
        <v>375769</v>
      </c>
      <c r="AQ55" s="13">
        <v>386061</v>
      </c>
      <c r="AR55" s="13">
        <v>125043</v>
      </c>
      <c r="AS55" s="30">
        <v>1416050</v>
      </c>
      <c r="AT55" s="26">
        <v>240300</v>
      </c>
      <c r="AU55" s="26">
        <v>104062</v>
      </c>
      <c r="AV55" s="26">
        <v>14</v>
      </c>
      <c r="AW55" s="26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2</v>
      </c>
      <c r="BC55" s="30">
        <v>3</v>
      </c>
      <c r="BD55" s="30">
        <v>702</v>
      </c>
      <c r="BE55" s="30">
        <v>0</v>
      </c>
      <c r="BF55" s="30">
        <v>20</v>
      </c>
      <c r="BG55" s="30">
        <v>100</v>
      </c>
      <c r="BH55" s="36" t="s">
        <v>110</v>
      </c>
      <c r="BI55" s="36">
        <v>374</v>
      </c>
      <c r="BJ55" s="36" t="s">
        <v>110</v>
      </c>
      <c r="BK55" s="36">
        <v>29</v>
      </c>
      <c r="BL55" s="30">
        <v>20</v>
      </c>
      <c r="BM55" s="30">
        <v>6495</v>
      </c>
      <c r="BN55" s="36">
        <v>87</v>
      </c>
      <c r="BO55" s="36">
        <v>135</v>
      </c>
      <c r="BP55" s="36">
        <v>146</v>
      </c>
      <c r="BQ55" s="36">
        <v>22</v>
      </c>
      <c r="BR55" s="38">
        <v>9.1</v>
      </c>
      <c r="BS55" s="38">
        <v>37</v>
      </c>
      <c r="BT55" s="30">
        <v>1234</v>
      </c>
      <c r="BU55" s="30">
        <v>912</v>
      </c>
      <c r="BV55" s="12"/>
    </row>
    <row r="56" spans="1:74" ht="12.75" x14ac:dyDescent="0.2">
      <c r="A56" s="19"/>
      <c r="B56" s="19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1"/>
      <c r="P56" s="21"/>
      <c r="Q56" s="21"/>
      <c r="R56" s="22"/>
      <c r="S56" s="23"/>
      <c r="T56" s="23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57"/>
      <c r="AG56" s="21"/>
      <c r="AH56" s="21"/>
      <c r="AI56" s="21"/>
      <c r="AJ56" s="21"/>
      <c r="AK56" s="21"/>
      <c r="AL56" s="21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</row>
    <row r="57" spans="1:74" ht="12.75" x14ac:dyDescent="0.2">
      <c r="A57" s="11" t="s">
        <v>72</v>
      </c>
      <c r="B57" s="12"/>
      <c r="C57" s="13">
        <f>SUM(C5:C55)+953</f>
        <v>6815441</v>
      </c>
      <c r="D57" s="14">
        <f t="shared" ref="D57:Z57" si="0">SUM(D5:D55)</f>
        <v>352218</v>
      </c>
      <c r="E57" s="14">
        <f t="shared" si="0"/>
        <v>49353230.590000004</v>
      </c>
      <c r="F57" s="14">
        <f t="shared" si="0"/>
        <v>230411462.43399999</v>
      </c>
      <c r="G57" s="14">
        <f t="shared" si="0"/>
        <v>67500</v>
      </c>
      <c r="H57" s="14">
        <f t="shared" si="0"/>
        <v>4684369.41</v>
      </c>
      <c r="I57" s="14">
        <f t="shared" si="0"/>
        <v>17278770.850000001</v>
      </c>
      <c r="J57" s="14">
        <f t="shared" si="0"/>
        <v>3692174.01</v>
      </c>
      <c r="K57" s="14">
        <f t="shared" si="0"/>
        <v>5287074.3599999994</v>
      </c>
      <c r="L57" s="14">
        <f t="shared" si="0"/>
        <v>203554626.53874317</v>
      </c>
      <c r="M57" s="14">
        <f t="shared" si="0"/>
        <v>27520390.93</v>
      </c>
      <c r="N57" s="14">
        <f t="shared" si="0"/>
        <v>4795423.01</v>
      </c>
      <c r="O57" s="14">
        <f t="shared" si="0"/>
        <v>12675913.109999999</v>
      </c>
      <c r="P57" s="34">
        <f t="shared" si="0"/>
        <v>1038.5999999999999</v>
      </c>
      <c r="Q57" s="34">
        <f t="shared" si="0"/>
        <v>1550.1966666666667</v>
      </c>
      <c r="R57" s="34">
        <f t="shared" si="0"/>
        <v>819.66666666666674</v>
      </c>
      <c r="S57" s="34">
        <f t="shared" si="0"/>
        <v>1879.03</v>
      </c>
      <c r="T57" s="34">
        <f t="shared" si="0"/>
        <v>117.46400000000001</v>
      </c>
      <c r="U57" s="26">
        <f t="shared" si="0"/>
        <v>7176788</v>
      </c>
      <c r="V57" s="26">
        <f t="shared" si="0"/>
        <v>2023820</v>
      </c>
      <c r="W57" s="26">
        <f t="shared" si="0"/>
        <v>7005568</v>
      </c>
      <c r="X57" s="26">
        <f t="shared" si="0"/>
        <v>2079445</v>
      </c>
      <c r="Y57" s="26">
        <f t="shared" si="0"/>
        <v>4404427</v>
      </c>
      <c r="Z57" s="26">
        <f t="shared" si="0"/>
        <v>1954524</v>
      </c>
      <c r="AA57" s="26">
        <f>COUNTIF(AA5:AA55,"Yes")</f>
        <v>31</v>
      </c>
      <c r="AB57" s="26">
        <f>SUM(AB5:AB55)</f>
        <v>2224</v>
      </c>
      <c r="AC57" s="26">
        <f>COUNTIF(AC5:AC55,"Yes")</f>
        <v>50</v>
      </c>
      <c r="AD57" s="26">
        <f t="shared" ref="AD57:BG57" si="1">SUM(AD5:AD55)</f>
        <v>33510548</v>
      </c>
      <c r="AE57" s="26">
        <f t="shared" si="1"/>
        <v>10866371</v>
      </c>
      <c r="AF57" s="26">
        <f t="shared" si="1"/>
        <v>36369</v>
      </c>
      <c r="AG57" s="26">
        <f t="shared" si="1"/>
        <v>2108238</v>
      </c>
      <c r="AH57" s="26">
        <f t="shared" si="1"/>
        <v>1042661</v>
      </c>
      <c r="AI57" s="26">
        <f t="shared" si="1"/>
        <v>921581</v>
      </c>
      <c r="AJ57" s="26">
        <f t="shared" si="1"/>
        <v>22896880</v>
      </c>
      <c r="AK57" s="26">
        <f t="shared" si="1"/>
        <v>96099</v>
      </c>
      <c r="AL57" s="26">
        <f t="shared" si="1"/>
        <v>79809</v>
      </c>
      <c r="AM57" s="26">
        <f t="shared" si="1"/>
        <v>250924</v>
      </c>
      <c r="AN57" s="26">
        <f t="shared" si="1"/>
        <v>12944425</v>
      </c>
      <c r="AO57" s="26">
        <f t="shared" si="1"/>
        <v>14717282</v>
      </c>
      <c r="AP57" s="26">
        <f t="shared" si="1"/>
        <v>6712876</v>
      </c>
      <c r="AQ57" s="26">
        <f t="shared" si="1"/>
        <v>4354057</v>
      </c>
      <c r="AR57" s="26">
        <f t="shared" si="1"/>
        <v>2011429</v>
      </c>
      <c r="AS57" s="26">
        <f t="shared" si="1"/>
        <v>5082677.023</v>
      </c>
      <c r="AT57" s="26">
        <f t="shared" si="1"/>
        <v>1577635.07</v>
      </c>
      <c r="AU57" s="26">
        <f t="shared" si="1"/>
        <v>1446281.1</v>
      </c>
      <c r="AV57" s="26">
        <f t="shared" si="1"/>
        <v>284</v>
      </c>
      <c r="AW57" s="26">
        <f t="shared" si="1"/>
        <v>26</v>
      </c>
      <c r="AX57" s="26">
        <f t="shared" si="1"/>
        <v>30</v>
      </c>
      <c r="AY57" s="26">
        <f t="shared" si="1"/>
        <v>31</v>
      </c>
      <c r="AZ57" s="26">
        <f t="shared" si="1"/>
        <v>19</v>
      </c>
      <c r="BA57" s="26">
        <f t="shared" si="1"/>
        <v>232</v>
      </c>
      <c r="BB57" s="26">
        <f t="shared" si="1"/>
        <v>29</v>
      </c>
      <c r="BC57" s="26">
        <f t="shared" si="1"/>
        <v>30</v>
      </c>
      <c r="BD57" s="26">
        <f t="shared" si="1"/>
        <v>12356.25</v>
      </c>
      <c r="BE57" s="26">
        <f t="shared" si="1"/>
        <v>1360.5</v>
      </c>
      <c r="BF57" s="26">
        <f t="shared" si="1"/>
        <v>286.95</v>
      </c>
      <c r="BG57" s="26">
        <f t="shared" si="1"/>
        <v>2240.75</v>
      </c>
      <c r="BH57" s="26">
        <f>COUNTIF(BH5:BH55,"Yes")</f>
        <v>46</v>
      </c>
      <c r="BI57" s="26">
        <f>SUM(BI5:BI55)</f>
        <v>5730</v>
      </c>
      <c r="BJ57" s="26">
        <f>COUNTIF(BJ5:BJ55,"Yes")</f>
        <v>29</v>
      </c>
      <c r="BK57" s="26">
        <f t="shared" ref="BK57:BQ57" si="2">SUM(BK5:BK55)</f>
        <v>598</v>
      </c>
      <c r="BL57" s="26">
        <f t="shared" si="2"/>
        <v>393</v>
      </c>
      <c r="BM57" s="26">
        <f t="shared" si="2"/>
        <v>186851.19</v>
      </c>
      <c r="BN57" s="26">
        <f t="shared" si="2"/>
        <v>1758</v>
      </c>
      <c r="BO57" s="26">
        <f t="shared" si="2"/>
        <v>3334</v>
      </c>
      <c r="BP57" s="26">
        <f t="shared" si="2"/>
        <v>3286</v>
      </c>
      <c r="BQ57" s="26">
        <f t="shared" si="2"/>
        <v>514</v>
      </c>
      <c r="BR57" s="28">
        <f>AVERAGE(BR5:BR55)</f>
        <v>8.4462857142857146</v>
      </c>
      <c r="BS57" s="28">
        <f>SUM(BS5:BS55)</f>
        <v>646.35199999999998</v>
      </c>
      <c r="BT57" s="26">
        <f>SUM(BT5:BT55)</f>
        <v>14924.400000000001</v>
      </c>
      <c r="BU57" s="26">
        <f>SUM(BU5:BU55)</f>
        <v>12125.7</v>
      </c>
      <c r="BV57" s="12"/>
    </row>
    <row r="58" spans="1:74" ht="12.75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</row>
    <row r="60" spans="1:74" x14ac:dyDescent="0.25">
      <c r="A60" s="5" t="s">
        <v>114</v>
      </c>
      <c r="C60" s="5" t="s">
        <v>195</v>
      </c>
    </row>
  </sheetData>
  <autoFilter ref="A4:BV57" xr:uid="{A43BD974-6C60-4A25-9DFE-7CBB166D9FFD}">
    <sortState xmlns:xlrd2="http://schemas.microsoft.com/office/spreadsheetml/2017/richdata2" ref="A5:BV53">
      <sortCondition ref="A4"/>
    </sortState>
  </autoFilter>
  <printOptions horizontalCentered="1" verticalCentered="1"/>
  <pageMargins left="0.74803149606299213" right="0.74803149606299213" top="0.98425196850393704" bottom="0.98425196850393704" header="0.51181102362204722" footer="0.51181102362204722"/>
  <pageSetup orientation="landscape" r:id="rId1"/>
  <headerFooter>
    <oddHeader>2014 Full Report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00EF-D8CD-415D-8BAB-76498AB76B55}">
  <dimension ref="A1:BL6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34" sqref="C34"/>
    </sheetView>
  </sheetViews>
  <sheetFormatPr defaultColWidth="9.140625" defaultRowHeight="12.75" x14ac:dyDescent="0.2"/>
  <cols>
    <col min="1" max="1" width="27.42578125" style="5" bestFit="1" customWidth="1"/>
    <col min="2" max="2" width="2.7109375" style="5" customWidth="1"/>
    <col min="3" max="3" width="15.42578125" style="5" customWidth="1"/>
    <col min="4" max="4" width="12.7109375" style="5" customWidth="1"/>
    <col min="5" max="5" width="18.85546875" style="5" customWidth="1"/>
    <col min="6" max="6" width="15.7109375" style="5" customWidth="1"/>
    <col min="7" max="7" width="13.7109375" style="5" customWidth="1"/>
    <col min="8" max="8" width="12.7109375" style="5" customWidth="1"/>
    <col min="9" max="11" width="13.7109375" style="5" customWidth="1"/>
    <col min="12" max="12" width="14.7109375" style="5" customWidth="1"/>
    <col min="13" max="14" width="13.7109375" style="5" customWidth="1"/>
    <col min="15" max="15" width="12.7109375" style="5" customWidth="1"/>
    <col min="16" max="16" width="13.7109375" style="5" customWidth="1"/>
    <col min="17" max="17" width="12.7109375" style="5" customWidth="1"/>
    <col min="18" max="18" width="14.7109375" style="5" customWidth="1"/>
    <col min="19" max="27" width="12.7109375" style="5" customWidth="1"/>
    <col min="28" max="28" width="13.5703125" style="5" customWidth="1"/>
    <col min="29" max="63" width="12.7109375" style="5" customWidth="1"/>
    <col min="64" max="64" width="2.7109375" style="5" customWidth="1"/>
    <col min="65" max="16384" width="9.140625" style="5"/>
  </cols>
  <sheetData>
    <row r="1" spans="1:64" ht="21" x14ac:dyDescent="0.35">
      <c r="A1" s="4" t="s">
        <v>115</v>
      </c>
    </row>
    <row r="2" spans="1:64" ht="15.75" x14ac:dyDescent="0.25">
      <c r="A2" s="33" t="s">
        <v>122</v>
      </c>
    </row>
    <row r="3" spans="1:64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</row>
    <row r="4" spans="1:64" s="10" customFormat="1" ht="76.5" x14ac:dyDescent="0.2">
      <c r="A4" s="7" t="s">
        <v>46</v>
      </c>
      <c r="B4" s="8" t="s">
        <v>37</v>
      </c>
      <c r="C4" s="1" t="s">
        <v>45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57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58</v>
      </c>
      <c r="P4" s="1" t="s">
        <v>59</v>
      </c>
      <c r="Q4" s="1" t="s">
        <v>60</v>
      </c>
      <c r="R4" s="1" t="s">
        <v>61</v>
      </c>
      <c r="S4" s="1" t="s">
        <v>62</v>
      </c>
      <c r="T4" s="1" t="s">
        <v>63</v>
      </c>
      <c r="U4" s="1" t="s">
        <v>64</v>
      </c>
      <c r="V4" s="1" t="s">
        <v>65</v>
      </c>
      <c r="W4" s="1" t="s">
        <v>66</v>
      </c>
      <c r="X4" s="1" t="s">
        <v>67</v>
      </c>
      <c r="Y4" s="1" t="s">
        <v>68</v>
      </c>
      <c r="Z4" s="1" t="s">
        <v>69</v>
      </c>
      <c r="AA4" s="1" t="s">
        <v>112</v>
      </c>
      <c r="AB4" s="1" t="s">
        <v>76</v>
      </c>
      <c r="AC4" s="1" t="s">
        <v>77</v>
      </c>
      <c r="AD4" s="1" t="s">
        <v>113</v>
      </c>
      <c r="AE4" s="1" t="s">
        <v>78</v>
      </c>
      <c r="AF4" s="1" t="s">
        <v>79</v>
      </c>
      <c r="AG4" s="1" t="s">
        <v>80</v>
      </c>
      <c r="AH4" s="1" t="s">
        <v>81</v>
      </c>
      <c r="AI4" s="1" t="s">
        <v>82</v>
      </c>
      <c r="AJ4" s="1" t="s">
        <v>83</v>
      </c>
      <c r="AK4" s="1" t="s">
        <v>84</v>
      </c>
      <c r="AL4" s="1" t="s">
        <v>85</v>
      </c>
      <c r="AM4" s="1" t="s">
        <v>86</v>
      </c>
      <c r="AN4" s="1" t="s">
        <v>87</v>
      </c>
      <c r="AO4" s="1" t="s">
        <v>88</v>
      </c>
      <c r="AP4" s="1" t="s">
        <v>89</v>
      </c>
      <c r="AQ4" s="1" t="s">
        <v>90</v>
      </c>
      <c r="AR4" s="1" t="s">
        <v>91</v>
      </c>
      <c r="AS4" s="1" t="s">
        <v>92</v>
      </c>
      <c r="AT4" s="1" t="s">
        <v>93</v>
      </c>
      <c r="AU4" s="1" t="s">
        <v>94</v>
      </c>
      <c r="AV4" s="1" t="s">
        <v>95</v>
      </c>
      <c r="AW4" s="1" t="s">
        <v>96</v>
      </c>
      <c r="AX4" s="1" t="s">
        <v>97</v>
      </c>
      <c r="AY4" s="1" t="s">
        <v>98</v>
      </c>
      <c r="AZ4" s="1" t="s">
        <v>99</v>
      </c>
      <c r="BA4" s="1" t="s">
        <v>100</v>
      </c>
      <c r="BB4" s="1" t="s">
        <v>101</v>
      </c>
      <c r="BC4" s="1" t="s">
        <v>102</v>
      </c>
      <c r="BD4" s="1" t="s">
        <v>103</v>
      </c>
      <c r="BE4" s="1" t="s">
        <v>104</v>
      </c>
      <c r="BF4" s="1" t="s">
        <v>105</v>
      </c>
      <c r="BG4" s="1" t="s">
        <v>106</v>
      </c>
      <c r="BH4" s="1" t="s">
        <v>107</v>
      </c>
      <c r="BI4" s="1" t="s">
        <v>108</v>
      </c>
      <c r="BJ4" s="1" t="s">
        <v>109</v>
      </c>
      <c r="BK4" s="31" t="s">
        <v>121</v>
      </c>
      <c r="BL4" s="8" t="s">
        <v>37</v>
      </c>
    </row>
    <row r="5" spans="1:64" x14ac:dyDescent="0.2">
      <c r="A5" s="11" t="s">
        <v>0</v>
      </c>
      <c r="B5" s="12"/>
      <c r="C5" s="13">
        <v>102101</v>
      </c>
      <c r="D5" s="14">
        <v>0</v>
      </c>
      <c r="E5" s="14">
        <v>715196</v>
      </c>
      <c r="F5" s="14">
        <v>3136924</v>
      </c>
      <c r="G5" s="14">
        <v>0</v>
      </c>
      <c r="H5" s="14">
        <v>40000</v>
      </c>
      <c r="I5" s="14" t="s">
        <v>44</v>
      </c>
      <c r="J5" s="14">
        <v>30334</v>
      </c>
      <c r="K5" s="14">
        <v>0</v>
      </c>
      <c r="L5" s="14">
        <v>2960093</v>
      </c>
      <c r="M5" s="14">
        <v>352376</v>
      </c>
      <c r="N5" s="14">
        <v>495294</v>
      </c>
      <c r="O5" s="14">
        <v>125234</v>
      </c>
      <c r="P5" s="14">
        <v>244217</v>
      </c>
      <c r="Q5" s="14">
        <v>0</v>
      </c>
      <c r="R5" s="14">
        <v>382504</v>
      </c>
      <c r="S5" s="3">
        <v>0</v>
      </c>
      <c r="T5" s="34">
        <v>27.43</v>
      </c>
      <c r="U5" s="35">
        <v>123890</v>
      </c>
      <c r="V5" s="36">
        <v>76012</v>
      </c>
      <c r="W5" s="36">
        <v>122379</v>
      </c>
      <c r="X5" s="36">
        <v>76012</v>
      </c>
      <c r="Y5" s="36">
        <v>85407</v>
      </c>
      <c r="Z5" s="36">
        <v>76012</v>
      </c>
      <c r="AA5" s="37" t="s">
        <v>110</v>
      </c>
      <c r="AB5" s="36">
        <v>688617</v>
      </c>
      <c r="AC5" s="36">
        <v>154902</v>
      </c>
      <c r="AD5" s="36">
        <v>0</v>
      </c>
      <c r="AE5" s="36">
        <v>44300</v>
      </c>
      <c r="AF5" s="36">
        <v>19938</v>
      </c>
      <c r="AG5" s="13">
        <v>366270</v>
      </c>
      <c r="AH5" s="13">
        <v>0</v>
      </c>
      <c r="AI5" s="13">
        <v>1692</v>
      </c>
      <c r="AJ5" s="13">
        <v>0</v>
      </c>
      <c r="AK5" s="36">
        <v>92551</v>
      </c>
      <c r="AL5" s="36">
        <v>74605</v>
      </c>
      <c r="AM5" s="13">
        <v>99479</v>
      </c>
      <c r="AN5" s="13">
        <v>22000</v>
      </c>
      <c r="AO5" s="30">
        <v>106941</v>
      </c>
      <c r="AP5" s="30"/>
      <c r="AQ5" s="30">
        <v>9766</v>
      </c>
      <c r="AR5" s="26">
        <v>4</v>
      </c>
      <c r="AS5" s="26">
        <v>3700</v>
      </c>
      <c r="AT5" s="30">
        <v>4150</v>
      </c>
      <c r="AU5" s="30">
        <v>6</v>
      </c>
      <c r="AV5" s="30">
        <v>6852</v>
      </c>
      <c r="AW5" s="30">
        <v>0</v>
      </c>
      <c r="AX5" s="45"/>
      <c r="AY5" s="30">
        <v>2</v>
      </c>
      <c r="AZ5" s="30">
        <v>198</v>
      </c>
      <c r="BA5" s="30">
        <v>81</v>
      </c>
      <c r="BB5" s="30">
        <v>0</v>
      </c>
      <c r="BC5" s="30">
        <v>0</v>
      </c>
      <c r="BD5" s="36" t="s">
        <v>110</v>
      </c>
      <c r="BE5" s="36">
        <v>141</v>
      </c>
      <c r="BF5" s="36">
        <v>8</v>
      </c>
      <c r="BG5" s="36">
        <v>1</v>
      </c>
      <c r="BH5" s="36">
        <v>17</v>
      </c>
      <c r="BI5" s="36">
        <v>14</v>
      </c>
      <c r="BJ5" s="38">
        <v>8.9</v>
      </c>
      <c r="BK5" s="32">
        <v>9.26</v>
      </c>
      <c r="BL5" s="12"/>
    </row>
    <row r="6" spans="1:64" x14ac:dyDescent="0.2">
      <c r="A6" s="11" t="s">
        <v>4</v>
      </c>
      <c r="B6" s="12"/>
      <c r="C6" s="13">
        <v>169411</v>
      </c>
      <c r="D6" s="2">
        <v>0</v>
      </c>
      <c r="E6" s="14">
        <v>1217302</v>
      </c>
      <c r="F6" s="14">
        <v>10220628</v>
      </c>
      <c r="G6" s="2">
        <v>0</v>
      </c>
      <c r="H6" s="2">
        <v>0</v>
      </c>
      <c r="I6" s="2">
        <v>349644</v>
      </c>
      <c r="J6" s="2">
        <v>78285</v>
      </c>
      <c r="K6" s="14">
        <v>43444</v>
      </c>
      <c r="L6" s="14">
        <v>8172026</v>
      </c>
      <c r="M6" s="14">
        <v>1306638</v>
      </c>
      <c r="N6" s="2">
        <v>1211823</v>
      </c>
      <c r="O6" s="2">
        <v>205841</v>
      </c>
      <c r="P6" s="14">
        <v>327284</v>
      </c>
      <c r="Q6" s="14">
        <v>349644</v>
      </c>
      <c r="R6" s="14">
        <v>336047</v>
      </c>
      <c r="S6" s="3">
        <v>0</v>
      </c>
      <c r="T6" s="34">
        <v>74</v>
      </c>
      <c r="U6" s="35">
        <v>417535</v>
      </c>
      <c r="V6" s="35">
        <v>50260</v>
      </c>
      <c r="W6" s="36">
        <v>398299</v>
      </c>
      <c r="X6" s="36">
        <v>50260</v>
      </c>
      <c r="Y6" s="36">
        <v>175189</v>
      </c>
      <c r="Z6" s="36">
        <v>143418</v>
      </c>
      <c r="AA6" s="37" t="s">
        <v>110</v>
      </c>
      <c r="AB6" s="36">
        <v>1650569</v>
      </c>
      <c r="AC6" s="36">
        <v>381659</v>
      </c>
      <c r="AD6" s="36">
        <v>0</v>
      </c>
      <c r="AE6" s="36">
        <v>92849</v>
      </c>
      <c r="AF6" s="36">
        <v>37566</v>
      </c>
      <c r="AG6" s="13">
        <v>792912</v>
      </c>
      <c r="AH6" s="13">
        <v>0</v>
      </c>
      <c r="AI6" s="13">
        <v>27030</v>
      </c>
      <c r="AJ6" s="15">
        <v>2561</v>
      </c>
      <c r="AK6" s="15">
        <v>2322029</v>
      </c>
      <c r="AL6" s="15">
        <v>527941</v>
      </c>
      <c r="AM6" s="13"/>
      <c r="AN6" s="13">
        <v>28824</v>
      </c>
      <c r="AO6" s="26"/>
      <c r="AP6" s="30"/>
      <c r="AQ6" s="30">
        <v>27637</v>
      </c>
      <c r="AR6" s="30">
        <v>6</v>
      </c>
      <c r="AS6" s="26">
        <v>4921</v>
      </c>
      <c r="AT6" s="30">
        <v>6925</v>
      </c>
      <c r="AU6" s="30">
        <v>18</v>
      </c>
      <c r="AV6" s="30">
        <v>13256</v>
      </c>
      <c r="AW6" s="30">
        <v>0</v>
      </c>
      <c r="AX6" s="45"/>
      <c r="AY6" s="30">
        <v>0</v>
      </c>
      <c r="AZ6" s="30">
        <v>335</v>
      </c>
      <c r="BA6" s="30">
        <v>0</v>
      </c>
      <c r="BB6" s="30">
        <v>0</v>
      </c>
      <c r="BC6" s="30">
        <v>0</v>
      </c>
      <c r="BD6" s="36" t="s">
        <v>110</v>
      </c>
      <c r="BE6" s="36">
        <v>275</v>
      </c>
      <c r="BF6" s="36">
        <v>40</v>
      </c>
      <c r="BG6" s="36">
        <v>104</v>
      </c>
      <c r="BH6" s="36">
        <v>58</v>
      </c>
      <c r="BI6" s="36">
        <v>21</v>
      </c>
      <c r="BJ6" s="38">
        <v>8.3000000000000007</v>
      </c>
      <c r="BK6" s="32">
        <v>9.0399999999999991</v>
      </c>
      <c r="BL6" s="12"/>
    </row>
    <row r="7" spans="1:64" x14ac:dyDescent="0.2">
      <c r="A7" s="11" t="s">
        <v>1</v>
      </c>
      <c r="B7" s="12"/>
      <c r="C7" s="13">
        <v>193146</v>
      </c>
      <c r="D7" s="2">
        <v>0</v>
      </c>
      <c r="E7" s="14">
        <v>1419869</v>
      </c>
      <c r="F7" s="14">
        <v>5406497.7000000002</v>
      </c>
      <c r="G7" s="2">
        <v>0</v>
      </c>
      <c r="H7" s="2">
        <v>0</v>
      </c>
      <c r="I7" s="2">
        <v>0</v>
      </c>
      <c r="J7" s="2">
        <v>124567</v>
      </c>
      <c r="K7" s="14">
        <v>140162</v>
      </c>
      <c r="L7" s="14">
        <v>6898752</v>
      </c>
      <c r="M7" s="14">
        <v>175557</v>
      </c>
      <c r="N7" s="2">
        <v>823822</v>
      </c>
      <c r="O7" s="2">
        <v>219418</v>
      </c>
      <c r="P7" s="14">
        <v>329740</v>
      </c>
      <c r="Q7" s="14">
        <v>0</v>
      </c>
      <c r="R7" s="14">
        <v>0</v>
      </c>
      <c r="S7" s="3">
        <v>0</v>
      </c>
      <c r="T7" s="34">
        <v>63.72</v>
      </c>
      <c r="U7" s="35">
        <v>177254</v>
      </c>
      <c r="V7" s="35">
        <v>37029</v>
      </c>
      <c r="W7" s="36">
        <v>172646</v>
      </c>
      <c r="X7" s="36">
        <v>37029</v>
      </c>
      <c r="Y7" s="36">
        <v>188757</v>
      </c>
      <c r="Z7" s="36">
        <v>33605</v>
      </c>
      <c r="AA7" s="37" t="s">
        <v>110</v>
      </c>
      <c r="AB7" s="36">
        <v>641905</v>
      </c>
      <c r="AC7" s="36">
        <v>95404</v>
      </c>
      <c r="AD7" s="36">
        <v>2731</v>
      </c>
      <c r="AE7" s="36">
        <v>118003</v>
      </c>
      <c r="AF7" s="36">
        <v>28998</v>
      </c>
      <c r="AG7" s="13">
        <v>705558</v>
      </c>
      <c r="AH7" s="13">
        <v>0</v>
      </c>
      <c r="AI7" s="13">
        <v>0</v>
      </c>
      <c r="AJ7" s="15">
        <v>0</v>
      </c>
      <c r="AK7" s="15">
        <v>1620168</v>
      </c>
      <c r="AL7" s="15">
        <v>615385</v>
      </c>
      <c r="AM7" s="13"/>
      <c r="AN7" s="13">
        <v>57054</v>
      </c>
      <c r="AO7" s="26"/>
      <c r="AP7" s="30">
        <v>100128</v>
      </c>
      <c r="AQ7" s="26">
        <v>72727</v>
      </c>
      <c r="AR7" s="26">
        <v>5</v>
      </c>
      <c r="AS7" s="26">
        <v>5137</v>
      </c>
      <c r="AT7" s="26">
        <v>5797</v>
      </c>
      <c r="AU7" s="30">
        <v>23</v>
      </c>
      <c r="AV7" s="30">
        <v>8934</v>
      </c>
      <c r="AW7" s="30">
        <v>0</v>
      </c>
      <c r="AX7" s="45"/>
      <c r="AY7" s="30">
        <v>0</v>
      </c>
      <c r="AZ7" s="30">
        <v>278</v>
      </c>
      <c r="BA7" s="30">
        <v>0</v>
      </c>
      <c r="BB7" s="30">
        <v>0</v>
      </c>
      <c r="BC7" s="30">
        <v>0</v>
      </c>
      <c r="BD7" s="36" t="s">
        <v>110</v>
      </c>
      <c r="BE7" s="36">
        <v>102</v>
      </c>
      <c r="BF7" s="36">
        <v>6</v>
      </c>
      <c r="BG7" s="36">
        <v>70</v>
      </c>
      <c r="BH7" s="36">
        <v>126</v>
      </c>
      <c r="BI7" s="36">
        <v>30</v>
      </c>
      <c r="BJ7" s="32">
        <v>9.0399999999999991</v>
      </c>
      <c r="BK7" s="32">
        <v>9.0399999999999991</v>
      </c>
      <c r="BL7" s="12"/>
    </row>
    <row r="8" spans="1:64" x14ac:dyDescent="0.2">
      <c r="A8" s="11" t="s">
        <v>51</v>
      </c>
      <c r="B8" s="12"/>
      <c r="C8" s="13">
        <v>6110</v>
      </c>
      <c r="D8" s="14">
        <v>0</v>
      </c>
      <c r="E8" s="14">
        <v>125214</v>
      </c>
      <c r="F8" s="14">
        <v>81774.320000000007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107327.62</v>
      </c>
      <c r="M8" s="14">
        <v>70590.63</v>
      </c>
      <c r="N8" s="14">
        <v>6001.59</v>
      </c>
      <c r="O8" s="14">
        <v>0</v>
      </c>
      <c r="P8" s="14">
        <v>8207.7999999999993</v>
      </c>
      <c r="Q8" s="14">
        <v>460</v>
      </c>
      <c r="R8" s="14">
        <v>14400.68</v>
      </c>
      <c r="S8" s="14">
        <v>0</v>
      </c>
      <c r="T8" s="34">
        <v>1.5</v>
      </c>
      <c r="U8" s="35">
        <v>15472</v>
      </c>
      <c r="V8" s="35">
        <v>1101</v>
      </c>
      <c r="W8" s="36">
        <v>15472</v>
      </c>
      <c r="X8" s="36">
        <v>1101</v>
      </c>
      <c r="Y8" s="36">
        <v>15472</v>
      </c>
      <c r="Z8" s="36">
        <v>2391</v>
      </c>
      <c r="AA8" s="37" t="s">
        <v>110</v>
      </c>
      <c r="AB8" s="36">
        <v>8360</v>
      </c>
      <c r="AC8" s="36">
        <v>1105</v>
      </c>
      <c r="AD8" s="36">
        <v>0</v>
      </c>
      <c r="AE8" s="36">
        <v>967</v>
      </c>
      <c r="AF8" s="36">
        <v>369</v>
      </c>
      <c r="AG8" s="13">
        <v>7137</v>
      </c>
      <c r="AH8" s="13">
        <v>341</v>
      </c>
      <c r="AI8" s="13">
        <v>10</v>
      </c>
      <c r="AJ8" s="15">
        <v>40</v>
      </c>
      <c r="AK8" s="15">
        <v>3232</v>
      </c>
      <c r="AL8" s="13"/>
      <c r="AM8" s="13"/>
      <c r="AN8" s="15">
        <v>122</v>
      </c>
      <c r="AO8" s="26"/>
      <c r="AP8" s="30"/>
      <c r="AQ8" s="30"/>
      <c r="AR8" s="30">
        <v>5</v>
      </c>
      <c r="AS8" s="30"/>
      <c r="AT8" s="30"/>
      <c r="AU8" s="30">
        <v>0</v>
      </c>
      <c r="AV8" s="30">
        <v>0</v>
      </c>
      <c r="AW8" s="30">
        <v>1</v>
      </c>
      <c r="AX8" s="30">
        <v>6</v>
      </c>
      <c r="AY8" s="30">
        <v>0</v>
      </c>
      <c r="AZ8" s="30">
        <v>36</v>
      </c>
      <c r="BA8" s="30">
        <v>0</v>
      </c>
      <c r="BB8" s="30">
        <v>5</v>
      </c>
      <c r="BC8" s="30">
        <v>0</v>
      </c>
      <c r="BD8" s="36" t="s">
        <v>111</v>
      </c>
      <c r="BE8" s="36"/>
      <c r="BF8" s="36">
        <v>2</v>
      </c>
      <c r="BG8" s="36">
        <v>5</v>
      </c>
      <c r="BH8" s="36">
        <v>3</v>
      </c>
      <c r="BI8" s="36">
        <v>0</v>
      </c>
      <c r="BJ8" s="32">
        <v>9.02</v>
      </c>
      <c r="BK8" s="32">
        <v>9.02</v>
      </c>
      <c r="BL8" s="12"/>
    </row>
    <row r="9" spans="1:64" x14ac:dyDescent="0.2">
      <c r="A9" s="11" t="s">
        <v>2</v>
      </c>
      <c r="B9" s="12"/>
      <c r="C9" s="13">
        <v>38506</v>
      </c>
      <c r="D9" s="14">
        <v>0</v>
      </c>
      <c r="E9" s="14">
        <v>342479</v>
      </c>
      <c r="F9" s="14">
        <v>1256225</v>
      </c>
      <c r="G9" s="14">
        <v>0</v>
      </c>
      <c r="H9" s="14">
        <v>0</v>
      </c>
      <c r="I9" s="14">
        <v>0</v>
      </c>
      <c r="J9" s="14">
        <v>19105</v>
      </c>
      <c r="K9" s="14">
        <v>117028</v>
      </c>
      <c r="L9" s="14">
        <v>1035565</v>
      </c>
      <c r="M9" s="14">
        <v>287657</v>
      </c>
      <c r="N9" s="14">
        <v>106122</v>
      </c>
      <c r="O9" s="14">
        <v>9890</v>
      </c>
      <c r="P9" s="14">
        <v>48430</v>
      </c>
      <c r="Q9" s="14">
        <v>0</v>
      </c>
      <c r="R9" s="14">
        <v>259128</v>
      </c>
      <c r="S9" s="3">
        <v>488437</v>
      </c>
      <c r="T9" s="34">
        <v>11.3</v>
      </c>
      <c r="U9" s="35">
        <v>125003</v>
      </c>
      <c r="V9" s="35">
        <v>6333</v>
      </c>
      <c r="W9" s="36">
        <v>125003</v>
      </c>
      <c r="X9" s="36">
        <v>6333</v>
      </c>
      <c r="Y9" s="36">
        <v>35805</v>
      </c>
      <c r="Z9" s="36">
        <v>6296</v>
      </c>
      <c r="AA9" s="37" t="s">
        <v>110</v>
      </c>
      <c r="AB9" s="36">
        <v>163065</v>
      </c>
      <c r="AC9" s="36">
        <v>23023</v>
      </c>
      <c r="AD9" s="36">
        <v>141</v>
      </c>
      <c r="AE9" s="36">
        <v>10662</v>
      </c>
      <c r="AF9" s="36">
        <v>4084</v>
      </c>
      <c r="AG9" s="13">
        <v>110999</v>
      </c>
      <c r="AH9" s="13">
        <v>0</v>
      </c>
      <c r="AI9" s="13">
        <v>1208</v>
      </c>
      <c r="AJ9" s="13">
        <v>1653</v>
      </c>
      <c r="AK9" s="13">
        <v>33477</v>
      </c>
      <c r="AL9" s="13"/>
      <c r="AM9" s="13">
        <v>5238</v>
      </c>
      <c r="AN9" s="13">
        <v>16761</v>
      </c>
      <c r="AO9" s="26">
        <v>3056</v>
      </c>
      <c r="AP9" s="26">
        <v>2846</v>
      </c>
      <c r="AQ9" s="26">
        <v>4992</v>
      </c>
      <c r="AR9" s="26">
        <v>5</v>
      </c>
      <c r="AS9" s="26">
        <v>1900</v>
      </c>
      <c r="AT9" s="26">
        <v>2540</v>
      </c>
      <c r="AU9" s="30">
        <v>5</v>
      </c>
      <c r="AV9" s="30">
        <v>325</v>
      </c>
      <c r="AW9" s="30">
        <v>0</v>
      </c>
      <c r="AX9" s="45"/>
      <c r="AY9" s="30">
        <v>5</v>
      </c>
      <c r="AZ9" s="30">
        <v>103</v>
      </c>
      <c r="BA9" s="30">
        <v>72</v>
      </c>
      <c r="BB9" s="30">
        <v>0</v>
      </c>
      <c r="BC9" s="30">
        <v>51</v>
      </c>
      <c r="BD9" s="36" t="s">
        <v>110</v>
      </c>
      <c r="BE9" s="36" t="s">
        <v>116</v>
      </c>
      <c r="BF9" s="36">
        <v>15</v>
      </c>
      <c r="BG9" s="36">
        <v>53</v>
      </c>
      <c r="BH9" s="36">
        <v>27</v>
      </c>
      <c r="BI9" s="36">
        <v>3</v>
      </c>
      <c r="BJ9" s="38">
        <v>8.8000000000000007</v>
      </c>
      <c r="BK9" s="32">
        <v>9.23</v>
      </c>
      <c r="BL9" s="12"/>
    </row>
    <row r="10" spans="1:64" x14ac:dyDescent="0.2">
      <c r="A10" s="11" t="s">
        <v>3</v>
      </c>
      <c r="B10" s="12"/>
      <c r="C10" s="13">
        <v>232011</v>
      </c>
      <c r="D10" s="14">
        <v>0</v>
      </c>
      <c r="E10" s="14">
        <v>1860024</v>
      </c>
      <c r="F10" s="14">
        <v>4603056</v>
      </c>
      <c r="G10" s="14">
        <v>381000</v>
      </c>
      <c r="H10" s="14">
        <v>976064</v>
      </c>
      <c r="I10" s="14">
        <v>25815</v>
      </c>
      <c r="J10" s="14">
        <v>187515</v>
      </c>
      <c r="K10" s="14">
        <v>31361</v>
      </c>
      <c r="L10" s="14">
        <v>5653307</v>
      </c>
      <c r="M10" s="14">
        <v>1517200</v>
      </c>
      <c r="N10" s="14">
        <v>956501</v>
      </c>
      <c r="O10" s="14">
        <v>222471</v>
      </c>
      <c r="P10" s="14">
        <v>262105</v>
      </c>
      <c r="Q10" s="14">
        <v>341879</v>
      </c>
      <c r="R10" s="14">
        <v>148660.72</v>
      </c>
      <c r="S10" s="3">
        <v>8217</v>
      </c>
      <c r="T10" s="34">
        <v>60.9</v>
      </c>
      <c r="U10" s="35">
        <v>281939</v>
      </c>
      <c r="V10" s="35">
        <v>41498</v>
      </c>
      <c r="W10" s="36">
        <v>262280</v>
      </c>
      <c r="X10" s="36">
        <v>41498</v>
      </c>
      <c r="Y10" s="36">
        <v>175839</v>
      </c>
      <c r="Z10" s="36">
        <v>35746</v>
      </c>
      <c r="AA10" s="37" t="s">
        <v>110</v>
      </c>
      <c r="AB10" s="36">
        <v>917417</v>
      </c>
      <c r="AC10" s="36">
        <v>151172</v>
      </c>
      <c r="AD10" s="36">
        <v>26</v>
      </c>
      <c r="AE10" s="36">
        <v>58372</v>
      </c>
      <c r="AF10" s="36">
        <v>19476</v>
      </c>
      <c r="AG10" s="13">
        <v>531640</v>
      </c>
      <c r="AH10" s="13">
        <v>12437</v>
      </c>
      <c r="AI10" s="13">
        <v>1934</v>
      </c>
      <c r="AJ10" s="13">
        <v>6264</v>
      </c>
      <c r="AK10" s="15">
        <v>489886</v>
      </c>
      <c r="AL10" s="15">
        <v>41862</v>
      </c>
      <c r="AM10" s="13">
        <v>137740</v>
      </c>
      <c r="AN10" s="13">
        <v>56650</v>
      </c>
      <c r="AO10" s="26">
        <v>19903</v>
      </c>
      <c r="AP10" s="26">
        <v>2464</v>
      </c>
      <c r="AQ10" s="26">
        <v>12617</v>
      </c>
      <c r="AR10" s="26">
        <v>18</v>
      </c>
      <c r="AS10" s="26">
        <v>6328</v>
      </c>
      <c r="AT10" s="30">
        <v>8275</v>
      </c>
      <c r="AU10" s="30">
        <v>20</v>
      </c>
      <c r="AV10" s="30">
        <v>2665</v>
      </c>
      <c r="AW10" s="30">
        <v>6</v>
      </c>
      <c r="AX10" s="30">
        <v>37</v>
      </c>
      <c r="AY10" s="30">
        <v>3</v>
      </c>
      <c r="AZ10" s="30">
        <v>658</v>
      </c>
      <c r="BA10" s="30">
        <v>0</v>
      </c>
      <c r="BB10" s="30">
        <v>47</v>
      </c>
      <c r="BC10" s="30">
        <v>2</v>
      </c>
      <c r="BD10" s="36" t="s">
        <v>110</v>
      </c>
      <c r="BE10" s="36">
        <v>424</v>
      </c>
      <c r="BF10" s="36">
        <v>115</v>
      </c>
      <c r="BG10" s="36">
        <v>293</v>
      </c>
      <c r="BH10" s="36">
        <v>87</v>
      </c>
      <c r="BI10" s="36">
        <v>7</v>
      </c>
      <c r="BJ10" s="38">
        <v>8.3000000000000007</v>
      </c>
      <c r="BK10" s="32">
        <v>9.16</v>
      </c>
      <c r="BL10" s="12"/>
    </row>
    <row r="11" spans="1:64" x14ac:dyDescent="0.2">
      <c r="A11" s="11" t="s">
        <v>117</v>
      </c>
      <c r="B11" s="12"/>
      <c r="C11" s="13">
        <v>378472</v>
      </c>
      <c r="D11" s="14">
        <v>1574.27</v>
      </c>
      <c r="E11" s="14">
        <v>2443523.5</v>
      </c>
      <c r="F11" s="14">
        <v>7404408.5499999989</v>
      </c>
      <c r="G11" s="14">
        <v>0</v>
      </c>
      <c r="H11" s="14">
        <v>0</v>
      </c>
      <c r="I11" s="14">
        <v>173420.57</v>
      </c>
      <c r="J11" s="14">
        <v>70641.08</v>
      </c>
      <c r="K11" s="14">
        <v>151291.03000000076</v>
      </c>
      <c r="L11" s="14">
        <v>7507908</v>
      </c>
      <c r="M11" s="14">
        <v>963072.36999999988</v>
      </c>
      <c r="N11" s="14">
        <v>1033211.5299999998</v>
      </c>
      <c r="O11" s="14">
        <v>124634.34</v>
      </c>
      <c r="P11" s="14">
        <v>296875.28000000003</v>
      </c>
      <c r="Q11" s="14">
        <v>173420.57</v>
      </c>
      <c r="R11" s="14">
        <v>1174846.68</v>
      </c>
      <c r="S11" s="3">
        <v>-1241214.0899999999</v>
      </c>
      <c r="T11" s="34">
        <v>66</v>
      </c>
      <c r="U11" s="35">
        <v>241954</v>
      </c>
      <c r="V11" s="35">
        <v>26259</v>
      </c>
      <c r="W11" s="36">
        <v>241497</v>
      </c>
      <c r="X11" s="36">
        <v>26259</v>
      </c>
      <c r="Y11" s="36">
        <v>183485</v>
      </c>
      <c r="Z11" s="36">
        <v>26259</v>
      </c>
      <c r="AA11" s="37" t="s">
        <v>110</v>
      </c>
      <c r="AB11" s="36">
        <v>1245174</v>
      </c>
      <c r="AC11" s="36">
        <v>682168</v>
      </c>
      <c r="AD11" s="36">
        <v>12</v>
      </c>
      <c r="AE11" s="36">
        <v>77341</v>
      </c>
      <c r="AF11" s="36">
        <v>26589</v>
      </c>
      <c r="AG11" s="13">
        <v>748489</v>
      </c>
      <c r="AH11" s="13">
        <v>11232</v>
      </c>
      <c r="AI11" s="13">
        <v>1739</v>
      </c>
      <c r="AJ11" s="15">
        <v>7523</v>
      </c>
      <c r="AK11" s="15">
        <v>486000</v>
      </c>
      <c r="AL11" s="15">
        <v>223000</v>
      </c>
      <c r="AM11" s="15">
        <v>252602</v>
      </c>
      <c r="AN11" s="15">
        <v>58099</v>
      </c>
      <c r="AO11" s="26"/>
      <c r="AP11" s="30">
        <v>38567</v>
      </c>
      <c r="AQ11" s="30">
        <v>55363</v>
      </c>
      <c r="AR11" s="30">
        <v>5</v>
      </c>
      <c r="AS11" s="26">
        <v>4733</v>
      </c>
      <c r="AT11" s="26">
        <v>5220</v>
      </c>
      <c r="AU11" s="30">
        <v>3</v>
      </c>
      <c r="AV11" s="30">
        <v>3161</v>
      </c>
      <c r="AW11" s="30">
        <v>0</v>
      </c>
      <c r="AX11" s="45"/>
      <c r="AY11" s="30">
        <v>0</v>
      </c>
      <c r="AZ11" s="30">
        <v>301.5</v>
      </c>
      <c r="BA11" s="30">
        <v>0</v>
      </c>
      <c r="BB11" s="30">
        <v>0</v>
      </c>
      <c r="BC11" s="30">
        <v>0</v>
      </c>
      <c r="BD11" s="36" t="s">
        <v>110</v>
      </c>
      <c r="BE11" s="36">
        <v>150</v>
      </c>
      <c r="BF11" s="36">
        <v>48</v>
      </c>
      <c r="BG11" s="36">
        <v>60</v>
      </c>
      <c r="BH11" s="36">
        <v>81</v>
      </c>
      <c r="BI11" s="36">
        <v>23</v>
      </c>
      <c r="BJ11" s="32">
        <v>8.99</v>
      </c>
      <c r="BK11" s="32">
        <v>8.99</v>
      </c>
      <c r="BL11" s="12"/>
    </row>
    <row r="12" spans="1:64" x14ac:dyDescent="0.2">
      <c r="A12" s="11" t="s">
        <v>74</v>
      </c>
      <c r="B12" s="12"/>
      <c r="C12" s="13">
        <v>33435</v>
      </c>
      <c r="D12" s="14">
        <v>8000</v>
      </c>
      <c r="E12" s="14">
        <v>407917</v>
      </c>
      <c r="F12" s="14">
        <v>745042</v>
      </c>
      <c r="G12" s="2">
        <v>0</v>
      </c>
      <c r="H12" s="14">
        <v>0</v>
      </c>
      <c r="I12" s="2">
        <v>0</v>
      </c>
      <c r="J12" s="14">
        <v>4721.16</v>
      </c>
      <c r="K12" s="14">
        <v>388</v>
      </c>
      <c r="L12" s="14">
        <v>622338</v>
      </c>
      <c r="M12" s="14">
        <v>284330</v>
      </c>
      <c r="N12" s="2">
        <v>127547</v>
      </c>
      <c r="O12" s="2">
        <v>17639</v>
      </c>
      <c r="P12" s="14">
        <v>114214</v>
      </c>
      <c r="Q12" s="14">
        <v>0</v>
      </c>
      <c r="R12" s="14">
        <v>0</v>
      </c>
      <c r="S12" s="3">
        <v>0</v>
      </c>
      <c r="T12" s="34">
        <v>6.47</v>
      </c>
      <c r="U12" s="35">
        <v>59514</v>
      </c>
      <c r="V12" s="35">
        <v>17740</v>
      </c>
      <c r="W12" s="36">
        <v>59514</v>
      </c>
      <c r="X12" s="36">
        <v>17740</v>
      </c>
      <c r="Y12" s="36">
        <v>28034</v>
      </c>
      <c r="Z12" s="36">
        <v>16623</v>
      </c>
      <c r="AA12" s="37" t="s">
        <v>110</v>
      </c>
      <c r="AB12" s="36">
        <v>79979</v>
      </c>
      <c r="AC12" s="36">
        <v>123177</v>
      </c>
      <c r="AD12" s="36">
        <v>0</v>
      </c>
      <c r="AE12" s="36">
        <v>13628</v>
      </c>
      <c r="AF12" s="36">
        <v>2921</v>
      </c>
      <c r="AG12" s="13">
        <v>64316</v>
      </c>
      <c r="AH12" s="13">
        <v>0</v>
      </c>
      <c r="AI12" s="13">
        <v>220</v>
      </c>
      <c r="AJ12" s="15">
        <v>109</v>
      </c>
      <c r="AK12" s="13"/>
      <c r="AL12" s="13"/>
      <c r="AM12" s="13"/>
      <c r="AN12" s="15">
        <v>5336</v>
      </c>
      <c r="AO12" s="30">
        <v>7596</v>
      </c>
      <c r="AP12" s="30">
        <v>1274</v>
      </c>
      <c r="AQ12" s="30">
        <v>1160</v>
      </c>
      <c r="AR12" s="26">
        <v>8</v>
      </c>
      <c r="AS12" s="30"/>
      <c r="AT12" s="30"/>
      <c r="AU12" s="30">
        <v>0</v>
      </c>
      <c r="AV12" s="30">
        <v>0</v>
      </c>
      <c r="AW12" s="30">
        <v>0</v>
      </c>
      <c r="AX12" s="45"/>
      <c r="AY12" s="30">
        <v>2</v>
      </c>
      <c r="AZ12" s="30">
        <v>130</v>
      </c>
      <c r="BA12" s="30">
        <v>0</v>
      </c>
      <c r="BB12" s="30">
        <v>0</v>
      </c>
      <c r="BC12" s="30">
        <v>8</v>
      </c>
      <c r="BD12" s="36" t="s">
        <v>110</v>
      </c>
      <c r="BE12" s="36">
        <v>132</v>
      </c>
      <c r="BF12" s="36">
        <v>4</v>
      </c>
      <c r="BG12" s="36">
        <v>5</v>
      </c>
      <c r="BH12" s="36">
        <v>12</v>
      </c>
      <c r="BI12" s="36">
        <v>7</v>
      </c>
      <c r="BJ12" s="32">
        <v>9.4600000000000009</v>
      </c>
      <c r="BK12" s="32">
        <v>9.4600000000000009</v>
      </c>
      <c r="BL12" s="12"/>
    </row>
    <row r="13" spans="1:64" x14ac:dyDescent="0.2">
      <c r="A13" s="11" t="s">
        <v>5</v>
      </c>
      <c r="B13" s="12"/>
      <c r="C13" s="13">
        <v>150325</v>
      </c>
      <c r="D13" s="14">
        <v>0</v>
      </c>
      <c r="E13" s="14">
        <v>1088883</v>
      </c>
      <c r="F13" s="14">
        <v>4930417</v>
      </c>
      <c r="G13" s="14">
        <v>0</v>
      </c>
      <c r="H13" s="14">
        <v>0</v>
      </c>
      <c r="I13" s="14">
        <v>63794</v>
      </c>
      <c r="J13" s="14">
        <v>98236</v>
      </c>
      <c r="K13" s="14">
        <v>32622</v>
      </c>
      <c r="L13" s="14">
        <v>4574529</v>
      </c>
      <c r="M13" s="14">
        <v>663401</v>
      </c>
      <c r="N13" s="14">
        <v>405582</v>
      </c>
      <c r="O13" s="14">
        <v>98562</v>
      </c>
      <c r="P13" s="14">
        <v>408084</v>
      </c>
      <c r="Q13" s="14">
        <v>63794</v>
      </c>
      <c r="R13" s="14">
        <v>0</v>
      </c>
      <c r="S13" s="3">
        <v>0</v>
      </c>
      <c r="T13" s="34">
        <v>45.1</v>
      </c>
      <c r="U13" s="35">
        <v>152323</v>
      </c>
      <c r="V13" s="35">
        <v>42167</v>
      </c>
      <c r="W13" s="36">
        <v>153580</v>
      </c>
      <c r="X13" s="36">
        <v>42167</v>
      </c>
      <c r="Y13" s="36">
        <v>76503</v>
      </c>
      <c r="Z13" s="36">
        <v>117429</v>
      </c>
      <c r="AA13" s="37" t="s">
        <v>110</v>
      </c>
      <c r="AB13" s="36">
        <v>755328</v>
      </c>
      <c r="AC13" s="36">
        <v>221571</v>
      </c>
      <c r="AD13" s="36">
        <v>6007</v>
      </c>
      <c r="AE13" s="36">
        <v>24778</v>
      </c>
      <c r="AF13" s="36">
        <v>20525</v>
      </c>
      <c r="AG13" s="13">
        <v>407447</v>
      </c>
      <c r="AH13" s="13">
        <v>0</v>
      </c>
      <c r="AI13" s="13">
        <v>498</v>
      </c>
      <c r="AJ13" s="13">
        <v>282</v>
      </c>
      <c r="AK13" s="15">
        <v>595533</v>
      </c>
      <c r="AL13" s="13">
        <v>505051</v>
      </c>
      <c r="AM13" s="13">
        <v>216635</v>
      </c>
      <c r="AN13" s="13">
        <v>12908</v>
      </c>
      <c r="AO13" s="26">
        <v>353525</v>
      </c>
      <c r="AP13" s="26">
        <v>26434</v>
      </c>
      <c r="AQ13" s="26">
        <v>24583</v>
      </c>
      <c r="AR13" s="26">
        <v>4</v>
      </c>
      <c r="AS13" s="26">
        <v>1975</v>
      </c>
      <c r="AT13" s="30">
        <v>4056</v>
      </c>
      <c r="AU13" s="30">
        <v>2</v>
      </c>
      <c r="AV13" s="30">
        <v>1021</v>
      </c>
      <c r="AW13" s="30">
        <v>0</v>
      </c>
      <c r="AX13" s="45"/>
      <c r="AY13" s="30">
        <v>0</v>
      </c>
      <c r="AZ13" s="30">
        <v>227</v>
      </c>
      <c r="BA13" s="30">
        <v>0</v>
      </c>
      <c r="BB13" s="30">
        <v>0</v>
      </c>
      <c r="BC13" s="30">
        <v>0</v>
      </c>
      <c r="BD13" s="36" t="s">
        <v>110</v>
      </c>
      <c r="BE13" s="36">
        <v>101</v>
      </c>
      <c r="BF13" s="36">
        <v>26</v>
      </c>
      <c r="BG13" s="36">
        <v>7</v>
      </c>
      <c r="BH13" s="36">
        <v>65</v>
      </c>
      <c r="BI13" s="36">
        <v>16</v>
      </c>
      <c r="BJ13" s="32">
        <v>8.8000000000000007</v>
      </c>
      <c r="BK13" s="32">
        <v>8.8000000000000007</v>
      </c>
      <c r="BL13" s="12"/>
    </row>
    <row r="14" spans="1:64" x14ac:dyDescent="0.2">
      <c r="A14" s="11" t="s">
        <v>6</v>
      </c>
      <c r="B14" s="12"/>
      <c r="C14" s="13">
        <v>48887</v>
      </c>
      <c r="D14" s="14">
        <v>0</v>
      </c>
      <c r="E14" s="14">
        <v>406659</v>
      </c>
      <c r="F14" s="2">
        <v>1699708.3</v>
      </c>
      <c r="G14" s="14">
        <v>0</v>
      </c>
      <c r="H14" s="14">
        <v>9208</v>
      </c>
      <c r="I14" s="14">
        <v>0</v>
      </c>
      <c r="J14" s="14">
        <v>55072.75</v>
      </c>
      <c r="K14" s="14">
        <v>14151.2</v>
      </c>
      <c r="L14" s="14">
        <v>1445359.25</v>
      </c>
      <c r="M14" s="14">
        <v>225478.16</v>
      </c>
      <c r="N14" s="14">
        <v>205477</v>
      </c>
      <c r="O14" s="14">
        <v>0</v>
      </c>
      <c r="P14" s="14">
        <v>61147.839999999997</v>
      </c>
      <c r="Q14" s="14">
        <v>539</v>
      </c>
      <c r="R14" s="14">
        <v>247162</v>
      </c>
      <c r="S14" s="3">
        <v>0</v>
      </c>
      <c r="T14" s="34">
        <v>16.399999999999999</v>
      </c>
      <c r="U14" s="35">
        <v>73117</v>
      </c>
      <c r="V14" s="35">
        <v>7255</v>
      </c>
      <c r="W14" s="36">
        <v>70564</v>
      </c>
      <c r="X14" s="36">
        <v>7255</v>
      </c>
      <c r="Y14" s="36">
        <v>37462</v>
      </c>
      <c r="Z14" s="36">
        <v>4447</v>
      </c>
      <c r="AA14" s="37" t="s">
        <v>110</v>
      </c>
      <c r="AB14" s="36">
        <v>195906</v>
      </c>
      <c r="AC14" s="36">
        <v>41125</v>
      </c>
      <c r="AD14" s="36">
        <v>8</v>
      </c>
      <c r="AE14" s="36">
        <v>17410</v>
      </c>
      <c r="AF14" s="36">
        <v>5739</v>
      </c>
      <c r="AG14" s="13">
        <v>184814</v>
      </c>
      <c r="AH14" s="13">
        <v>3319</v>
      </c>
      <c r="AI14" s="13">
        <v>325</v>
      </c>
      <c r="AJ14" s="15">
        <v>435</v>
      </c>
      <c r="AK14" s="15">
        <v>26420</v>
      </c>
      <c r="AL14" s="15">
        <v>13738</v>
      </c>
      <c r="AM14" s="13"/>
      <c r="AN14" s="15">
        <v>12021</v>
      </c>
      <c r="AO14" s="30">
        <v>45664</v>
      </c>
      <c r="AP14" s="26"/>
      <c r="AQ14" s="30">
        <v>7397</v>
      </c>
      <c r="AR14" s="30">
        <v>6</v>
      </c>
      <c r="AS14" s="26">
        <v>1135</v>
      </c>
      <c r="AT14" s="26">
        <v>2640</v>
      </c>
      <c r="AU14" s="30">
        <v>11</v>
      </c>
      <c r="AV14" s="30">
        <v>3541.3</v>
      </c>
      <c r="AW14" s="30">
        <v>2</v>
      </c>
      <c r="AX14" s="30">
        <v>56</v>
      </c>
      <c r="AY14" s="30">
        <v>8</v>
      </c>
      <c r="AZ14" s="30">
        <v>283</v>
      </c>
      <c r="BA14" s="30">
        <v>0</v>
      </c>
      <c r="BB14" s="30">
        <v>25.8</v>
      </c>
      <c r="BC14" s="30">
        <v>69</v>
      </c>
      <c r="BD14" s="36" t="s">
        <v>110</v>
      </c>
      <c r="BE14" s="36">
        <v>25</v>
      </c>
      <c r="BF14" s="36">
        <v>18</v>
      </c>
      <c r="BG14" s="36">
        <v>24</v>
      </c>
      <c r="BH14" s="36">
        <v>71</v>
      </c>
      <c r="BI14" s="36">
        <v>7</v>
      </c>
      <c r="BJ14" s="32">
        <v>8.73</v>
      </c>
      <c r="BK14" s="32">
        <v>8.73</v>
      </c>
      <c r="BL14" s="12"/>
    </row>
    <row r="15" spans="1:64" x14ac:dyDescent="0.2">
      <c r="A15" s="11" t="s">
        <v>7</v>
      </c>
      <c r="B15" s="12"/>
      <c r="C15" s="13">
        <v>141002</v>
      </c>
      <c r="D15" s="14">
        <v>0</v>
      </c>
      <c r="E15" s="14">
        <v>971651</v>
      </c>
      <c r="F15" s="14">
        <v>4280634</v>
      </c>
      <c r="G15" s="14">
        <v>0</v>
      </c>
      <c r="H15" s="14">
        <v>0</v>
      </c>
      <c r="I15" s="14">
        <v>150696</v>
      </c>
      <c r="J15" s="14">
        <v>56778</v>
      </c>
      <c r="K15" s="14">
        <v>26629</v>
      </c>
      <c r="L15" s="14">
        <v>3852040</v>
      </c>
      <c r="M15" s="14">
        <v>413163</v>
      </c>
      <c r="N15" s="14">
        <v>401964</v>
      </c>
      <c r="O15" s="14">
        <v>60429</v>
      </c>
      <c r="P15" s="14">
        <v>287607</v>
      </c>
      <c r="Q15" s="14">
        <v>150696</v>
      </c>
      <c r="R15" s="14">
        <v>0</v>
      </c>
      <c r="S15" s="3">
        <v>0</v>
      </c>
      <c r="T15" s="34">
        <v>32.5</v>
      </c>
      <c r="U15" s="39">
        <v>130618</v>
      </c>
      <c r="V15" s="35">
        <v>21679</v>
      </c>
      <c r="W15" s="36">
        <v>130618</v>
      </c>
      <c r="X15" s="36">
        <v>21679</v>
      </c>
      <c r="Y15" s="36">
        <v>85641</v>
      </c>
      <c r="Z15" s="36">
        <v>21679</v>
      </c>
      <c r="AA15" s="37" t="s">
        <v>110</v>
      </c>
      <c r="AB15" s="36">
        <v>531222</v>
      </c>
      <c r="AC15" s="36">
        <v>136328</v>
      </c>
      <c r="AD15" s="36">
        <v>0</v>
      </c>
      <c r="AE15" s="36">
        <v>50202</v>
      </c>
      <c r="AF15" s="36">
        <v>16480</v>
      </c>
      <c r="AG15" s="13">
        <v>223858</v>
      </c>
      <c r="AH15" s="13">
        <v>0</v>
      </c>
      <c r="AI15" s="13">
        <v>1200</v>
      </c>
      <c r="AJ15" s="15">
        <v>3538</v>
      </c>
      <c r="AK15" s="17">
        <v>182868</v>
      </c>
      <c r="AL15" s="15">
        <v>88479</v>
      </c>
      <c r="AM15" s="13">
        <v>37726</v>
      </c>
      <c r="AN15" s="13">
        <v>44999</v>
      </c>
      <c r="AO15" s="30">
        <v>7847</v>
      </c>
      <c r="AP15" s="30">
        <v>3180.53</v>
      </c>
      <c r="AQ15" s="30">
        <v>22149</v>
      </c>
      <c r="AR15" s="30">
        <v>3</v>
      </c>
      <c r="AS15" s="26">
        <v>2499</v>
      </c>
      <c r="AT15" s="30">
        <v>3358</v>
      </c>
      <c r="AU15" s="30">
        <v>2</v>
      </c>
      <c r="AV15" s="30">
        <v>540</v>
      </c>
      <c r="AW15" s="30">
        <v>0</v>
      </c>
      <c r="AX15" s="45"/>
      <c r="AY15" s="30">
        <v>5</v>
      </c>
      <c r="AZ15" s="30">
        <v>147</v>
      </c>
      <c r="BA15" s="30">
        <v>0</v>
      </c>
      <c r="BB15" s="30">
        <v>0</v>
      </c>
      <c r="BC15" s="30">
        <v>100</v>
      </c>
      <c r="BD15" s="36" t="s">
        <v>110</v>
      </c>
      <c r="BE15" s="36">
        <v>89</v>
      </c>
      <c r="BF15" s="36">
        <v>48</v>
      </c>
      <c r="BG15" s="36">
        <v>89</v>
      </c>
      <c r="BH15" s="36">
        <v>42</v>
      </c>
      <c r="BI15" s="36">
        <v>4</v>
      </c>
      <c r="BJ15" s="38">
        <v>8.6999999999999993</v>
      </c>
      <c r="BK15" s="32">
        <v>9.16</v>
      </c>
      <c r="BL15" s="12"/>
    </row>
    <row r="16" spans="1:64" x14ac:dyDescent="0.2">
      <c r="A16" s="11" t="s">
        <v>8</v>
      </c>
      <c r="B16" s="12"/>
      <c r="C16" s="13">
        <v>10528</v>
      </c>
      <c r="D16" s="14">
        <v>0</v>
      </c>
      <c r="E16" s="14">
        <v>160195</v>
      </c>
      <c r="F16" s="14">
        <v>647226</v>
      </c>
      <c r="G16" s="14">
        <v>0</v>
      </c>
      <c r="H16" s="14">
        <v>0</v>
      </c>
      <c r="I16" s="14">
        <v>90592</v>
      </c>
      <c r="J16" s="14">
        <v>5843</v>
      </c>
      <c r="K16" s="14">
        <v>0</v>
      </c>
      <c r="L16" s="14">
        <v>491679</v>
      </c>
      <c r="M16" s="14">
        <v>193001</v>
      </c>
      <c r="N16" s="14">
        <v>52526</v>
      </c>
      <c r="O16" s="14">
        <v>0</v>
      </c>
      <c r="P16" s="14">
        <v>38066</v>
      </c>
      <c r="Q16" s="14">
        <v>0</v>
      </c>
      <c r="R16" s="14">
        <v>128538</v>
      </c>
      <c r="S16" s="3">
        <v>0</v>
      </c>
      <c r="T16" s="34">
        <v>4.75</v>
      </c>
      <c r="U16" s="35">
        <v>32205</v>
      </c>
      <c r="V16" s="35">
        <v>2662</v>
      </c>
      <c r="W16" s="36">
        <v>31241</v>
      </c>
      <c r="X16" s="36">
        <v>2662</v>
      </c>
      <c r="Y16" s="36">
        <v>11006</v>
      </c>
      <c r="Z16" s="36">
        <v>1542</v>
      </c>
      <c r="AA16" s="37" t="s">
        <v>110</v>
      </c>
      <c r="AB16" s="36">
        <v>42431</v>
      </c>
      <c r="AC16" s="36">
        <v>5790</v>
      </c>
      <c r="AD16" s="36">
        <v>0</v>
      </c>
      <c r="AE16" s="36">
        <v>2872</v>
      </c>
      <c r="AF16" s="36">
        <v>1252</v>
      </c>
      <c r="AG16" s="13">
        <v>58246</v>
      </c>
      <c r="AH16" s="13">
        <v>0</v>
      </c>
      <c r="AI16" s="13">
        <v>259</v>
      </c>
      <c r="AJ16" s="13">
        <v>238</v>
      </c>
      <c r="AK16" s="13">
        <v>7077</v>
      </c>
      <c r="AL16" s="13">
        <v>6012</v>
      </c>
      <c r="AM16" s="13">
        <v>3236</v>
      </c>
      <c r="AN16" s="13">
        <v>2650</v>
      </c>
      <c r="AO16" s="26"/>
      <c r="AP16" s="26">
        <v>1349.5</v>
      </c>
      <c r="AQ16" s="30"/>
      <c r="AR16" s="26">
        <v>3</v>
      </c>
      <c r="AS16" s="26">
        <v>736</v>
      </c>
      <c r="AT16" s="30">
        <v>921</v>
      </c>
      <c r="AU16" s="30">
        <v>1</v>
      </c>
      <c r="AV16" s="30">
        <v>500</v>
      </c>
      <c r="AW16" s="30">
        <v>0</v>
      </c>
      <c r="AX16" s="45"/>
      <c r="AY16" s="30">
        <v>1</v>
      </c>
      <c r="AZ16" s="30">
        <v>71</v>
      </c>
      <c r="BA16" s="30">
        <v>0</v>
      </c>
      <c r="BB16" s="30">
        <v>0</v>
      </c>
      <c r="BC16" s="30">
        <v>15</v>
      </c>
      <c r="BD16" s="36" t="s">
        <v>110</v>
      </c>
      <c r="BE16" s="36">
        <v>21</v>
      </c>
      <c r="BF16" s="36">
        <v>1</v>
      </c>
      <c r="BG16" s="36">
        <v>16</v>
      </c>
      <c r="BH16" s="36">
        <v>10</v>
      </c>
      <c r="BI16" s="36">
        <v>1</v>
      </c>
      <c r="BJ16" s="38">
        <v>7.1</v>
      </c>
      <c r="BK16" s="32">
        <v>9.5299999999999994</v>
      </c>
      <c r="BL16" s="12"/>
    </row>
    <row r="17" spans="1:64" x14ac:dyDescent="0.2">
      <c r="A17" s="11" t="s">
        <v>52</v>
      </c>
      <c r="B17" s="12"/>
      <c r="C17" s="13">
        <v>365405</v>
      </c>
      <c r="D17" s="14">
        <v>0</v>
      </c>
      <c r="E17" s="14">
        <v>2374220</v>
      </c>
      <c r="F17" s="14">
        <v>14032522</v>
      </c>
      <c r="G17" s="2">
        <v>0</v>
      </c>
      <c r="H17" s="14">
        <v>65488</v>
      </c>
      <c r="I17" s="14">
        <v>722475</v>
      </c>
      <c r="J17" s="14">
        <v>292262</v>
      </c>
      <c r="K17" s="14">
        <v>373265</v>
      </c>
      <c r="L17" s="14">
        <v>12060363</v>
      </c>
      <c r="M17" s="14">
        <v>2441893</v>
      </c>
      <c r="N17" s="14">
        <v>1714155</v>
      </c>
      <c r="O17" s="14">
        <v>402719.18</v>
      </c>
      <c r="P17" s="14">
        <v>282267.92</v>
      </c>
      <c r="Q17" s="14">
        <v>722475</v>
      </c>
      <c r="R17" s="14">
        <v>2150448</v>
      </c>
      <c r="S17" s="3">
        <v>0</v>
      </c>
      <c r="T17" s="34">
        <v>122.3</v>
      </c>
      <c r="U17" s="35">
        <v>381873</v>
      </c>
      <c r="V17" s="35">
        <v>33092</v>
      </c>
      <c r="W17" s="36">
        <v>381873</v>
      </c>
      <c r="X17" s="36">
        <v>33092</v>
      </c>
      <c r="Y17" s="36">
        <v>255621</v>
      </c>
      <c r="Z17" s="36">
        <v>33092</v>
      </c>
      <c r="AA17" s="37" t="s">
        <v>110</v>
      </c>
      <c r="AB17" s="36">
        <v>1757701</v>
      </c>
      <c r="AC17" s="36">
        <v>441752</v>
      </c>
      <c r="AD17" s="36">
        <v>4167</v>
      </c>
      <c r="AE17" s="36">
        <v>100090</v>
      </c>
      <c r="AF17" s="36">
        <v>51745</v>
      </c>
      <c r="AG17" s="13">
        <v>1285259</v>
      </c>
      <c r="AH17" s="13">
        <v>19462</v>
      </c>
      <c r="AI17" s="13">
        <v>1898</v>
      </c>
      <c r="AJ17" s="15">
        <v>9672</v>
      </c>
      <c r="AK17" s="15">
        <v>1709997</v>
      </c>
      <c r="AL17" s="15">
        <v>1402397</v>
      </c>
      <c r="AM17" s="15">
        <v>43683</v>
      </c>
      <c r="AN17" s="15">
        <v>151775</v>
      </c>
      <c r="AO17" s="30">
        <v>149891</v>
      </c>
      <c r="AP17" s="26">
        <v>37168</v>
      </c>
      <c r="AQ17" s="26">
        <v>83717</v>
      </c>
      <c r="AR17" s="30">
        <v>19</v>
      </c>
      <c r="AS17" s="30"/>
      <c r="AT17" s="26">
        <v>15973</v>
      </c>
      <c r="AU17" s="30">
        <v>19</v>
      </c>
      <c r="AV17" s="30">
        <v>1004</v>
      </c>
      <c r="AW17" s="30">
        <v>3</v>
      </c>
      <c r="AX17" s="30">
        <v>25</v>
      </c>
      <c r="AY17" s="30">
        <v>1</v>
      </c>
      <c r="AZ17" s="30">
        <v>839</v>
      </c>
      <c r="BA17" s="30">
        <v>0</v>
      </c>
      <c r="BB17" s="30">
        <v>40</v>
      </c>
      <c r="BC17" s="30">
        <v>47</v>
      </c>
      <c r="BD17" s="36" t="s">
        <v>110</v>
      </c>
      <c r="BE17" s="36">
        <v>318</v>
      </c>
      <c r="BF17" s="36">
        <v>230</v>
      </c>
      <c r="BG17" s="36">
        <v>221</v>
      </c>
      <c r="BH17" s="36">
        <v>284</v>
      </c>
      <c r="BI17" s="36">
        <v>41</v>
      </c>
      <c r="BJ17" s="38">
        <v>9.3000000000000007</v>
      </c>
      <c r="BK17" s="32">
        <v>9.09</v>
      </c>
      <c r="BL17" s="12"/>
    </row>
    <row r="18" spans="1:64" x14ac:dyDescent="0.2">
      <c r="A18" s="11" t="s">
        <v>9</v>
      </c>
      <c r="B18" s="12"/>
      <c r="C18" s="13">
        <v>151548</v>
      </c>
      <c r="D18" s="14">
        <v>0</v>
      </c>
      <c r="E18" s="14">
        <v>1069342</v>
      </c>
      <c r="F18" s="14">
        <v>4728281</v>
      </c>
      <c r="G18" s="14">
        <v>0</v>
      </c>
      <c r="H18" s="14">
        <v>0</v>
      </c>
      <c r="I18" s="14">
        <v>1529812</v>
      </c>
      <c r="J18" s="14">
        <v>51769</v>
      </c>
      <c r="K18" s="14">
        <v>0</v>
      </c>
      <c r="L18" s="14">
        <v>4026102</v>
      </c>
      <c r="M18" s="14">
        <v>903675</v>
      </c>
      <c r="N18" s="14">
        <v>516334</v>
      </c>
      <c r="O18" s="14">
        <v>78304</v>
      </c>
      <c r="P18" s="14">
        <v>470138</v>
      </c>
      <c r="Q18" s="14">
        <v>1529812</v>
      </c>
      <c r="R18" s="14">
        <v>958197.87</v>
      </c>
      <c r="S18" s="3">
        <v>0</v>
      </c>
      <c r="T18" s="34">
        <v>40.299999999999997</v>
      </c>
      <c r="U18" s="35">
        <v>143677</v>
      </c>
      <c r="V18" s="35">
        <v>25633</v>
      </c>
      <c r="W18" s="36">
        <v>143212</v>
      </c>
      <c r="X18" s="36">
        <v>25633</v>
      </c>
      <c r="Y18" s="36">
        <v>88892</v>
      </c>
      <c r="Z18" s="36">
        <v>18296</v>
      </c>
      <c r="AA18" s="37" t="s">
        <v>110</v>
      </c>
      <c r="AB18" s="36">
        <v>817234</v>
      </c>
      <c r="AC18" s="36">
        <v>187041</v>
      </c>
      <c r="AD18" s="36">
        <v>0</v>
      </c>
      <c r="AE18" s="36">
        <v>46435</v>
      </c>
      <c r="AF18" s="36">
        <v>22030</v>
      </c>
      <c r="AG18" s="13">
        <v>452430</v>
      </c>
      <c r="AH18" s="13">
        <v>0</v>
      </c>
      <c r="AI18" s="13">
        <v>1866</v>
      </c>
      <c r="AJ18" s="15">
        <v>0</v>
      </c>
      <c r="AK18" s="13">
        <v>289773</v>
      </c>
      <c r="AL18" s="13">
        <v>151327</v>
      </c>
      <c r="AM18" s="15">
        <v>186540</v>
      </c>
      <c r="AN18" s="13">
        <v>41990</v>
      </c>
      <c r="AO18" s="26"/>
      <c r="AP18" s="30"/>
      <c r="AQ18" s="26">
        <v>32931</v>
      </c>
      <c r="AR18" s="26">
        <v>4</v>
      </c>
      <c r="AS18" s="26">
        <v>3591</v>
      </c>
      <c r="AT18" s="30">
        <v>4891</v>
      </c>
      <c r="AU18" s="30">
        <v>1</v>
      </c>
      <c r="AV18" s="30">
        <v>545</v>
      </c>
      <c r="AW18" s="30">
        <v>0</v>
      </c>
      <c r="AX18" s="45"/>
      <c r="AY18" s="30">
        <v>0</v>
      </c>
      <c r="AZ18" s="30">
        <v>220</v>
      </c>
      <c r="BA18" s="30">
        <v>0</v>
      </c>
      <c r="BB18" s="30">
        <v>0</v>
      </c>
      <c r="BC18" s="30">
        <v>0</v>
      </c>
      <c r="BD18" s="36" t="s">
        <v>110</v>
      </c>
      <c r="BE18" s="36">
        <v>175</v>
      </c>
      <c r="BF18" s="36">
        <v>6</v>
      </c>
      <c r="BG18" s="36">
        <v>3</v>
      </c>
      <c r="BH18" s="36">
        <v>35</v>
      </c>
      <c r="BI18" s="36">
        <v>10</v>
      </c>
      <c r="BJ18" s="38">
        <v>7.9</v>
      </c>
      <c r="BK18" s="32">
        <v>8.94</v>
      </c>
      <c r="BL18" s="12"/>
    </row>
    <row r="19" spans="1:64" x14ac:dyDescent="0.2">
      <c r="A19" s="11" t="s">
        <v>10</v>
      </c>
      <c r="B19" s="12"/>
      <c r="C19" s="13">
        <v>20016</v>
      </c>
      <c r="D19" s="14">
        <v>0</v>
      </c>
      <c r="E19" s="14">
        <v>217487</v>
      </c>
      <c r="F19" s="14">
        <v>606402</v>
      </c>
      <c r="G19" s="2">
        <v>0</v>
      </c>
      <c r="H19" s="2">
        <v>0</v>
      </c>
      <c r="I19" s="2">
        <v>0</v>
      </c>
      <c r="J19" s="2">
        <v>16102.480000000003</v>
      </c>
      <c r="K19" s="14">
        <v>14332.19</v>
      </c>
      <c r="L19" s="14">
        <v>555437.16</v>
      </c>
      <c r="M19" s="14">
        <v>138283.69</v>
      </c>
      <c r="N19" s="14">
        <v>99779.599999999904</v>
      </c>
      <c r="O19" s="2">
        <v>569.09</v>
      </c>
      <c r="P19" s="14">
        <v>29063.940000000002</v>
      </c>
      <c r="Q19" s="14">
        <v>8458</v>
      </c>
      <c r="R19" s="14">
        <v>0</v>
      </c>
      <c r="S19" s="3">
        <v>22731.719999999998</v>
      </c>
      <c r="T19" s="34">
        <v>5.25</v>
      </c>
      <c r="U19" s="35">
        <v>36793</v>
      </c>
      <c r="V19" s="35">
        <v>3795</v>
      </c>
      <c r="W19" s="36">
        <v>35762</v>
      </c>
      <c r="X19" s="36">
        <v>3795</v>
      </c>
      <c r="Y19" s="36">
        <v>17771</v>
      </c>
      <c r="Z19" s="36">
        <v>1479</v>
      </c>
      <c r="AA19" s="37" t="s">
        <v>110</v>
      </c>
      <c r="AB19" s="36">
        <v>97446</v>
      </c>
      <c r="AC19" s="36">
        <v>12793</v>
      </c>
      <c r="AD19" s="36">
        <v>0</v>
      </c>
      <c r="AE19" s="36">
        <v>5887</v>
      </c>
      <c r="AF19" s="36">
        <v>2204</v>
      </c>
      <c r="AG19" s="13">
        <v>101484</v>
      </c>
      <c r="AH19" s="13">
        <v>225</v>
      </c>
      <c r="AI19" s="13">
        <v>331</v>
      </c>
      <c r="AJ19" s="15">
        <v>312</v>
      </c>
      <c r="AK19" s="15">
        <v>44289</v>
      </c>
      <c r="AL19" s="15">
        <v>29070</v>
      </c>
      <c r="AM19" s="15">
        <v>12629</v>
      </c>
      <c r="AN19" s="13">
        <v>4466</v>
      </c>
      <c r="AO19" s="26"/>
      <c r="AP19" s="30"/>
      <c r="AQ19" s="26">
        <v>5123.84</v>
      </c>
      <c r="AR19" s="26">
        <v>3</v>
      </c>
      <c r="AS19" s="26">
        <v>520</v>
      </c>
      <c r="AT19" s="30"/>
      <c r="AU19" s="30">
        <v>2</v>
      </c>
      <c r="AV19" s="30">
        <v>3200.75</v>
      </c>
      <c r="AW19" s="30">
        <v>1</v>
      </c>
      <c r="AX19" s="30">
        <v>3</v>
      </c>
      <c r="AY19" s="30">
        <v>0</v>
      </c>
      <c r="AZ19" s="30">
        <v>133</v>
      </c>
      <c r="BA19" s="30">
        <v>0</v>
      </c>
      <c r="BB19" s="30">
        <v>1</v>
      </c>
      <c r="BC19" s="30">
        <v>0</v>
      </c>
      <c r="BD19" s="36" t="s">
        <v>110</v>
      </c>
      <c r="BE19" s="36">
        <v>43</v>
      </c>
      <c r="BF19" s="36">
        <v>1</v>
      </c>
      <c r="BG19" s="36">
        <v>17</v>
      </c>
      <c r="BH19" s="36">
        <v>27</v>
      </c>
      <c r="BI19" s="36">
        <v>4</v>
      </c>
      <c r="BJ19" s="32">
        <v>9.14</v>
      </c>
      <c r="BK19" s="32">
        <v>9.14</v>
      </c>
      <c r="BL19" s="12"/>
    </row>
    <row r="20" spans="1:64" x14ac:dyDescent="0.2">
      <c r="A20" s="11" t="s">
        <v>11</v>
      </c>
      <c r="B20" s="12"/>
      <c r="C20" s="13">
        <v>202704</v>
      </c>
      <c r="D20" s="14">
        <v>0</v>
      </c>
      <c r="E20" s="14">
        <v>1517428</v>
      </c>
      <c r="F20" s="14">
        <v>5454093</v>
      </c>
      <c r="G20" s="14">
        <v>0</v>
      </c>
      <c r="H20" s="14">
        <v>0</v>
      </c>
      <c r="I20" s="14">
        <v>0</v>
      </c>
      <c r="J20" s="14">
        <v>199834</v>
      </c>
      <c r="K20" s="14">
        <v>205747</v>
      </c>
      <c r="L20" s="14">
        <v>5096047</v>
      </c>
      <c r="M20" s="14">
        <v>568786</v>
      </c>
      <c r="N20" s="14">
        <v>528529</v>
      </c>
      <c r="O20" s="14">
        <v>15397</v>
      </c>
      <c r="P20" s="14">
        <v>265700</v>
      </c>
      <c r="Q20" s="14">
        <v>155805</v>
      </c>
      <c r="R20" s="14">
        <v>897538</v>
      </c>
      <c r="S20" s="3">
        <v>155805</v>
      </c>
      <c r="T20" s="27">
        <v>53</v>
      </c>
      <c r="U20" s="40">
        <v>223199</v>
      </c>
      <c r="V20" s="40">
        <v>28286</v>
      </c>
      <c r="W20" s="40">
        <v>223199</v>
      </c>
      <c r="X20" s="40">
        <v>28286</v>
      </c>
      <c r="Y20" s="40">
        <v>142098</v>
      </c>
      <c r="Z20" s="40">
        <v>28286</v>
      </c>
      <c r="AA20" s="37" t="s">
        <v>110</v>
      </c>
      <c r="AB20" s="40">
        <v>743241</v>
      </c>
      <c r="AC20" s="40">
        <v>497163</v>
      </c>
      <c r="AD20" s="40">
        <v>0</v>
      </c>
      <c r="AE20" s="40">
        <v>61781</v>
      </c>
      <c r="AF20" s="40">
        <v>32845</v>
      </c>
      <c r="AG20" s="13">
        <v>731699</v>
      </c>
      <c r="AH20" s="13">
        <v>0</v>
      </c>
      <c r="AI20" s="13">
        <v>16520</v>
      </c>
      <c r="AJ20" s="15">
        <v>12470</v>
      </c>
      <c r="AK20" s="15">
        <v>367224</v>
      </c>
      <c r="AL20" s="15">
        <v>236456</v>
      </c>
      <c r="AM20" s="13"/>
      <c r="AN20" s="13">
        <v>69781</v>
      </c>
      <c r="AO20" s="30">
        <v>64746</v>
      </c>
      <c r="AP20" s="30">
        <v>17079</v>
      </c>
      <c r="AQ20" s="30">
        <v>18912</v>
      </c>
      <c r="AR20" s="26">
        <v>9</v>
      </c>
      <c r="AS20" s="26">
        <v>5245</v>
      </c>
      <c r="AT20" s="30">
        <v>6176</v>
      </c>
      <c r="AU20" s="30">
        <v>7</v>
      </c>
      <c r="AV20" s="30"/>
      <c r="AW20" s="30">
        <v>0</v>
      </c>
      <c r="AX20" s="45"/>
      <c r="AY20" s="26">
        <v>8</v>
      </c>
      <c r="AZ20" s="26">
        <v>335</v>
      </c>
      <c r="BA20" s="30">
        <v>120</v>
      </c>
      <c r="BB20" s="30">
        <v>0</v>
      </c>
      <c r="BC20" s="26">
        <v>0</v>
      </c>
      <c r="BD20" s="36" t="s">
        <v>110</v>
      </c>
      <c r="BE20" s="36" t="s">
        <v>116</v>
      </c>
      <c r="BF20" s="40">
        <v>50</v>
      </c>
      <c r="BG20" s="40">
        <v>321</v>
      </c>
      <c r="BH20" s="40">
        <v>70</v>
      </c>
      <c r="BI20" s="40">
        <v>18</v>
      </c>
      <c r="BJ20" s="32">
        <v>8.85</v>
      </c>
      <c r="BK20" s="32">
        <v>8.85</v>
      </c>
      <c r="BL20" s="12"/>
    </row>
    <row r="21" spans="1:64" x14ac:dyDescent="0.2">
      <c r="A21" s="11" t="s">
        <v>53</v>
      </c>
      <c r="B21" s="12"/>
      <c r="C21" s="13">
        <v>110911</v>
      </c>
      <c r="D21" s="14">
        <v>0</v>
      </c>
      <c r="E21" s="14">
        <v>921557</v>
      </c>
      <c r="F21" s="14">
        <v>2840782</v>
      </c>
      <c r="G21" s="14">
        <v>0</v>
      </c>
      <c r="H21" s="14">
        <v>0</v>
      </c>
      <c r="I21" s="14">
        <v>0</v>
      </c>
      <c r="J21" s="14">
        <v>54163</v>
      </c>
      <c r="K21" s="14">
        <v>68089</v>
      </c>
      <c r="L21" s="14">
        <v>2360176</v>
      </c>
      <c r="M21" s="14">
        <v>586287</v>
      </c>
      <c r="N21" s="14">
        <v>298687</v>
      </c>
      <c r="O21" s="14">
        <v>126635</v>
      </c>
      <c r="P21" s="14">
        <v>195992</v>
      </c>
      <c r="Q21" s="14">
        <v>133408</v>
      </c>
      <c r="R21" s="14">
        <v>725310</v>
      </c>
      <c r="S21" s="3">
        <v>66530</v>
      </c>
      <c r="T21" s="34">
        <v>23.4</v>
      </c>
      <c r="U21" s="35">
        <v>155629</v>
      </c>
      <c r="V21" s="35">
        <v>18311</v>
      </c>
      <c r="W21" s="36">
        <v>152172</v>
      </c>
      <c r="X21" s="36">
        <v>18311</v>
      </c>
      <c r="Y21" s="36">
        <v>68824</v>
      </c>
      <c r="Z21" s="36">
        <v>18311</v>
      </c>
      <c r="AA21" s="37" t="s">
        <v>110</v>
      </c>
      <c r="AB21" s="36">
        <v>359132</v>
      </c>
      <c r="AC21" s="36">
        <v>87141</v>
      </c>
      <c r="AD21" s="36">
        <v>0</v>
      </c>
      <c r="AE21" s="36">
        <v>25118</v>
      </c>
      <c r="AF21" s="36">
        <v>8986</v>
      </c>
      <c r="AG21" s="13">
        <v>204809</v>
      </c>
      <c r="AH21" s="13">
        <v>4094</v>
      </c>
      <c r="AI21" s="13">
        <v>433</v>
      </c>
      <c r="AJ21" s="15">
        <v>0</v>
      </c>
      <c r="AK21" s="36">
        <v>54449</v>
      </c>
      <c r="AL21" s="15">
        <v>29447</v>
      </c>
      <c r="AM21" s="15">
        <v>6508</v>
      </c>
      <c r="AN21" s="15">
        <v>25023</v>
      </c>
      <c r="AO21" s="26">
        <v>20197</v>
      </c>
      <c r="AP21" s="26">
        <v>1815</v>
      </c>
      <c r="AQ21" s="30">
        <v>10961</v>
      </c>
      <c r="AR21" s="30">
        <v>11</v>
      </c>
      <c r="AS21" s="26">
        <v>3320</v>
      </c>
      <c r="AT21" s="26">
        <v>4344</v>
      </c>
      <c r="AU21" s="30">
        <v>6</v>
      </c>
      <c r="AV21" s="30">
        <v>1034</v>
      </c>
      <c r="AW21" s="30">
        <v>1</v>
      </c>
      <c r="AX21" s="30">
        <v>19</v>
      </c>
      <c r="AY21" s="30">
        <v>0</v>
      </c>
      <c r="AZ21" s="30">
        <v>290</v>
      </c>
      <c r="BA21" s="30">
        <v>10</v>
      </c>
      <c r="BB21" s="30">
        <v>15</v>
      </c>
      <c r="BC21" s="30">
        <v>0</v>
      </c>
      <c r="BD21" s="36" t="s">
        <v>110</v>
      </c>
      <c r="BE21" s="36">
        <v>61</v>
      </c>
      <c r="BF21" s="36">
        <v>33</v>
      </c>
      <c r="BG21" s="36">
        <v>41</v>
      </c>
      <c r="BH21" s="36">
        <v>63</v>
      </c>
      <c r="BI21" s="36">
        <v>11</v>
      </c>
      <c r="BJ21" s="32">
        <v>9.4499999999999993</v>
      </c>
      <c r="BK21" s="32">
        <v>9.4499999999999993</v>
      </c>
      <c r="BL21" s="12"/>
    </row>
    <row r="22" spans="1:64" x14ac:dyDescent="0.2">
      <c r="A22" s="11" t="s">
        <v>12</v>
      </c>
      <c r="B22" s="12"/>
      <c r="C22" s="13">
        <v>159021</v>
      </c>
      <c r="D22" s="14">
        <v>260837</v>
      </c>
      <c r="E22" s="14">
        <v>1178120</v>
      </c>
      <c r="F22" s="14">
        <v>6644584</v>
      </c>
      <c r="G22" s="2">
        <v>0</v>
      </c>
      <c r="H22" s="14">
        <v>0</v>
      </c>
      <c r="I22" s="14">
        <v>35000</v>
      </c>
      <c r="J22" s="14">
        <v>84535</v>
      </c>
      <c r="K22" s="14">
        <v>25</v>
      </c>
      <c r="L22" s="14">
        <v>6376425</v>
      </c>
      <c r="M22" s="14">
        <v>503322</v>
      </c>
      <c r="N22" s="14">
        <v>723637</v>
      </c>
      <c r="O22" s="2">
        <v>256180</v>
      </c>
      <c r="P22" s="14">
        <v>469794</v>
      </c>
      <c r="Q22" s="14">
        <v>35000</v>
      </c>
      <c r="R22" s="14">
        <v>0</v>
      </c>
      <c r="S22" s="3">
        <v>18913</v>
      </c>
      <c r="T22" s="34">
        <v>64.5</v>
      </c>
      <c r="U22" s="35">
        <v>99466</v>
      </c>
      <c r="V22" s="35">
        <v>134570</v>
      </c>
      <c r="W22" s="36">
        <v>98550</v>
      </c>
      <c r="X22" s="36">
        <v>134570</v>
      </c>
      <c r="Y22" s="36">
        <v>105667</v>
      </c>
      <c r="Z22" s="36">
        <v>59304</v>
      </c>
      <c r="AA22" s="37" t="s">
        <v>110</v>
      </c>
      <c r="AB22" s="36">
        <v>609954</v>
      </c>
      <c r="AC22" s="36">
        <v>47443</v>
      </c>
      <c r="AD22" s="36">
        <v>0</v>
      </c>
      <c r="AE22" s="36">
        <v>48279</v>
      </c>
      <c r="AF22" s="36">
        <v>15300</v>
      </c>
      <c r="AG22" s="13">
        <v>712134</v>
      </c>
      <c r="AH22" s="13">
        <v>0</v>
      </c>
      <c r="AI22" s="13">
        <v>798</v>
      </c>
      <c r="AJ22" s="15">
        <v>7150</v>
      </c>
      <c r="AK22" s="36">
        <f>429593-153474</f>
        <v>276119</v>
      </c>
      <c r="AL22" s="15">
        <v>68475</v>
      </c>
      <c r="AM22" s="15">
        <v>104782</v>
      </c>
      <c r="AN22" s="15">
        <v>28559</v>
      </c>
      <c r="AO22" s="26"/>
      <c r="AP22" s="30"/>
      <c r="AQ22" s="30">
        <v>47147</v>
      </c>
      <c r="AR22" s="30">
        <v>2</v>
      </c>
      <c r="AS22" s="26">
        <v>4220</v>
      </c>
      <c r="AT22" s="30">
        <v>4720</v>
      </c>
      <c r="AU22" s="30">
        <v>5</v>
      </c>
      <c r="AV22" s="30">
        <v>11809</v>
      </c>
      <c r="AW22" s="30">
        <v>0</v>
      </c>
      <c r="AX22" s="45"/>
      <c r="AY22" s="30">
        <v>0</v>
      </c>
      <c r="AZ22" s="30">
        <v>145</v>
      </c>
      <c r="BA22" s="30">
        <v>0</v>
      </c>
      <c r="BB22" s="30">
        <v>0</v>
      </c>
      <c r="BC22" s="30">
        <v>0</v>
      </c>
      <c r="BD22" s="36" t="s">
        <v>110</v>
      </c>
      <c r="BE22" s="36">
        <v>95</v>
      </c>
      <c r="BF22" s="36">
        <v>6</v>
      </c>
      <c r="BG22" s="36">
        <v>151</v>
      </c>
      <c r="BH22" s="36">
        <v>93</v>
      </c>
      <c r="BI22" s="36">
        <v>8</v>
      </c>
      <c r="BJ22" s="38">
        <v>8.75</v>
      </c>
      <c r="BK22" s="32">
        <v>8.7799999999999994</v>
      </c>
      <c r="BL22" s="12"/>
    </row>
    <row r="23" spans="1:64" x14ac:dyDescent="0.2">
      <c r="A23" s="11" t="s">
        <v>13</v>
      </c>
      <c r="B23" s="12"/>
      <c r="C23" s="13">
        <v>67825</v>
      </c>
      <c r="D23" s="14">
        <v>0</v>
      </c>
      <c r="E23" s="2">
        <v>749823</v>
      </c>
      <c r="F23" s="2">
        <v>1541568</v>
      </c>
      <c r="G23" s="2">
        <v>0</v>
      </c>
      <c r="H23" s="2">
        <v>0</v>
      </c>
      <c r="I23" s="2">
        <v>0</v>
      </c>
      <c r="J23" s="2">
        <v>79601</v>
      </c>
      <c r="K23" s="2">
        <v>31040</v>
      </c>
      <c r="L23" s="2">
        <v>1553765</v>
      </c>
      <c r="M23" s="2">
        <v>840278</v>
      </c>
      <c r="N23" s="2">
        <v>452147</v>
      </c>
      <c r="O23" s="2">
        <v>10830</v>
      </c>
      <c r="P23" s="14">
        <v>138026</v>
      </c>
      <c r="Q23" s="14">
        <v>17931</v>
      </c>
      <c r="R23" s="2">
        <v>0</v>
      </c>
      <c r="S23" s="3">
        <v>0</v>
      </c>
      <c r="T23" s="34">
        <v>19.899999999999999</v>
      </c>
      <c r="U23" s="35">
        <v>126236</v>
      </c>
      <c r="V23" s="35">
        <v>20367</v>
      </c>
      <c r="W23" s="36">
        <v>120151</v>
      </c>
      <c r="X23" s="36">
        <v>20367</v>
      </c>
      <c r="Y23" s="36">
        <v>71033</v>
      </c>
      <c r="Z23" s="36">
        <v>37086</v>
      </c>
      <c r="AA23" s="37" t="s">
        <v>110</v>
      </c>
      <c r="AB23" s="36">
        <v>298962</v>
      </c>
      <c r="AC23" s="36">
        <v>137400</v>
      </c>
      <c r="AD23" s="36">
        <v>0</v>
      </c>
      <c r="AE23" s="36">
        <v>25082</v>
      </c>
      <c r="AF23" s="36">
        <v>8277</v>
      </c>
      <c r="AG23" s="13">
        <v>245227</v>
      </c>
      <c r="AH23" s="13">
        <v>0</v>
      </c>
      <c r="AI23" s="13">
        <v>749</v>
      </c>
      <c r="AJ23" s="15">
        <v>761</v>
      </c>
      <c r="AK23" s="15">
        <v>296658</v>
      </c>
      <c r="AL23" s="15">
        <v>266624</v>
      </c>
      <c r="AM23" s="13">
        <v>38184</v>
      </c>
      <c r="AN23" s="15">
        <v>13194</v>
      </c>
      <c r="AO23" s="26">
        <v>8839</v>
      </c>
      <c r="AP23" s="30">
        <v>21486</v>
      </c>
      <c r="AQ23" s="30">
        <v>10219</v>
      </c>
      <c r="AR23" s="30">
        <v>6</v>
      </c>
      <c r="AS23" s="26">
        <v>5561</v>
      </c>
      <c r="AT23" s="26">
        <v>9250</v>
      </c>
      <c r="AU23" s="30">
        <v>12</v>
      </c>
      <c r="AV23" s="30">
        <v>3572</v>
      </c>
      <c r="AW23" s="30">
        <v>1</v>
      </c>
      <c r="AX23" s="30">
        <v>2</v>
      </c>
      <c r="AY23" s="30">
        <v>1</v>
      </c>
      <c r="AZ23" s="30">
        <v>223</v>
      </c>
      <c r="BA23" s="30">
        <v>0</v>
      </c>
      <c r="BB23" s="30">
        <v>1</v>
      </c>
      <c r="BC23" s="30">
        <v>0</v>
      </c>
      <c r="BD23" s="36" t="s">
        <v>110</v>
      </c>
      <c r="BE23" s="36">
        <v>66</v>
      </c>
      <c r="BF23" s="36">
        <v>21</v>
      </c>
      <c r="BG23" s="36">
        <v>50</v>
      </c>
      <c r="BH23" s="36">
        <v>34</v>
      </c>
      <c r="BI23" s="36">
        <v>3</v>
      </c>
      <c r="BJ23" s="38">
        <v>7.55</v>
      </c>
      <c r="BK23" s="32">
        <v>9.32</v>
      </c>
      <c r="BL23" s="12"/>
    </row>
    <row r="24" spans="1:64" x14ac:dyDescent="0.2">
      <c r="A24" s="11" t="s">
        <v>70</v>
      </c>
      <c r="B24" s="12"/>
      <c r="C24" s="13">
        <v>5602</v>
      </c>
      <c r="D24" s="14">
        <v>0</v>
      </c>
      <c r="E24" s="2">
        <v>123618</v>
      </c>
      <c r="F24" s="2">
        <v>204927</v>
      </c>
      <c r="G24" s="2">
        <v>0</v>
      </c>
      <c r="H24" s="2">
        <v>69671</v>
      </c>
      <c r="I24" s="2">
        <v>17154.330000000002</v>
      </c>
      <c r="J24" s="2">
        <v>80</v>
      </c>
      <c r="K24" s="2">
        <v>0</v>
      </c>
      <c r="L24" s="2">
        <v>207578.94</v>
      </c>
      <c r="M24" s="2">
        <v>59203</v>
      </c>
      <c r="N24" s="2">
        <v>27051</v>
      </c>
      <c r="O24" s="2">
        <v>0</v>
      </c>
      <c r="P24" s="14">
        <v>33232.729999999996</v>
      </c>
      <c r="Q24" s="14">
        <v>86826</v>
      </c>
      <c r="R24" s="2">
        <v>27200</v>
      </c>
      <c r="S24" s="3">
        <v>0</v>
      </c>
      <c r="T24" s="34">
        <v>2.5</v>
      </c>
      <c r="U24" s="35">
        <v>15623</v>
      </c>
      <c r="V24" s="35">
        <v>5013</v>
      </c>
      <c r="W24" s="36">
        <v>15623</v>
      </c>
      <c r="X24" s="36">
        <v>5013</v>
      </c>
      <c r="Y24" s="36">
        <v>5220</v>
      </c>
      <c r="Z24" s="36">
        <v>5013</v>
      </c>
      <c r="AA24" s="37" t="s">
        <v>110</v>
      </c>
      <c r="AB24" s="36">
        <v>8360</v>
      </c>
      <c r="AC24" s="36">
        <v>969</v>
      </c>
      <c r="AD24" s="36">
        <v>6</v>
      </c>
      <c r="AE24" s="36">
        <v>1250</v>
      </c>
      <c r="AF24" s="36">
        <v>428</v>
      </c>
      <c r="AG24" s="13">
        <v>18019</v>
      </c>
      <c r="AH24" s="13">
        <v>0</v>
      </c>
      <c r="AI24" s="13">
        <v>56</v>
      </c>
      <c r="AJ24" s="15">
        <v>1911</v>
      </c>
      <c r="AK24" s="13">
        <v>3988</v>
      </c>
      <c r="AL24" s="13">
        <v>1435</v>
      </c>
      <c r="AM24" s="13">
        <v>1879</v>
      </c>
      <c r="AN24" s="13">
        <v>2067</v>
      </c>
      <c r="AO24" s="26"/>
      <c r="AP24" s="30"/>
      <c r="AQ24" s="26">
        <v>704.53</v>
      </c>
      <c r="AR24" s="30">
        <v>4</v>
      </c>
      <c r="AS24" s="30">
        <v>261</v>
      </c>
      <c r="AT24" s="30">
        <v>340</v>
      </c>
      <c r="AU24" s="30">
        <v>4</v>
      </c>
      <c r="AV24" s="30">
        <v>212.5</v>
      </c>
      <c r="AW24" s="30">
        <v>0</v>
      </c>
      <c r="AX24" s="45"/>
      <c r="AY24" s="30">
        <v>1</v>
      </c>
      <c r="AZ24" s="30">
        <v>15</v>
      </c>
      <c r="BA24" s="30">
        <v>0</v>
      </c>
      <c r="BB24" s="30">
        <v>0</v>
      </c>
      <c r="BC24" s="30">
        <v>0</v>
      </c>
      <c r="BD24" s="36" t="s">
        <v>110</v>
      </c>
      <c r="BE24" s="36">
        <v>4</v>
      </c>
      <c r="BF24" s="36">
        <v>4</v>
      </c>
      <c r="BG24" s="36">
        <v>18</v>
      </c>
      <c r="BH24" s="36">
        <v>10</v>
      </c>
      <c r="BI24" s="36">
        <v>0</v>
      </c>
      <c r="BJ24" s="32">
        <v>9.5</v>
      </c>
      <c r="BK24" s="32">
        <v>9.5</v>
      </c>
      <c r="BL24" s="12"/>
    </row>
    <row r="25" spans="1:64" x14ac:dyDescent="0.2">
      <c r="A25" s="11" t="s">
        <v>14</v>
      </c>
      <c r="B25" s="12"/>
      <c r="C25" s="13">
        <v>91736</v>
      </c>
      <c r="D25" s="14">
        <v>0</v>
      </c>
      <c r="E25" s="14">
        <v>814406</v>
      </c>
      <c r="F25" s="14">
        <v>5282632</v>
      </c>
      <c r="G25" s="14">
        <v>0</v>
      </c>
      <c r="H25" s="14">
        <v>0</v>
      </c>
      <c r="I25" s="14">
        <v>0</v>
      </c>
      <c r="J25" s="14">
        <v>63970</v>
      </c>
      <c r="K25" s="14">
        <v>0</v>
      </c>
      <c r="L25" s="14">
        <v>3898454</v>
      </c>
      <c r="M25" s="14">
        <v>467806</v>
      </c>
      <c r="N25" s="2">
        <v>807460</v>
      </c>
      <c r="O25" s="14">
        <v>0</v>
      </c>
      <c r="P25" s="14">
        <v>168621</v>
      </c>
      <c r="Q25" s="14">
        <v>1960527.17</v>
      </c>
      <c r="R25" s="14">
        <v>0</v>
      </c>
      <c r="S25" s="3">
        <v>0</v>
      </c>
      <c r="T25" s="34">
        <v>37</v>
      </c>
      <c r="U25" s="35">
        <v>128799</v>
      </c>
      <c r="V25" s="35">
        <v>23870</v>
      </c>
      <c r="W25" s="36">
        <v>88008</v>
      </c>
      <c r="X25" s="36">
        <v>23870</v>
      </c>
      <c r="Y25" s="36">
        <v>56760</v>
      </c>
      <c r="Z25" s="36">
        <v>14524</v>
      </c>
      <c r="AA25" s="37" t="s">
        <v>110</v>
      </c>
      <c r="AB25" s="36">
        <v>391314</v>
      </c>
      <c r="AC25" s="36">
        <v>102154</v>
      </c>
      <c r="AD25" s="36">
        <v>315</v>
      </c>
      <c r="AE25" s="36">
        <v>35934</v>
      </c>
      <c r="AF25" s="36">
        <v>11620</v>
      </c>
      <c r="AG25" s="13">
        <v>473114</v>
      </c>
      <c r="AH25" s="13">
        <v>0</v>
      </c>
      <c r="AI25" s="13">
        <v>741</v>
      </c>
      <c r="AJ25" s="15">
        <v>4047</v>
      </c>
      <c r="AK25" s="15">
        <v>118231</v>
      </c>
      <c r="AL25" s="15">
        <v>52109</v>
      </c>
      <c r="AM25" s="15">
        <v>300448</v>
      </c>
      <c r="AN25" s="15">
        <v>34015</v>
      </c>
      <c r="AO25" s="26">
        <v>201276</v>
      </c>
      <c r="AP25" s="26">
        <v>4204</v>
      </c>
      <c r="AQ25" s="26">
        <v>9730</v>
      </c>
      <c r="AR25" s="26">
        <v>5</v>
      </c>
      <c r="AS25" s="26">
        <v>3500</v>
      </c>
      <c r="AT25" s="30"/>
      <c r="AU25" s="30">
        <v>11</v>
      </c>
      <c r="AV25" s="30">
        <v>4239</v>
      </c>
      <c r="AW25" s="30">
        <v>0</v>
      </c>
      <c r="AX25" s="45"/>
      <c r="AY25" s="30">
        <v>4</v>
      </c>
      <c r="AZ25" s="30">
        <v>260</v>
      </c>
      <c r="BA25" s="30">
        <v>0</v>
      </c>
      <c r="BB25" s="30">
        <v>0</v>
      </c>
      <c r="BC25" s="30">
        <v>57</v>
      </c>
      <c r="BD25" s="36" t="s">
        <v>110</v>
      </c>
      <c r="BE25" s="36">
        <v>53</v>
      </c>
      <c r="BF25" s="36">
        <v>20</v>
      </c>
      <c r="BG25" s="36">
        <v>5</v>
      </c>
      <c r="BH25" s="36">
        <v>58</v>
      </c>
      <c r="BI25" s="36">
        <v>3</v>
      </c>
      <c r="BJ25" s="32">
        <v>8.6999999999999993</v>
      </c>
      <c r="BK25" s="32">
        <v>8.6999999999999993</v>
      </c>
      <c r="BL25" s="12"/>
    </row>
    <row r="26" spans="1:64" x14ac:dyDescent="0.2">
      <c r="A26" s="11" t="s">
        <v>15</v>
      </c>
      <c r="B26" s="12"/>
      <c r="C26" s="13">
        <v>252723</v>
      </c>
      <c r="D26" s="14">
        <v>0</v>
      </c>
      <c r="E26" s="14">
        <v>1467744</v>
      </c>
      <c r="F26" s="14">
        <v>5682989</v>
      </c>
      <c r="G26" s="14">
        <v>0</v>
      </c>
      <c r="H26" s="14">
        <v>0</v>
      </c>
      <c r="I26" s="14">
        <v>0</v>
      </c>
      <c r="J26" s="14">
        <v>109676</v>
      </c>
      <c r="K26" s="14">
        <v>116969</v>
      </c>
      <c r="L26" s="14">
        <v>5622735</v>
      </c>
      <c r="M26" s="14">
        <v>583632</v>
      </c>
      <c r="N26" s="14">
        <v>650556.04</v>
      </c>
      <c r="O26" s="14">
        <v>166255.01</v>
      </c>
      <c r="P26" s="14">
        <v>412584.31</v>
      </c>
      <c r="Q26" s="14">
        <v>132671</v>
      </c>
      <c r="R26" s="14">
        <v>0</v>
      </c>
      <c r="S26" s="3">
        <v>0</v>
      </c>
      <c r="T26" s="34">
        <v>58.98</v>
      </c>
      <c r="U26" s="35">
        <v>176219</v>
      </c>
      <c r="V26" s="35">
        <v>42771</v>
      </c>
      <c r="W26" s="36">
        <v>174991</v>
      </c>
      <c r="X26" s="36">
        <v>42771</v>
      </c>
      <c r="Y26" s="36">
        <v>148345</v>
      </c>
      <c r="Z26" s="36">
        <v>42771</v>
      </c>
      <c r="AA26" s="37" t="s">
        <v>110</v>
      </c>
      <c r="AB26" s="36">
        <v>1007507</v>
      </c>
      <c r="AC26" s="36">
        <v>158308</v>
      </c>
      <c r="AD26" s="36">
        <v>546</v>
      </c>
      <c r="AE26" s="36">
        <v>43228</v>
      </c>
      <c r="AF26" s="36">
        <v>20741</v>
      </c>
      <c r="AG26" s="13">
        <v>673596</v>
      </c>
      <c r="AH26" s="13">
        <v>0</v>
      </c>
      <c r="AI26" s="13">
        <v>743</v>
      </c>
      <c r="AJ26" s="15">
        <v>8308</v>
      </c>
      <c r="AK26" s="15">
        <v>195723</v>
      </c>
      <c r="AL26" s="15">
        <v>185562</v>
      </c>
      <c r="AM26" s="13">
        <v>224850</v>
      </c>
      <c r="AN26" s="13">
        <v>71738</v>
      </c>
      <c r="AO26" s="26"/>
      <c r="AP26" s="30"/>
      <c r="AQ26" s="26">
        <v>26976</v>
      </c>
      <c r="AR26" s="26">
        <v>5</v>
      </c>
      <c r="AS26" s="30"/>
      <c r="AT26" s="30"/>
      <c r="AU26" s="30"/>
      <c r="AV26" s="30"/>
      <c r="AW26" s="30">
        <v>0</v>
      </c>
      <c r="AX26" s="45"/>
      <c r="AY26" s="30">
        <v>0</v>
      </c>
      <c r="AZ26" s="30">
        <v>255</v>
      </c>
      <c r="BA26" s="30">
        <v>0</v>
      </c>
      <c r="BB26" s="30">
        <v>0</v>
      </c>
      <c r="BC26" s="30">
        <v>0</v>
      </c>
      <c r="BD26" s="36" t="s">
        <v>110</v>
      </c>
      <c r="BE26" s="36">
        <v>134</v>
      </c>
      <c r="BF26" s="36">
        <v>29</v>
      </c>
      <c r="BG26" s="36">
        <v>8</v>
      </c>
      <c r="BH26" s="36">
        <v>46</v>
      </c>
      <c r="BI26" s="36">
        <v>10</v>
      </c>
      <c r="BJ26" s="32">
        <v>8.7799999999999994</v>
      </c>
      <c r="BK26" s="32">
        <v>8.7799999999999994</v>
      </c>
      <c r="BL26" s="12"/>
    </row>
    <row r="27" spans="1:64" x14ac:dyDescent="0.2">
      <c r="A27" s="11" t="s">
        <v>16</v>
      </c>
      <c r="B27" s="12"/>
      <c r="C27" s="13">
        <v>17407</v>
      </c>
      <c r="D27" s="14">
        <v>0</v>
      </c>
      <c r="E27" s="14">
        <v>173928</v>
      </c>
      <c r="F27" s="14">
        <v>466228</v>
      </c>
      <c r="G27" s="14">
        <v>0</v>
      </c>
      <c r="H27" s="14">
        <v>2500000</v>
      </c>
      <c r="I27" s="14">
        <v>21107</v>
      </c>
      <c r="J27" s="14">
        <v>3227</v>
      </c>
      <c r="K27" s="14">
        <v>30000</v>
      </c>
      <c r="L27" s="14">
        <v>498534</v>
      </c>
      <c r="M27" s="14">
        <v>68071</v>
      </c>
      <c r="N27" s="14">
        <v>76160</v>
      </c>
      <c r="O27" s="14">
        <v>0</v>
      </c>
      <c r="P27" s="14">
        <v>15000</v>
      </c>
      <c r="Q27" s="14">
        <v>21107</v>
      </c>
      <c r="R27" s="14">
        <v>91919</v>
      </c>
      <c r="S27" s="3">
        <v>0</v>
      </c>
      <c r="T27" s="34">
        <v>6</v>
      </c>
      <c r="U27" s="35">
        <v>27378</v>
      </c>
      <c r="V27" s="35">
        <v>3006</v>
      </c>
      <c r="W27" s="36">
        <v>27378</v>
      </c>
      <c r="X27" s="36">
        <v>3006</v>
      </c>
      <c r="Y27" s="36">
        <v>13158</v>
      </c>
      <c r="Z27" s="36">
        <v>3006</v>
      </c>
      <c r="AA27" s="37" t="s">
        <v>110</v>
      </c>
      <c r="AB27" s="36">
        <v>72500</v>
      </c>
      <c r="AC27" s="36">
        <v>14278</v>
      </c>
      <c r="AD27" s="36">
        <v>0</v>
      </c>
      <c r="AE27" s="36">
        <v>3929</v>
      </c>
      <c r="AF27" s="36">
        <v>1984</v>
      </c>
      <c r="AG27" s="13">
        <v>54328</v>
      </c>
      <c r="AH27" s="13">
        <v>0</v>
      </c>
      <c r="AI27" s="13">
        <v>1124</v>
      </c>
      <c r="AJ27" s="15">
        <v>196</v>
      </c>
      <c r="AK27" s="15">
        <v>50303</v>
      </c>
      <c r="AL27" s="15">
        <v>38061</v>
      </c>
      <c r="AM27" s="15">
        <v>1498</v>
      </c>
      <c r="AN27" s="15">
        <v>3126</v>
      </c>
      <c r="AO27" s="26"/>
      <c r="AP27" s="30"/>
      <c r="AQ27" s="30"/>
      <c r="AR27" s="30">
        <v>4</v>
      </c>
      <c r="AS27" s="26">
        <v>573</v>
      </c>
      <c r="AT27" s="26">
        <v>637</v>
      </c>
      <c r="AU27" s="30">
        <v>0</v>
      </c>
      <c r="AV27" s="30">
        <v>0</v>
      </c>
      <c r="AW27" s="30">
        <v>0</v>
      </c>
      <c r="AX27" s="45"/>
      <c r="AY27" s="30">
        <v>0</v>
      </c>
      <c r="AZ27" s="30">
        <v>132</v>
      </c>
      <c r="BA27" s="30">
        <v>0</v>
      </c>
      <c r="BB27" s="30"/>
      <c r="BC27" s="30"/>
      <c r="BD27" s="36" t="s">
        <v>110</v>
      </c>
      <c r="BE27" s="36">
        <v>0</v>
      </c>
      <c r="BF27" s="36">
        <v>0</v>
      </c>
      <c r="BG27" s="36">
        <v>0</v>
      </c>
      <c r="BH27" s="36">
        <v>13</v>
      </c>
      <c r="BI27" s="36">
        <v>2</v>
      </c>
      <c r="BJ27" s="32">
        <v>8.7799999999999994</v>
      </c>
      <c r="BK27" s="32">
        <v>9.27</v>
      </c>
      <c r="BL27" s="12"/>
    </row>
    <row r="28" spans="1:64" x14ac:dyDescent="0.2">
      <c r="A28" s="11" t="s">
        <v>17</v>
      </c>
      <c r="B28" s="12"/>
      <c r="C28" s="13">
        <v>159908</v>
      </c>
      <c r="D28" s="14">
        <v>0</v>
      </c>
      <c r="E28" s="14">
        <v>1082178</v>
      </c>
      <c r="F28" s="14">
        <v>4774648</v>
      </c>
      <c r="G28" s="14">
        <v>0</v>
      </c>
      <c r="H28" s="14">
        <v>0</v>
      </c>
      <c r="I28" s="14">
        <v>60000</v>
      </c>
      <c r="J28" s="14">
        <v>32027</v>
      </c>
      <c r="K28" s="14">
        <v>38456</v>
      </c>
      <c r="L28" s="14">
        <v>5224907</v>
      </c>
      <c r="M28" s="14">
        <v>579011</v>
      </c>
      <c r="N28" s="14">
        <v>671495</v>
      </c>
      <c r="O28" s="14">
        <v>223636</v>
      </c>
      <c r="P28" s="14">
        <v>333742</v>
      </c>
      <c r="Q28" s="14">
        <v>58980</v>
      </c>
      <c r="R28" s="14">
        <v>0</v>
      </c>
      <c r="S28" s="3">
        <v>0</v>
      </c>
      <c r="T28" s="34">
        <v>46.4</v>
      </c>
      <c r="U28" s="35">
        <v>175816</v>
      </c>
      <c r="V28" s="35">
        <v>38637</v>
      </c>
      <c r="W28" s="36">
        <v>174564</v>
      </c>
      <c r="X28" s="36">
        <v>38637</v>
      </c>
      <c r="Y28" s="36">
        <v>105204</v>
      </c>
      <c r="Z28" s="36">
        <v>27174</v>
      </c>
      <c r="AA28" s="37" t="s">
        <v>110</v>
      </c>
      <c r="AB28" s="36">
        <v>764077</v>
      </c>
      <c r="AC28" s="36">
        <v>213586</v>
      </c>
      <c r="AD28" s="36">
        <v>1747</v>
      </c>
      <c r="AE28" s="36">
        <v>37144</v>
      </c>
      <c r="AF28" s="36">
        <v>25443</v>
      </c>
      <c r="AG28" s="13">
        <v>340215</v>
      </c>
      <c r="AH28" s="13">
        <v>0</v>
      </c>
      <c r="AI28" s="13">
        <v>2110</v>
      </c>
      <c r="AJ28" s="13">
        <v>6305</v>
      </c>
      <c r="AK28" s="15">
        <v>203628</v>
      </c>
      <c r="AL28" s="13">
        <v>121931</v>
      </c>
      <c r="AM28" s="13">
        <v>217450</v>
      </c>
      <c r="AN28" s="13">
        <v>42712</v>
      </c>
      <c r="AO28" s="26">
        <v>43760</v>
      </c>
      <c r="AP28" s="26">
        <v>24448</v>
      </c>
      <c r="AQ28" s="26">
        <v>24254</v>
      </c>
      <c r="AR28" s="26">
        <v>8</v>
      </c>
      <c r="AS28" s="26">
        <v>3411</v>
      </c>
      <c r="AT28" s="30">
        <v>4718</v>
      </c>
      <c r="AU28" s="30"/>
      <c r="AV28" s="30"/>
      <c r="AW28" s="30">
        <v>0</v>
      </c>
      <c r="AX28" s="45"/>
      <c r="AY28" s="30">
        <v>0</v>
      </c>
      <c r="AZ28" s="30">
        <v>326.5</v>
      </c>
      <c r="BA28" s="30">
        <v>0</v>
      </c>
      <c r="BB28" s="30">
        <v>0</v>
      </c>
      <c r="BC28" s="30">
        <v>0</v>
      </c>
      <c r="BD28" s="36" t="s">
        <v>110</v>
      </c>
      <c r="BE28" s="36">
        <v>184</v>
      </c>
      <c r="BF28" s="36">
        <v>28</v>
      </c>
      <c r="BG28" s="36">
        <v>19</v>
      </c>
      <c r="BH28" s="36">
        <v>311</v>
      </c>
      <c r="BI28" s="36">
        <v>11</v>
      </c>
      <c r="BJ28" s="32">
        <v>9.08</v>
      </c>
      <c r="BK28" s="32">
        <v>9.08</v>
      </c>
      <c r="BL28" s="12"/>
    </row>
    <row r="29" spans="1:64" x14ac:dyDescent="0.2">
      <c r="A29" s="11" t="s">
        <v>18</v>
      </c>
      <c r="B29" s="12"/>
      <c r="C29" s="13">
        <v>77606</v>
      </c>
      <c r="D29" s="2">
        <v>0</v>
      </c>
      <c r="E29" s="14">
        <v>572068</v>
      </c>
      <c r="F29" s="14">
        <v>1848672</v>
      </c>
      <c r="G29" s="2">
        <v>0</v>
      </c>
      <c r="H29" s="2">
        <v>0</v>
      </c>
      <c r="I29" s="2">
        <v>20980</v>
      </c>
      <c r="J29" s="14">
        <v>2856</v>
      </c>
      <c r="K29" s="14">
        <v>36091</v>
      </c>
      <c r="L29" s="14">
        <v>1712212</v>
      </c>
      <c r="M29" s="14">
        <v>388728</v>
      </c>
      <c r="N29" s="2">
        <v>288338</v>
      </c>
      <c r="O29" s="2">
        <v>98814</v>
      </c>
      <c r="P29" s="14">
        <v>170398</v>
      </c>
      <c r="Q29" s="14">
        <v>20980</v>
      </c>
      <c r="R29" s="14">
        <v>351794</v>
      </c>
      <c r="S29" s="3">
        <v>0</v>
      </c>
      <c r="T29" s="34">
        <v>13.5</v>
      </c>
      <c r="U29" s="35">
        <v>108023</v>
      </c>
      <c r="V29" s="35">
        <v>47621</v>
      </c>
      <c r="W29" s="36">
        <v>102201</v>
      </c>
      <c r="X29" s="36">
        <v>47621</v>
      </c>
      <c r="Y29" s="36">
        <v>49355</v>
      </c>
      <c r="Z29" s="36">
        <v>48991</v>
      </c>
      <c r="AA29" s="37" t="s">
        <v>110</v>
      </c>
      <c r="AB29" s="36">
        <v>206511</v>
      </c>
      <c r="AC29" s="36">
        <v>130452</v>
      </c>
      <c r="AD29" s="36">
        <v>0</v>
      </c>
      <c r="AE29" s="36">
        <v>17978</v>
      </c>
      <c r="AF29" s="36">
        <v>5784</v>
      </c>
      <c r="AG29" s="13">
        <v>192128</v>
      </c>
      <c r="AH29" s="13">
        <v>0</v>
      </c>
      <c r="AI29" s="13">
        <v>1252</v>
      </c>
      <c r="AJ29" s="13">
        <v>333</v>
      </c>
      <c r="AK29" s="15">
        <v>30219</v>
      </c>
      <c r="AL29" s="13">
        <v>13797</v>
      </c>
      <c r="AM29" s="13">
        <v>18211</v>
      </c>
      <c r="AN29" s="13">
        <v>14233</v>
      </c>
      <c r="AO29" s="26"/>
      <c r="AP29" s="30"/>
      <c r="AQ29" s="26">
        <v>10530</v>
      </c>
      <c r="AR29" s="26">
        <v>4</v>
      </c>
      <c r="AS29" s="26">
        <v>2405</v>
      </c>
      <c r="AT29" s="30">
        <v>4047</v>
      </c>
      <c r="AU29" s="30">
        <v>16</v>
      </c>
      <c r="AV29" s="30">
        <v>13180</v>
      </c>
      <c r="AW29" s="30">
        <v>0</v>
      </c>
      <c r="AX29" s="45"/>
      <c r="AY29" s="30">
        <v>1</v>
      </c>
      <c r="AZ29" s="30">
        <v>179</v>
      </c>
      <c r="BA29" s="30">
        <v>0</v>
      </c>
      <c r="BB29" s="30">
        <v>0</v>
      </c>
      <c r="BC29" s="30">
        <v>0</v>
      </c>
      <c r="BD29" s="36" t="s">
        <v>110</v>
      </c>
      <c r="BE29" s="36">
        <v>336</v>
      </c>
      <c r="BF29" s="36">
        <v>22</v>
      </c>
      <c r="BG29" s="36">
        <v>43</v>
      </c>
      <c r="BH29" s="36">
        <v>30</v>
      </c>
      <c r="BI29" s="36">
        <v>7</v>
      </c>
      <c r="BJ29" s="38">
        <v>7.6</v>
      </c>
      <c r="BK29" s="32">
        <v>9.02</v>
      </c>
      <c r="BL29" s="12"/>
    </row>
    <row r="30" spans="1:64" x14ac:dyDescent="0.2">
      <c r="A30" s="11" t="s">
        <v>19</v>
      </c>
      <c r="B30" s="12"/>
      <c r="C30" s="13">
        <v>87393</v>
      </c>
      <c r="D30" s="14">
        <v>0</v>
      </c>
      <c r="E30" s="14">
        <v>670432</v>
      </c>
      <c r="F30" s="14">
        <v>4874515</v>
      </c>
      <c r="G30" s="14">
        <v>0</v>
      </c>
      <c r="H30" s="14">
        <v>0</v>
      </c>
      <c r="I30" s="14">
        <v>0</v>
      </c>
      <c r="J30" s="14">
        <v>50124</v>
      </c>
      <c r="K30" s="14">
        <v>0</v>
      </c>
      <c r="L30" s="14">
        <v>3897140</v>
      </c>
      <c r="M30" s="14">
        <v>642182</v>
      </c>
      <c r="N30" s="14">
        <v>598404</v>
      </c>
      <c r="O30" s="14">
        <v>172239</v>
      </c>
      <c r="P30" s="2">
        <v>214590</v>
      </c>
      <c r="Q30" s="14">
        <v>43904</v>
      </c>
      <c r="R30" s="14">
        <v>458801</v>
      </c>
      <c r="S30" s="3">
        <v>26612</v>
      </c>
      <c r="T30" s="34">
        <v>33.5</v>
      </c>
      <c r="U30" s="35">
        <v>132670</v>
      </c>
      <c r="V30" s="35">
        <v>35998</v>
      </c>
      <c r="W30" s="36">
        <v>130139</v>
      </c>
      <c r="X30" s="36">
        <v>35998</v>
      </c>
      <c r="Y30" s="36">
        <v>94681</v>
      </c>
      <c r="Z30" s="36">
        <v>33286</v>
      </c>
      <c r="AA30" s="37" t="s">
        <v>110</v>
      </c>
      <c r="AB30" s="36">
        <v>522225</v>
      </c>
      <c r="AC30" s="36">
        <v>93989</v>
      </c>
      <c r="AD30" s="36">
        <v>1083</v>
      </c>
      <c r="AE30" s="36">
        <v>28435</v>
      </c>
      <c r="AF30" s="36">
        <v>16526</v>
      </c>
      <c r="AG30" s="36">
        <v>305840</v>
      </c>
      <c r="AH30" s="13">
        <v>0</v>
      </c>
      <c r="AI30" s="13">
        <v>0</v>
      </c>
      <c r="AJ30" s="13">
        <v>2557</v>
      </c>
      <c r="AK30" s="15">
        <v>346870</v>
      </c>
      <c r="AL30" s="13">
        <v>280479</v>
      </c>
      <c r="AM30" s="13">
        <v>62828</v>
      </c>
      <c r="AN30" s="13">
        <v>34820</v>
      </c>
      <c r="AO30" s="30">
        <v>292781</v>
      </c>
      <c r="AP30" s="26">
        <v>22552</v>
      </c>
      <c r="AQ30" s="26">
        <v>22447</v>
      </c>
      <c r="AR30" s="26">
        <v>5</v>
      </c>
      <c r="AS30" s="26">
        <v>1794</v>
      </c>
      <c r="AT30" s="30">
        <v>2431</v>
      </c>
      <c r="AU30" s="30">
        <v>8</v>
      </c>
      <c r="AV30" s="30">
        <v>570</v>
      </c>
      <c r="AW30" s="30">
        <v>0</v>
      </c>
      <c r="AX30" s="45"/>
      <c r="AY30" s="30">
        <v>0</v>
      </c>
      <c r="AZ30" s="30">
        <v>236</v>
      </c>
      <c r="BA30" s="30">
        <v>0</v>
      </c>
      <c r="BB30" s="30">
        <v>0</v>
      </c>
      <c r="BC30" s="30">
        <v>0</v>
      </c>
      <c r="BD30" s="36" t="s">
        <v>110</v>
      </c>
      <c r="BE30" s="36">
        <v>68</v>
      </c>
      <c r="BF30" s="36">
        <v>23</v>
      </c>
      <c r="BG30" s="36">
        <v>24</v>
      </c>
      <c r="BH30" s="36">
        <v>45</v>
      </c>
      <c r="BI30" s="36">
        <v>9</v>
      </c>
      <c r="BJ30" s="38">
        <v>8.6</v>
      </c>
      <c r="BK30" s="32">
        <v>9.1199999999999992</v>
      </c>
      <c r="BL30" s="12"/>
    </row>
    <row r="31" spans="1:64" x14ac:dyDescent="0.2">
      <c r="A31" s="11" t="s">
        <v>20</v>
      </c>
      <c r="B31" s="12"/>
      <c r="C31" s="13">
        <v>159813</v>
      </c>
      <c r="D31" s="14">
        <v>0</v>
      </c>
      <c r="E31" s="14">
        <v>2346468</v>
      </c>
      <c r="F31" s="14">
        <v>16581338</v>
      </c>
      <c r="G31" s="14">
        <v>0</v>
      </c>
      <c r="H31" s="14">
        <v>1254431.97</v>
      </c>
      <c r="I31" s="14">
        <v>5647589</v>
      </c>
      <c r="J31" s="14">
        <v>258771</v>
      </c>
      <c r="K31" s="14">
        <v>3000</v>
      </c>
      <c r="L31" s="14">
        <v>10914656</v>
      </c>
      <c r="M31" s="14">
        <v>1551525</v>
      </c>
      <c r="N31" s="14">
        <v>941297</v>
      </c>
      <c r="O31" s="14">
        <v>467871</v>
      </c>
      <c r="P31" s="14">
        <v>804410</v>
      </c>
      <c r="Q31" s="14">
        <v>7488927</v>
      </c>
      <c r="R31" s="14">
        <v>1645155.68</v>
      </c>
      <c r="S31" s="3">
        <v>7759</v>
      </c>
      <c r="T31" s="34">
        <v>102</v>
      </c>
      <c r="U31" s="35">
        <v>222275</v>
      </c>
      <c r="V31" s="35">
        <v>34181</v>
      </c>
      <c r="W31" s="36">
        <v>221450</v>
      </c>
      <c r="X31" s="36">
        <v>34181</v>
      </c>
      <c r="Y31" s="36">
        <v>136011</v>
      </c>
      <c r="Z31" s="36">
        <v>34181</v>
      </c>
      <c r="AA31" s="37" t="s">
        <v>110</v>
      </c>
      <c r="AB31" s="36">
        <v>860600</v>
      </c>
      <c r="AC31" s="36">
        <v>303021</v>
      </c>
      <c r="AD31" s="36">
        <v>176</v>
      </c>
      <c r="AE31" s="36">
        <v>58380</v>
      </c>
      <c r="AF31" s="36">
        <v>38309</v>
      </c>
      <c r="AG31" s="13">
        <v>887009</v>
      </c>
      <c r="AH31" s="13">
        <v>357</v>
      </c>
      <c r="AI31" s="13">
        <v>119</v>
      </c>
      <c r="AJ31" s="13">
        <v>8828</v>
      </c>
      <c r="AK31" s="15">
        <v>718894</v>
      </c>
      <c r="AL31" s="13">
        <v>608511</v>
      </c>
      <c r="AM31" s="13">
        <v>382566</v>
      </c>
      <c r="AN31" s="13">
        <v>45354</v>
      </c>
      <c r="AO31" s="26">
        <v>271549</v>
      </c>
      <c r="AP31" s="26">
        <v>72780</v>
      </c>
      <c r="AQ31" s="26">
        <v>48175.85</v>
      </c>
      <c r="AR31" s="26">
        <v>6</v>
      </c>
      <c r="AS31" s="26">
        <v>4576</v>
      </c>
      <c r="AT31" s="30">
        <v>8726</v>
      </c>
      <c r="AU31" s="30">
        <v>24</v>
      </c>
      <c r="AV31" s="30">
        <v>19832</v>
      </c>
      <c r="AW31" s="30">
        <v>1</v>
      </c>
      <c r="AX31" s="30">
        <v>12</v>
      </c>
      <c r="AY31" s="30">
        <v>2</v>
      </c>
      <c r="AZ31" s="30">
        <v>261</v>
      </c>
      <c r="BA31" s="30">
        <v>0</v>
      </c>
      <c r="BB31" s="30">
        <v>0</v>
      </c>
      <c r="BC31" s="30">
        <v>48</v>
      </c>
      <c r="BD31" s="36" t="s">
        <v>110</v>
      </c>
      <c r="BE31" s="36">
        <v>17</v>
      </c>
      <c r="BF31" s="36">
        <v>14</v>
      </c>
      <c r="BG31" s="36">
        <v>49</v>
      </c>
      <c r="BH31" s="36">
        <v>101</v>
      </c>
      <c r="BI31" s="36">
        <v>36</v>
      </c>
      <c r="BJ31" s="38">
        <v>8.6</v>
      </c>
      <c r="BK31" s="32">
        <v>9.0500000000000007</v>
      </c>
      <c r="BL31" s="12"/>
    </row>
    <row r="32" spans="1:64" x14ac:dyDescent="0.2">
      <c r="A32" s="11" t="s">
        <v>21</v>
      </c>
      <c r="B32" s="12"/>
      <c r="C32" s="13">
        <v>192865</v>
      </c>
      <c r="D32" s="14">
        <v>0</v>
      </c>
      <c r="E32" s="14">
        <v>1059346</v>
      </c>
      <c r="F32" s="14">
        <v>3299204</v>
      </c>
      <c r="G32" s="14">
        <v>0</v>
      </c>
      <c r="H32" s="14">
        <v>0</v>
      </c>
      <c r="I32" s="14">
        <v>77094</v>
      </c>
      <c r="J32" s="14">
        <v>833</v>
      </c>
      <c r="K32" s="14">
        <v>346628</v>
      </c>
      <c r="L32" s="14">
        <v>2857011</v>
      </c>
      <c r="M32" s="14">
        <v>849845</v>
      </c>
      <c r="N32" s="14">
        <v>475129.55</v>
      </c>
      <c r="O32" s="14">
        <v>91990.5</v>
      </c>
      <c r="P32" s="14">
        <v>145645.85999999999</v>
      </c>
      <c r="Q32" s="14">
        <v>77094.16</v>
      </c>
      <c r="R32" s="14">
        <v>0</v>
      </c>
      <c r="S32" s="3">
        <v>0</v>
      </c>
      <c r="T32" s="34">
        <v>32.799999999999997</v>
      </c>
      <c r="U32" s="35">
        <v>100000</v>
      </c>
      <c r="V32" s="35">
        <v>51857</v>
      </c>
      <c r="W32" s="36">
        <v>88615</v>
      </c>
      <c r="X32" s="36">
        <v>51857</v>
      </c>
      <c r="Y32" s="36">
        <v>67129</v>
      </c>
      <c r="Z32" s="36">
        <v>51857</v>
      </c>
      <c r="AA32" s="37" t="s">
        <v>110</v>
      </c>
      <c r="AB32" s="36">
        <v>570205</v>
      </c>
      <c r="AC32" s="36">
        <v>48481</v>
      </c>
      <c r="AD32" s="36">
        <v>2199</v>
      </c>
      <c r="AE32" s="36">
        <v>48734</v>
      </c>
      <c r="AF32" s="36">
        <v>14002</v>
      </c>
      <c r="AG32" s="13">
        <v>382850</v>
      </c>
      <c r="AH32" s="13">
        <v>0</v>
      </c>
      <c r="AI32" s="13">
        <v>706</v>
      </c>
      <c r="AJ32" s="13">
        <v>253</v>
      </c>
      <c r="AK32" s="15">
        <v>56927</v>
      </c>
      <c r="AL32" s="13">
        <v>42532</v>
      </c>
      <c r="AM32" s="13">
        <v>220586</v>
      </c>
      <c r="AN32" s="13">
        <v>26441</v>
      </c>
      <c r="AO32" s="26"/>
      <c r="AP32" s="30"/>
      <c r="AQ32" s="26">
        <v>23187</v>
      </c>
      <c r="AR32" s="26">
        <v>2</v>
      </c>
      <c r="AS32" s="26">
        <v>3450</v>
      </c>
      <c r="AT32" s="30">
        <v>6000</v>
      </c>
      <c r="AU32" s="30">
        <v>21</v>
      </c>
      <c r="AV32" s="30">
        <v>8969</v>
      </c>
      <c r="AW32" s="30">
        <v>0</v>
      </c>
      <c r="AX32" s="45"/>
      <c r="AY32" s="30">
        <v>4</v>
      </c>
      <c r="AZ32" s="30">
        <v>117</v>
      </c>
      <c r="BA32" s="30">
        <v>0</v>
      </c>
      <c r="BB32" s="30">
        <v>0</v>
      </c>
      <c r="BC32" s="30">
        <v>85</v>
      </c>
      <c r="BD32" s="36" t="s">
        <v>110</v>
      </c>
      <c r="BE32" s="36">
        <v>68</v>
      </c>
      <c r="BF32" s="36">
        <v>6</v>
      </c>
      <c r="BG32" s="36">
        <v>12</v>
      </c>
      <c r="BH32" s="36">
        <v>42</v>
      </c>
      <c r="BI32" s="36">
        <v>7</v>
      </c>
      <c r="BJ32" s="32">
        <v>8.8699999999999992</v>
      </c>
      <c r="BK32" s="32">
        <v>8.8699999999999992</v>
      </c>
      <c r="BL32" s="12"/>
    </row>
    <row r="33" spans="1:64" x14ac:dyDescent="0.2">
      <c r="A33" s="11" t="s">
        <v>118</v>
      </c>
      <c r="B33" s="12"/>
      <c r="C33" s="13">
        <v>174502</v>
      </c>
      <c r="D33" s="14">
        <v>0</v>
      </c>
      <c r="E33" s="14">
        <v>1367714</v>
      </c>
      <c r="F33" s="14">
        <v>4777125</v>
      </c>
      <c r="G33" s="14">
        <v>0</v>
      </c>
      <c r="H33" s="14">
        <v>0</v>
      </c>
      <c r="I33" s="14">
        <v>65812</v>
      </c>
      <c r="J33" s="14">
        <v>73508</v>
      </c>
      <c r="K33" s="14">
        <v>0</v>
      </c>
      <c r="L33" s="14">
        <v>5426936</v>
      </c>
      <c r="M33" s="14">
        <v>461870</v>
      </c>
      <c r="N33" s="14">
        <v>766625</v>
      </c>
      <c r="O33" s="14">
        <v>156438</v>
      </c>
      <c r="P33" s="14">
        <v>339532</v>
      </c>
      <c r="Q33" s="14">
        <v>65812</v>
      </c>
      <c r="R33" s="14">
        <v>990345</v>
      </c>
      <c r="S33" s="3">
        <v>0</v>
      </c>
      <c r="T33" s="34">
        <v>54.8</v>
      </c>
      <c r="U33" s="35">
        <v>206911</v>
      </c>
      <c r="V33" s="35">
        <v>52834</v>
      </c>
      <c r="W33" s="36">
        <v>198924</v>
      </c>
      <c r="X33" s="36">
        <v>52834</v>
      </c>
      <c r="Y33" s="36">
        <v>146101</v>
      </c>
      <c r="Z33" s="36">
        <v>44312</v>
      </c>
      <c r="AA33" s="37" t="s">
        <v>110</v>
      </c>
      <c r="AB33" s="36">
        <v>873380</v>
      </c>
      <c r="AC33" s="36">
        <v>218593</v>
      </c>
      <c r="AD33" s="36">
        <v>6199</v>
      </c>
      <c r="AE33" s="36">
        <v>36276</v>
      </c>
      <c r="AF33" s="36">
        <v>24196</v>
      </c>
      <c r="AG33" s="13">
        <v>521459</v>
      </c>
      <c r="AH33" s="13">
        <v>0</v>
      </c>
      <c r="AI33" s="13">
        <v>2007</v>
      </c>
      <c r="AJ33" s="15">
        <v>2595</v>
      </c>
      <c r="AK33" s="15">
        <v>321224</v>
      </c>
      <c r="AL33" s="36"/>
      <c r="AM33" s="36"/>
      <c r="AN33" s="15">
        <v>38201</v>
      </c>
      <c r="AO33" s="26">
        <v>59589</v>
      </c>
      <c r="AP33" s="30">
        <v>8971</v>
      </c>
      <c r="AQ33" s="30"/>
      <c r="AR33" s="30">
        <v>5</v>
      </c>
      <c r="AS33" s="26">
        <v>3795</v>
      </c>
      <c r="AT33" s="26">
        <v>6171</v>
      </c>
      <c r="AU33" s="30">
        <v>4</v>
      </c>
      <c r="AV33" s="30">
        <v>1364</v>
      </c>
      <c r="AW33" s="30">
        <v>0</v>
      </c>
      <c r="AX33" s="45"/>
      <c r="AY33" s="30">
        <v>0</v>
      </c>
      <c r="AZ33" s="30">
        <v>268</v>
      </c>
      <c r="BA33" s="30">
        <v>0</v>
      </c>
      <c r="BB33" s="30">
        <v>0</v>
      </c>
      <c r="BC33" s="30">
        <v>0</v>
      </c>
      <c r="BD33" s="36" t="s">
        <v>110</v>
      </c>
      <c r="BE33" s="36">
        <v>169</v>
      </c>
      <c r="BF33" s="36">
        <v>17</v>
      </c>
      <c r="BG33" s="36">
        <v>37</v>
      </c>
      <c r="BH33" s="36">
        <v>83</v>
      </c>
      <c r="BI33" s="36">
        <v>17</v>
      </c>
      <c r="BJ33" s="38">
        <v>8.1999999999999993</v>
      </c>
      <c r="BK33" s="32">
        <v>8.98</v>
      </c>
      <c r="BL33" s="12"/>
    </row>
    <row r="34" spans="1:64" x14ac:dyDescent="0.2">
      <c r="A34" s="11" t="s">
        <v>22</v>
      </c>
      <c r="B34" s="12"/>
      <c r="C34" s="13">
        <v>57156</v>
      </c>
      <c r="D34" s="14">
        <v>0</v>
      </c>
      <c r="E34" s="14">
        <v>466506</v>
      </c>
      <c r="F34" s="14">
        <v>2275996</v>
      </c>
      <c r="G34" s="14">
        <v>0</v>
      </c>
      <c r="H34" s="14">
        <v>0</v>
      </c>
      <c r="I34" s="14">
        <v>6941</v>
      </c>
      <c r="J34" s="14">
        <v>32326</v>
      </c>
      <c r="K34" s="14">
        <v>33364</v>
      </c>
      <c r="L34" s="14">
        <v>2224802</v>
      </c>
      <c r="M34" s="14">
        <v>142136</v>
      </c>
      <c r="N34" s="14">
        <v>312052</v>
      </c>
      <c r="O34" s="14">
        <v>25086</v>
      </c>
      <c r="P34" s="14">
        <v>87036</v>
      </c>
      <c r="Q34" s="14">
        <v>6941</v>
      </c>
      <c r="R34" s="14">
        <v>275060.15000000002</v>
      </c>
      <c r="S34" s="3">
        <v>0</v>
      </c>
      <c r="T34" s="34">
        <v>24</v>
      </c>
      <c r="U34" s="35">
        <v>108429</v>
      </c>
      <c r="V34" s="35">
        <v>15291</v>
      </c>
      <c r="W34" s="36">
        <v>103994</v>
      </c>
      <c r="X34" s="36">
        <v>15291</v>
      </c>
      <c r="Y34" s="36">
        <v>60024</v>
      </c>
      <c r="Z34" s="36">
        <v>7791</v>
      </c>
      <c r="AA34" s="37" t="s">
        <v>110</v>
      </c>
      <c r="AB34" s="36">
        <v>221127</v>
      </c>
      <c r="AC34" s="36">
        <v>46211</v>
      </c>
      <c r="AD34" s="36">
        <v>0</v>
      </c>
      <c r="AE34" s="36">
        <v>12048</v>
      </c>
      <c r="AF34" s="36">
        <v>4412</v>
      </c>
      <c r="AG34" s="13">
        <v>122352</v>
      </c>
      <c r="AH34" s="13">
        <v>0</v>
      </c>
      <c r="AI34" s="13">
        <v>2492</v>
      </c>
      <c r="AJ34" s="15">
        <v>34</v>
      </c>
      <c r="AK34" s="15">
        <v>58901</v>
      </c>
      <c r="AL34" s="13">
        <v>29675</v>
      </c>
      <c r="AM34" s="13">
        <v>17772</v>
      </c>
      <c r="AN34" s="13">
        <v>9892</v>
      </c>
      <c r="AO34" s="26"/>
      <c r="AP34" s="26">
        <v>8107</v>
      </c>
      <c r="AQ34" s="30">
        <v>5498</v>
      </c>
      <c r="AR34" s="30">
        <v>5</v>
      </c>
      <c r="AS34" s="26">
        <v>1854</v>
      </c>
      <c r="AT34" s="30">
        <v>3010</v>
      </c>
      <c r="AU34" s="30">
        <v>3</v>
      </c>
      <c r="AV34" s="30">
        <v>428</v>
      </c>
      <c r="AW34" s="30">
        <v>0</v>
      </c>
      <c r="AX34" s="45"/>
      <c r="AY34" s="30">
        <v>4</v>
      </c>
      <c r="AZ34" s="30">
        <v>168</v>
      </c>
      <c r="BA34" s="30">
        <v>0</v>
      </c>
      <c r="BB34" s="30">
        <v>0</v>
      </c>
      <c r="BC34" s="30">
        <v>18</v>
      </c>
      <c r="BD34" s="36" t="s">
        <v>110</v>
      </c>
      <c r="BE34" s="36">
        <v>182</v>
      </c>
      <c r="BF34" s="36">
        <v>19</v>
      </c>
      <c r="BG34" s="36">
        <v>1</v>
      </c>
      <c r="BH34" s="36">
        <v>29</v>
      </c>
      <c r="BI34" s="36">
        <v>4</v>
      </c>
      <c r="BJ34" s="38">
        <v>9.1</v>
      </c>
      <c r="BK34" s="32">
        <v>9.26</v>
      </c>
      <c r="BL34" s="12"/>
    </row>
    <row r="35" spans="1:64" x14ac:dyDescent="0.2">
      <c r="A35" s="11" t="s">
        <v>23</v>
      </c>
      <c r="B35" s="12"/>
      <c r="C35" s="13">
        <v>51569</v>
      </c>
      <c r="D35" s="14">
        <v>0</v>
      </c>
      <c r="E35" s="14">
        <v>352472</v>
      </c>
      <c r="F35" s="14">
        <v>957206.05999999994</v>
      </c>
      <c r="G35" s="14">
        <v>0</v>
      </c>
      <c r="H35" s="14">
        <v>0</v>
      </c>
      <c r="I35" s="14">
        <v>0</v>
      </c>
      <c r="J35" s="14">
        <v>72716.160000000003</v>
      </c>
      <c r="K35" s="14">
        <v>0</v>
      </c>
      <c r="L35" s="14">
        <v>900317.11</v>
      </c>
      <c r="M35" s="14">
        <v>285507.56</v>
      </c>
      <c r="N35" s="14">
        <v>158093</v>
      </c>
      <c r="O35" s="14">
        <v>0</v>
      </c>
      <c r="P35" s="14">
        <v>49743.28</v>
      </c>
      <c r="Q35" s="14">
        <v>0</v>
      </c>
      <c r="R35" s="14">
        <v>235223.2</v>
      </c>
      <c r="S35" s="3">
        <v>0</v>
      </c>
      <c r="T35" s="34">
        <f>41*0.4</f>
        <v>16.400000000000002</v>
      </c>
      <c r="U35" s="35">
        <v>67857</v>
      </c>
      <c r="V35" s="35">
        <v>7997</v>
      </c>
      <c r="W35" s="36">
        <v>67857</v>
      </c>
      <c r="X35" s="36">
        <v>7997</v>
      </c>
      <c r="Y35" s="36">
        <v>33280</v>
      </c>
      <c r="Z35" s="36">
        <v>12450</v>
      </c>
      <c r="AA35" s="37" t="s">
        <v>110</v>
      </c>
      <c r="AB35" s="36">
        <v>130875</v>
      </c>
      <c r="AC35" s="36">
        <v>13532</v>
      </c>
      <c r="AD35" s="36">
        <v>0</v>
      </c>
      <c r="AE35" s="36">
        <v>13266</v>
      </c>
      <c r="AF35" s="36">
        <v>3867</v>
      </c>
      <c r="AG35" s="13">
        <v>98982</v>
      </c>
      <c r="AH35" s="13">
        <v>0</v>
      </c>
      <c r="AI35" s="13">
        <v>0</v>
      </c>
      <c r="AJ35" s="13">
        <v>0</v>
      </c>
      <c r="AK35" s="15">
        <v>23689</v>
      </c>
      <c r="AL35" s="13">
        <v>9422</v>
      </c>
      <c r="AM35" s="13"/>
      <c r="AN35" s="13">
        <v>15184</v>
      </c>
      <c r="AO35" s="26"/>
      <c r="AP35" s="26">
        <v>2224</v>
      </c>
      <c r="AQ35" s="26">
        <v>2635</v>
      </c>
      <c r="AR35" s="26">
        <v>4</v>
      </c>
      <c r="AS35" s="26">
        <v>1425</v>
      </c>
      <c r="AT35" s="30">
        <v>1895</v>
      </c>
      <c r="AU35" s="30">
        <v>3</v>
      </c>
      <c r="AV35" s="30">
        <v>333</v>
      </c>
      <c r="AW35" s="30">
        <v>0</v>
      </c>
      <c r="AX35" s="45"/>
      <c r="AY35" s="30">
        <v>1</v>
      </c>
      <c r="AZ35" s="30">
        <v>190</v>
      </c>
      <c r="BA35" s="30">
        <v>0</v>
      </c>
      <c r="BB35" s="30">
        <v>0</v>
      </c>
      <c r="BC35" s="30">
        <v>40</v>
      </c>
      <c r="BD35" s="36" t="s">
        <v>110</v>
      </c>
      <c r="BE35" s="36" t="s">
        <v>116</v>
      </c>
      <c r="BF35" s="36">
        <v>10</v>
      </c>
      <c r="BG35" s="36">
        <v>7</v>
      </c>
      <c r="BH35" s="36">
        <v>19</v>
      </c>
      <c r="BI35" s="36">
        <v>4</v>
      </c>
      <c r="BJ35" s="32">
        <v>8.76</v>
      </c>
      <c r="BK35" s="32">
        <v>8.76</v>
      </c>
      <c r="BL35" s="12"/>
    </row>
    <row r="36" spans="1:64" x14ac:dyDescent="0.2">
      <c r="A36" s="11" t="s">
        <v>24</v>
      </c>
      <c r="B36" s="12"/>
      <c r="C36" s="13">
        <v>194707</v>
      </c>
      <c r="D36" s="14">
        <v>0</v>
      </c>
      <c r="E36" s="14">
        <v>1356503</v>
      </c>
      <c r="F36" s="14">
        <v>6401964.1499999994</v>
      </c>
      <c r="G36" s="14">
        <v>0</v>
      </c>
      <c r="H36" s="14">
        <v>0</v>
      </c>
      <c r="I36" s="14">
        <v>112844</v>
      </c>
      <c r="J36" s="14">
        <v>52056.959999999999</v>
      </c>
      <c r="K36" s="14">
        <v>0</v>
      </c>
      <c r="L36" s="14">
        <v>5543088.3899999997</v>
      </c>
      <c r="M36" s="14">
        <v>754794.26</v>
      </c>
      <c r="N36" s="14">
        <v>1015714.23</v>
      </c>
      <c r="O36" s="14">
        <v>114725.97</v>
      </c>
      <c r="P36" s="14">
        <v>382201</v>
      </c>
      <c r="Q36" s="14">
        <v>112844</v>
      </c>
      <c r="R36" s="14">
        <v>0</v>
      </c>
      <c r="S36" s="3">
        <v>0</v>
      </c>
      <c r="T36" s="34">
        <v>59.9</v>
      </c>
      <c r="U36" s="35">
        <v>276789</v>
      </c>
      <c r="V36" s="35">
        <v>32904</v>
      </c>
      <c r="W36" s="36">
        <v>271414</v>
      </c>
      <c r="X36" s="35">
        <v>32907</v>
      </c>
      <c r="Y36" s="36">
        <v>149058</v>
      </c>
      <c r="Z36" s="36">
        <v>30996</v>
      </c>
      <c r="AA36" s="37" t="s">
        <v>110</v>
      </c>
      <c r="AB36" s="36">
        <v>1275186</v>
      </c>
      <c r="AC36" s="36">
        <v>322919</v>
      </c>
      <c r="AD36" s="36">
        <v>9</v>
      </c>
      <c r="AE36" s="36">
        <v>41160</v>
      </c>
      <c r="AF36" s="36">
        <v>19680</v>
      </c>
      <c r="AG36" s="13">
        <v>639887</v>
      </c>
      <c r="AH36" s="13">
        <v>0</v>
      </c>
      <c r="AI36" s="13">
        <v>4373</v>
      </c>
      <c r="AJ36" s="13">
        <v>10403</v>
      </c>
      <c r="AK36" s="15">
        <v>276503</v>
      </c>
      <c r="AL36" s="13">
        <v>193830</v>
      </c>
      <c r="AM36" s="13"/>
      <c r="AN36" s="13">
        <v>56594</v>
      </c>
      <c r="AO36" s="26">
        <v>159600</v>
      </c>
      <c r="AP36" s="26">
        <v>30453</v>
      </c>
      <c r="AQ36" s="26">
        <v>40314</v>
      </c>
      <c r="AR36" s="26">
        <v>6</v>
      </c>
      <c r="AS36" s="26">
        <v>3291</v>
      </c>
      <c r="AT36" s="30">
        <v>4950</v>
      </c>
      <c r="AU36" s="30">
        <v>11</v>
      </c>
      <c r="AV36" s="30">
        <v>1692</v>
      </c>
      <c r="AW36" s="30">
        <v>0</v>
      </c>
      <c r="AX36" s="45"/>
      <c r="AY36" s="30">
        <v>0</v>
      </c>
      <c r="AZ36" s="30">
        <v>336</v>
      </c>
      <c r="BA36" s="30">
        <v>0</v>
      </c>
      <c r="BB36" s="30">
        <v>0</v>
      </c>
      <c r="BC36" s="30">
        <v>0</v>
      </c>
      <c r="BD36" s="36" t="s">
        <v>110</v>
      </c>
      <c r="BE36" s="36">
        <v>180</v>
      </c>
      <c r="BF36" s="36">
        <v>48</v>
      </c>
      <c r="BG36" s="36">
        <v>130</v>
      </c>
      <c r="BH36" s="36">
        <v>55</v>
      </c>
      <c r="BI36" s="36">
        <v>7</v>
      </c>
      <c r="BJ36" s="38">
        <v>8.6999999999999993</v>
      </c>
      <c r="BK36" s="32">
        <v>9.02</v>
      </c>
      <c r="BL36" s="12"/>
    </row>
    <row r="37" spans="1:64" x14ac:dyDescent="0.2">
      <c r="A37" s="11" t="s">
        <v>25</v>
      </c>
      <c r="B37" s="12"/>
      <c r="C37" s="13">
        <v>122961</v>
      </c>
      <c r="D37" s="14">
        <v>0</v>
      </c>
      <c r="E37" s="14">
        <v>873360</v>
      </c>
      <c r="F37" s="14">
        <v>5362505</v>
      </c>
      <c r="G37" s="14">
        <v>0</v>
      </c>
      <c r="H37" s="14">
        <v>1000000</v>
      </c>
      <c r="I37" s="14">
        <v>537622.99</v>
      </c>
      <c r="J37" s="14">
        <v>111178</v>
      </c>
      <c r="K37" s="14">
        <v>0</v>
      </c>
      <c r="L37" s="14">
        <v>4409442</v>
      </c>
      <c r="M37" s="14">
        <v>860247</v>
      </c>
      <c r="N37" s="14">
        <v>752411</v>
      </c>
      <c r="O37" s="14">
        <v>0</v>
      </c>
      <c r="P37" s="14">
        <v>317875</v>
      </c>
      <c r="Q37" s="14">
        <v>1537623</v>
      </c>
      <c r="R37" s="14">
        <v>0</v>
      </c>
      <c r="S37" s="3">
        <v>0</v>
      </c>
      <c r="T37" s="34">
        <v>43</v>
      </c>
      <c r="U37" s="35">
        <v>141656</v>
      </c>
      <c r="V37" s="35">
        <v>28708</v>
      </c>
      <c r="W37" s="36">
        <v>129807</v>
      </c>
      <c r="X37" s="36">
        <v>28708</v>
      </c>
      <c r="Y37" s="36">
        <v>91412</v>
      </c>
      <c r="Z37" s="36">
        <v>32207</v>
      </c>
      <c r="AA37" s="37" t="s">
        <v>110</v>
      </c>
      <c r="AB37" s="36">
        <v>660593</v>
      </c>
      <c r="AC37" s="36">
        <v>232879</v>
      </c>
      <c r="AD37" s="36">
        <v>24</v>
      </c>
      <c r="AE37" s="36">
        <v>64890</v>
      </c>
      <c r="AF37" s="36">
        <v>21873</v>
      </c>
      <c r="AG37" s="13">
        <v>391258</v>
      </c>
      <c r="AH37" s="13">
        <v>0</v>
      </c>
      <c r="AI37" s="13">
        <v>286</v>
      </c>
      <c r="AJ37" s="13">
        <v>1201</v>
      </c>
      <c r="AK37" s="15">
        <v>201293</v>
      </c>
      <c r="AL37" s="13">
        <v>94364</v>
      </c>
      <c r="AM37" s="13">
        <v>292902</v>
      </c>
      <c r="AN37" s="13">
        <v>45092</v>
      </c>
      <c r="AO37" s="30"/>
      <c r="AP37" s="30"/>
      <c r="AQ37" s="26">
        <v>129950</v>
      </c>
      <c r="AR37" s="26">
        <v>5</v>
      </c>
      <c r="AS37" s="26">
        <v>3745</v>
      </c>
      <c r="AT37" s="30">
        <v>4532</v>
      </c>
      <c r="AU37" s="30">
        <v>9</v>
      </c>
      <c r="AV37" s="30">
        <v>2883</v>
      </c>
      <c r="AW37" s="30">
        <v>0</v>
      </c>
      <c r="AX37" s="45"/>
      <c r="AY37" s="30">
        <v>3</v>
      </c>
      <c r="AZ37" s="30">
        <v>265</v>
      </c>
      <c r="BA37" s="30">
        <v>0</v>
      </c>
      <c r="BB37" s="30">
        <v>0</v>
      </c>
      <c r="BC37" s="30">
        <v>210</v>
      </c>
      <c r="BD37" s="36" t="s">
        <v>110</v>
      </c>
      <c r="BE37" s="36">
        <v>26</v>
      </c>
      <c r="BF37" s="36">
        <v>21</v>
      </c>
      <c r="BG37" s="36">
        <v>21</v>
      </c>
      <c r="BH37" s="36">
        <v>106</v>
      </c>
      <c r="BI37" s="36">
        <v>17</v>
      </c>
      <c r="BJ37" s="38">
        <v>7.7</v>
      </c>
      <c r="BK37" s="32">
        <v>8.99</v>
      </c>
      <c r="BL37" s="12"/>
    </row>
    <row r="38" spans="1:64" x14ac:dyDescent="0.2">
      <c r="A38" s="11" t="s">
        <v>26</v>
      </c>
      <c r="B38" s="12"/>
      <c r="C38" s="13">
        <v>169600</v>
      </c>
      <c r="D38" s="2">
        <v>4500</v>
      </c>
      <c r="E38" s="14">
        <v>1236655</v>
      </c>
      <c r="F38" s="14">
        <v>5664235</v>
      </c>
      <c r="G38" s="2">
        <v>0</v>
      </c>
      <c r="H38" s="2">
        <v>0</v>
      </c>
      <c r="I38" s="2">
        <v>55000</v>
      </c>
      <c r="J38" s="14">
        <v>51345</v>
      </c>
      <c r="K38" s="14">
        <v>0</v>
      </c>
      <c r="L38" s="14">
        <v>3268176</v>
      </c>
      <c r="M38" s="14">
        <v>668554</v>
      </c>
      <c r="N38" s="14">
        <v>644812</v>
      </c>
      <c r="O38" s="2">
        <v>150500</v>
      </c>
      <c r="P38" s="14">
        <v>290000</v>
      </c>
      <c r="Q38" s="14">
        <v>69936</v>
      </c>
      <c r="R38" s="14">
        <v>683840</v>
      </c>
      <c r="S38" s="3">
        <v>0</v>
      </c>
      <c r="T38" s="34">
        <v>33.4</v>
      </c>
      <c r="U38" s="35">
        <v>164487</v>
      </c>
      <c r="V38" s="35">
        <v>32089</v>
      </c>
      <c r="W38" s="36">
        <v>160483</v>
      </c>
      <c r="X38" s="36">
        <v>31600</v>
      </c>
      <c r="Y38" s="36">
        <v>105795</v>
      </c>
      <c r="Z38" s="36">
        <v>25947</v>
      </c>
      <c r="AA38" s="37" t="s">
        <v>110</v>
      </c>
      <c r="AB38" s="36">
        <v>991360</v>
      </c>
      <c r="AC38" s="36">
        <v>221426</v>
      </c>
      <c r="AD38" s="36">
        <v>0</v>
      </c>
      <c r="AE38" s="36">
        <v>27750</v>
      </c>
      <c r="AF38" s="36">
        <v>19426</v>
      </c>
      <c r="AG38" s="13">
        <v>427560</v>
      </c>
      <c r="AH38" s="13">
        <v>0</v>
      </c>
      <c r="AI38" s="13">
        <v>2425</v>
      </c>
      <c r="AJ38" s="13">
        <v>6456</v>
      </c>
      <c r="AK38" s="15">
        <v>183835</v>
      </c>
      <c r="AL38" s="15">
        <v>67697</v>
      </c>
      <c r="AM38" s="15">
        <v>64511</v>
      </c>
      <c r="AN38" s="15">
        <v>26713</v>
      </c>
      <c r="AO38" s="30">
        <v>26696</v>
      </c>
      <c r="AP38" s="30">
        <v>6823</v>
      </c>
      <c r="AQ38" s="30">
        <v>20851</v>
      </c>
      <c r="AR38" s="30">
        <v>4</v>
      </c>
      <c r="AS38" s="26">
        <v>2702</v>
      </c>
      <c r="AT38" s="26">
        <v>3621</v>
      </c>
      <c r="AU38" s="30">
        <v>0</v>
      </c>
      <c r="AV38" s="30">
        <v>0</v>
      </c>
      <c r="AW38" s="30">
        <v>0</v>
      </c>
      <c r="AX38" s="45"/>
      <c r="AY38" s="30">
        <v>1</v>
      </c>
      <c r="AZ38" s="30">
        <v>202</v>
      </c>
      <c r="BA38" s="30">
        <v>0</v>
      </c>
      <c r="BB38" s="30">
        <v>0</v>
      </c>
      <c r="BC38" s="30">
        <v>41.5</v>
      </c>
      <c r="BD38" s="36" t="s">
        <v>110</v>
      </c>
      <c r="BE38" s="36">
        <v>169</v>
      </c>
      <c r="BF38" s="36">
        <v>82</v>
      </c>
      <c r="BG38" s="36">
        <v>3</v>
      </c>
      <c r="BH38" s="36">
        <v>61</v>
      </c>
      <c r="BI38" s="36">
        <v>10</v>
      </c>
      <c r="BJ38" s="32">
        <v>9</v>
      </c>
      <c r="BK38" s="32">
        <v>9</v>
      </c>
      <c r="BL38" s="12"/>
    </row>
    <row r="39" spans="1:64" x14ac:dyDescent="0.2">
      <c r="A39" s="11" t="s">
        <v>27</v>
      </c>
      <c r="B39" s="12"/>
      <c r="C39" s="13">
        <v>15345</v>
      </c>
      <c r="D39" s="2">
        <v>0</v>
      </c>
      <c r="E39" s="14">
        <v>172060</v>
      </c>
      <c r="F39" s="14">
        <v>587591</v>
      </c>
      <c r="G39" s="14">
        <v>0</v>
      </c>
      <c r="H39" s="14">
        <v>0</v>
      </c>
      <c r="I39" s="14">
        <v>0</v>
      </c>
      <c r="J39" s="14">
        <v>8864</v>
      </c>
      <c r="K39" s="14">
        <v>361</v>
      </c>
      <c r="L39" s="14">
        <v>532854</v>
      </c>
      <c r="M39" s="14">
        <v>142211</v>
      </c>
      <c r="N39" s="14">
        <v>77888</v>
      </c>
      <c r="O39" s="14">
        <v>15923</v>
      </c>
      <c r="P39" s="14">
        <v>0</v>
      </c>
      <c r="Q39" s="14">
        <v>0</v>
      </c>
      <c r="R39" s="14">
        <v>0</v>
      </c>
      <c r="S39" s="3">
        <v>0</v>
      </c>
      <c r="T39" s="34">
        <v>5.6</v>
      </c>
      <c r="U39" s="35">
        <v>32946</v>
      </c>
      <c r="V39" s="35"/>
      <c r="W39" s="36">
        <v>32946</v>
      </c>
      <c r="X39" s="35"/>
      <c r="Y39" s="36">
        <v>17940</v>
      </c>
      <c r="Z39" s="35"/>
      <c r="AA39" s="37" t="s">
        <v>111</v>
      </c>
      <c r="AB39" s="36">
        <v>67453</v>
      </c>
      <c r="AC39" s="35"/>
      <c r="AD39" s="36">
        <v>0</v>
      </c>
      <c r="AE39" s="36">
        <v>4910</v>
      </c>
      <c r="AF39" s="36">
        <v>2652</v>
      </c>
      <c r="AG39" s="13">
        <v>58992</v>
      </c>
      <c r="AH39" s="13">
        <v>2325</v>
      </c>
      <c r="AI39" s="13">
        <v>14</v>
      </c>
      <c r="AJ39" s="13">
        <v>62</v>
      </c>
      <c r="AK39" s="15">
        <v>9688</v>
      </c>
      <c r="AL39" s="15">
        <v>8444</v>
      </c>
      <c r="AM39" s="13"/>
      <c r="AN39" s="13">
        <v>8743</v>
      </c>
      <c r="AO39" s="26"/>
      <c r="AP39" s="30"/>
      <c r="AQ39" s="30">
        <v>2475</v>
      </c>
      <c r="AR39" s="30">
        <v>3</v>
      </c>
      <c r="AS39" s="26">
        <v>372</v>
      </c>
      <c r="AT39" s="26">
        <v>566</v>
      </c>
      <c r="AU39" s="30">
        <v>0</v>
      </c>
      <c r="AV39" s="30">
        <v>0</v>
      </c>
      <c r="AW39" s="30">
        <v>1</v>
      </c>
      <c r="AX39" s="30">
        <v>8</v>
      </c>
      <c r="AY39" s="30">
        <v>0</v>
      </c>
      <c r="AZ39" s="30">
        <v>129</v>
      </c>
      <c r="BA39" s="30">
        <v>0</v>
      </c>
      <c r="BB39" s="30">
        <v>15</v>
      </c>
      <c r="BC39" s="30">
        <v>0</v>
      </c>
      <c r="BD39" s="36" t="s">
        <v>110</v>
      </c>
      <c r="BE39" s="36">
        <v>14</v>
      </c>
      <c r="BF39" s="36">
        <v>4</v>
      </c>
      <c r="BG39" s="36">
        <v>4</v>
      </c>
      <c r="BH39" s="36">
        <v>22</v>
      </c>
      <c r="BI39" s="36">
        <v>3</v>
      </c>
      <c r="BJ39" s="32">
        <v>9.01</v>
      </c>
      <c r="BK39" s="32">
        <v>9.01</v>
      </c>
      <c r="BL39" s="12"/>
    </row>
    <row r="40" spans="1:64" x14ac:dyDescent="0.2">
      <c r="A40" s="11" t="s">
        <v>75</v>
      </c>
      <c r="B40" s="12"/>
      <c r="C40" s="13">
        <v>254623</v>
      </c>
      <c r="D40" s="14">
        <v>0</v>
      </c>
      <c r="E40" s="14">
        <v>1395337.07</v>
      </c>
      <c r="F40" s="14">
        <v>6780959.7599999998</v>
      </c>
      <c r="G40" s="14">
        <v>0</v>
      </c>
      <c r="H40" s="14">
        <v>140552.81</v>
      </c>
      <c r="I40" s="14">
        <v>0</v>
      </c>
      <c r="J40" s="14">
        <v>63508.639999999999</v>
      </c>
      <c r="K40" s="14">
        <v>40888.339999999997</v>
      </c>
      <c r="L40" s="14">
        <v>5270648.6099999994</v>
      </c>
      <c r="M40" s="14">
        <v>881350.22</v>
      </c>
      <c r="N40" s="14">
        <v>755325.24999999988</v>
      </c>
      <c r="O40" s="14">
        <v>43603.229999999996</v>
      </c>
      <c r="P40" s="14">
        <v>539169.71</v>
      </c>
      <c r="Q40" s="14">
        <v>305928.33999999997</v>
      </c>
      <c r="R40" s="14">
        <v>1124429.26</v>
      </c>
      <c r="S40" s="3">
        <v>-989631.89999999851</v>
      </c>
      <c r="T40" s="34">
        <v>60</v>
      </c>
      <c r="U40" s="35">
        <v>212822</v>
      </c>
      <c r="V40" s="35">
        <v>32949</v>
      </c>
      <c r="W40" s="36">
        <v>208127</v>
      </c>
      <c r="X40" s="36">
        <v>32949</v>
      </c>
      <c r="Y40" s="36">
        <v>94177</v>
      </c>
      <c r="Z40" s="36">
        <v>33806</v>
      </c>
      <c r="AA40" s="37" t="s">
        <v>110</v>
      </c>
      <c r="AB40" s="36">
        <v>473334</v>
      </c>
      <c r="AC40" s="36">
        <v>292287</v>
      </c>
      <c r="AD40" s="36">
        <v>0</v>
      </c>
      <c r="AE40" s="36">
        <v>68162</v>
      </c>
      <c r="AF40" s="36">
        <v>28021</v>
      </c>
      <c r="AG40" s="13">
        <v>390502</v>
      </c>
      <c r="AH40" s="36">
        <v>8423</v>
      </c>
      <c r="AI40" s="13">
        <v>720</v>
      </c>
      <c r="AJ40" s="13">
        <v>9913</v>
      </c>
      <c r="AK40" s="15">
        <v>589855</v>
      </c>
      <c r="AL40" s="13">
        <v>299479</v>
      </c>
      <c r="AM40" s="13">
        <v>398908</v>
      </c>
      <c r="AN40" s="13">
        <v>52552</v>
      </c>
      <c r="AO40" s="26"/>
      <c r="AP40" s="30"/>
      <c r="AQ40" s="30">
        <v>15215</v>
      </c>
      <c r="AR40" s="30">
        <v>12</v>
      </c>
      <c r="AS40" s="30">
        <v>4113</v>
      </c>
      <c r="AT40" s="30">
        <v>5014</v>
      </c>
      <c r="AU40" s="30">
        <v>8</v>
      </c>
      <c r="AV40" s="30">
        <v>318.45</v>
      </c>
      <c r="AW40" s="30">
        <v>2</v>
      </c>
      <c r="AX40" s="30">
        <v>21</v>
      </c>
      <c r="AY40" s="30">
        <v>7</v>
      </c>
      <c r="AZ40" s="30">
        <v>466.5</v>
      </c>
      <c r="BA40" s="30">
        <v>477</v>
      </c>
      <c r="BB40" s="30">
        <v>48.75</v>
      </c>
      <c r="BC40" s="30">
        <v>277.5</v>
      </c>
      <c r="BD40" s="36" t="s">
        <v>110</v>
      </c>
      <c r="BE40" s="36">
        <v>97</v>
      </c>
      <c r="BF40" s="36">
        <v>15</v>
      </c>
      <c r="BG40" s="36">
        <v>1</v>
      </c>
      <c r="BH40" s="36">
        <v>102</v>
      </c>
      <c r="BI40" s="36">
        <v>5</v>
      </c>
      <c r="BJ40" s="32">
        <v>8.65</v>
      </c>
      <c r="BK40" s="32">
        <v>8.65</v>
      </c>
      <c r="BL40" s="12"/>
    </row>
    <row r="41" spans="1:64" x14ac:dyDescent="0.2">
      <c r="A41" s="11" t="s">
        <v>28</v>
      </c>
      <c r="B41" s="12"/>
      <c r="C41" s="13">
        <v>103836</v>
      </c>
      <c r="D41" s="2">
        <v>0</v>
      </c>
      <c r="E41" s="14">
        <v>788604</v>
      </c>
      <c r="F41" s="14">
        <v>4829814</v>
      </c>
      <c r="G41" s="2">
        <v>0</v>
      </c>
      <c r="H41" s="2">
        <v>0</v>
      </c>
      <c r="I41" s="14">
        <v>92230</v>
      </c>
      <c r="J41" s="14">
        <v>32519.439999999999</v>
      </c>
      <c r="K41" s="14">
        <v>0</v>
      </c>
      <c r="L41" s="14">
        <v>4054555</v>
      </c>
      <c r="M41" s="14">
        <v>362031</v>
      </c>
      <c r="N41" s="2">
        <v>445192.99</v>
      </c>
      <c r="O41" s="14">
        <v>127593</v>
      </c>
      <c r="P41" s="14">
        <v>568420.92000000004</v>
      </c>
      <c r="Q41" s="14">
        <v>150040</v>
      </c>
      <c r="R41" s="14">
        <v>0</v>
      </c>
      <c r="S41" s="3">
        <v>0</v>
      </c>
      <c r="T41" s="34">
        <v>41.2</v>
      </c>
      <c r="U41" s="35">
        <v>184367</v>
      </c>
      <c r="V41" s="35">
        <v>36852</v>
      </c>
      <c r="W41" s="36">
        <v>181062</v>
      </c>
      <c r="X41" s="36">
        <v>36852</v>
      </c>
      <c r="Y41" s="36">
        <v>82990</v>
      </c>
      <c r="Z41" s="36">
        <v>36852</v>
      </c>
      <c r="AA41" s="37" t="s">
        <v>110</v>
      </c>
      <c r="AB41" s="36">
        <v>683299</v>
      </c>
      <c r="AC41" s="36">
        <v>161330</v>
      </c>
      <c r="AD41" s="36">
        <v>127</v>
      </c>
      <c r="AE41" s="36">
        <v>41341</v>
      </c>
      <c r="AF41" s="36">
        <v>16937</v>
      </c>
      <c r="AG41" s="13">
        <v>478360</v>
      </c>
      <c r="AH41" s="13">
        <v>0</v>
      </c>
      <c r="AI41" s="13">
        <v>1560</v>
      </c>
      <c r="AJ41" s="13">
        <v>0</v>
      </c>
      <c r="AK41" s="15">
        <v>291641</v>
      </c>
      <c r="AL41" s="13">
        <v>85777</v>
      </c>
      <c r="AM41" s="13"/>
      <c r="AN41" s="13">
        <v>28023</v>
      </c>
      <c r="AO41" s="26">
        <v>91915.333333333328</v>
      </c>
      <c r="AP41" s="26">
        <v>11993</v>
      </c>
      <c r="AQ41" s="26">
        <v>31663</v>
      </c>
      <c r="AR41" s="26">
        <v>5</v>
      </c>
      <c r="AS41" s="30"/>
      <c r="AT41" s="30">
        <v>4891</v>
      </c>
      <c r="AU41" s="30">
        <v>4</v>
      </c>
      <c r="AV41" s="30">
        <v>3104</v>
      </c>
      <c r="AW41" s="30">
        <v>0</v>
      </c>
      <c r="AX41" s="45"/>
      <c r="AY41" s="30">
        <v>0</v>
      </c>
      <c r="AZ41" s="30">
        <v>230</v>
      </c>
      <c r="BA41" s="30">
        <v>0</v>
      </c>
      <c r="BB41" s="30">
        <v>0</v>
      </c>
      <c r="BC41" s="30">
        <v>0</v>
      </c>
      <c r="BD41" s="36" t="s">
        <v>110</v>
      </c>
      <c r="BE41" s="36">
        <v>120</v>
      </c>
      <c r="BF41" s="36">
        <v>11</v>
      </c>
      <c r="BG41" s="36">
        <v>10</v>
      </c>
      <c r="BH41" s="36">
        <v>39</v>
      </c>
      <c r="BI41" s="36">
        <v>14</v>
      </c>
      <c r="BJ41" s="32">
        <v>8.99</v>
      </c>
      <c r="BK41" s="32">
        <v>8.99</v>
      </c>
      <c r="BL41" s="12"/>
    </row>
    <row r="42" spans="1:64" x14ac:dyDescent="0.2">
      <c r="A42" s="11" t="s">
        <v>29</v>
      </c>
      <c r="B42" s="12"/>
      <c r="C42" s="13">
        <v>106310</v>
      </c>
      <c r="D42" s="14">
        <v>0</v>
      </c>
      <c r="E42" s="14">
        <v>790228</v>
      </c>
      <c r="F42" s="14">
        <v>4100233</v>
      </c>
      <c r="G42" s="14">
        <v>0</v>
      </c>
      <c r="H42" s="14">
        <v>0</v>
      </c>
      <c r="I42" s="14">
        <v>295000</v>
      </c>
      <c r="J42" s="14">
        <v>259</v>
      </c>
      <c r="K42" s="14">
        <v>59671</v>
      </c>
      <c r="L42" s="14">
        <v>3498237</v>
      </c>
      <c r="M42" s="14">
        <v>1113815</v>
      </c>
      <c r="N42" s="14">
        <v>482558</v>
      </c>
      <c r="O42" s="14">
        <v>155686</v>
      </c>
      <c r="P42" s="14">
        <v>267200</v>
      </c>
      <c r="Q42" s="14">
        <v>222405</v>
      </c>
      <c r="R42" s="14">
        <v>974902</v>
      </c>
      <c r="S42" s="3">
        <v>0</v>
      </c>
      <c r="T42" s="34">
        <v>38.1</v>
      </c>
      <c r="U42" s="35">
        <v>102807</v>
      </c>
      <c r="V42" s="35">
        <v>19634</v>
      </c>
      <c r="W42" s="36">
        <v>101224</v>
      </c>
      <c r="X42" s="36">
        <v>19634</v>
      </c>
      <c r="Y42" s="36">
        <v>74177</v>
      </c>
      <c r="Z42" s="36">
        <v>16276</v>
      </c>
      <c r="AA42" s="37" t="s">
        <v>110</v>
      </c>
      <c r="AB42" s="36">
        <v>489947</v>
      </c>
      <c r="AC42" s="36">
        <v>142830</v>
      </c>
      <c r="AD42" s="36">
        <v>0</v>
      </c>
      <c r="AE42" s="36">
        <v>42139</v>
      </c>
      <c r="AF42" s="36">
        <v>14750</v>
      </c>
      <c r="AG42" s="13">
        <v>330870</v>
      </c>
      <c r="AH42" s="13">
        <v>0</v>
      </c>
      <c r="AI42" s="13">
        <v>3869</v>
      </c>
      <c r="AJ42" s="13">
        <v>330</v>
      </c>
      <c r="AK42" s="15">
        <v>169707</v>
      </c>
      <c r="AL42" s="15">
        <v>97647</v>
      </c>
      <c r="AM42" s="13">
        <v>100147</v>
      </c>
      <c r="AN42" s="13">
        <v>17294</v>
      </c>
      <c r="AO42" s="26">
        <v>15547</v>
      </c>
      <c r="AP42" s="26">
        <v>1297</v>
      </c>
      <c r="AQ42" s="26">
        <v>32194</v>
      </c>
      <c r="AR42" s="26">
        <v>4</v>
      </c>
      <c r="AS42" s="30"/>
      <c r="AT42" s="30"/>
      <c r="AU42" s="30">
        <v>3</v>
      </c>
      <c r="AV42" s="30">
        <v>245.75</v>
      </c>
      <c r="AW42" s="30">
        <v>0</v>
      </c>
      <c r="AX42" s="45"/>
      <c r="AY42" s="30">
        <v>0</v>
      </c>
      <c r="AZ42" s="30">
        <v>203</v>
      </c>
      <c r="BA42" s="30">
        <v>0</v>
      </c>
      <c r="BB42" s="30">
        <v>0</v>
      </c>
      <c r="BC42" s="30">
        <v>0</v>
      </c>
      <c r="BD42" s="36" t="s">
        <v>110</v>
      </c>
      <c r="BE42" s="36">
        <v>322</v>
      </c>
      <c r="BF42" s="36">
        <v>6</v>
      </c>
      <c r="BG42" s="36">
        <v>10</v>
      </c>
      <c r="BH42" s="36">
        <v>24</v>
      </c>
      <c r="BI42" s="36">
        <v>6</v>
      </c>
      <c r="BJ42" s="38">
        <v>7.6</v>
      </c>
      <c r="BK42" s="32">
        <v>8.93</v>
      </c>
      <c r="BL42" s="12"/>
    </row>
    <row r="43" spans="1:64" x14ac:dyDescent="0.2">
      <c r="A43" s="11" t="s">
        <v>30</v>
      </c>
      <c r="B43" s="12"/>
      <c r="C43" s="13">
        <v>21207</v>
      </c>
      <c r="D43" s="14">
        <v>0</v>
      </c>
      <c r="E43" s="14">
        <v>239787</v>
      </c>
      <c r="F43" s="14">
        <v>1089369</v>
      </c>
      <c r="G43" s="14">
        <v>0</v>
      </c>
      <c r="H43" s="14">
        <v>0</v>
      </c>
      <c r="I43" s="14">
        <v>7629</v>
      </c>
      <c r="J43" s="14">
        <v>17837</v>
      </c>
      <c r="K43" s="14">
        <v>172180</v>
      </c>
      <c r="L43" s="14">
        <v>813710</v>
      </c>
      <c r="M43" s="14">
        <v>372792</v>
      </c>
      <c r="N43" s="14">
        <v>153865</v>
      </c>
      <c r="O43" s="14">
        <v>11531</v>
      </c>
      <c r="P43" s="14">
        <v>30036</v>
      </c>
      <c r="Q43" s="14">
        <v>7629</v>
      </c>
      <c r="R43" s="14">
        <v>137239</v>
      </c>
      <c r="S43" s="3">
        <v>0</v>
      </c>
      <c r="T43" s="34">
        <v>8.77</v>
      </c>
      <c r="U43" s="35">
        <v>80886</v>
      </c>
      <c r="V43" s="35">
        <v>23123</v>
      </c>
      <c r="W43" s="36">
        <v>76639</v>
      </c>
      <c r="X43" s="36">
        <v>23123</v>
      </c>
      <c r="Y43" s="36">
        <v>30696</v>
      </c>
      <c r="Z43" s="36">
        <v>9083</v>
      </c>
      <c r="AA43" s="37" t="s">
        <v>110</v>
      </c>
      <c r="AB43" s="36">
        <v>103454</v>
      </c>
      <c r="AC43" s="36">
        <v>17770</v>
      </c>
      <c r="AD43" s="36">
        <v>0</v>
      </c>
      <c r="AE43" s="36">
        <v>8278</v>
      </c>
      <c r="AF43" s="36">
        <v>2967</v>
      </c>
      <c r="AG43" s="13">
        <v>48642</v>
      </c>
      <c r="AH43" s="13">
        <v>4200</v>
      </c>
      <c r="AI43" s="13">
        <v>228</v>
      </c>
      <c r="AJ43" s="13">
        <v>1524</v>
      </c>
      <c r="AK43" s="15">
        <v>53870</v>
      </c>
      <c r="AL43" s="15">
        <v>29705</v>
      </c>
      <c r="AM43" s="15">
        <v>5368</v>
      </c>
      <c r="AN43" s="15">
        <v>10561</v>
      </c>
      <c r="AO43" s="30">
        <v>2167</v>
      </c>
      <c r="AP43" s="30">
        <v>797.47699999999998</v>
      </c>
      <c r="AQ43" s="30">
        <v>1338</v>
      </c>
      <c r="AR43" s="30">
        <v>2</v>
      </c>
      <c r="AS43" s="26">
        <v>1449</v>
      </c>
      <c r="AT43" s="26">
        <v>1961</v>
      </c>
      <c r="AU43" s="30">
        <v>4</v>
      </c>
      <c r="AV43" s="30">
        <v>721</v>
      </c>
      <c r="AW43" s="30">
        <v>1</v>
      </c>
      <c r="AX43" s="30">
        <v>16</v>
      </c>
      <c r="AY43" s="30">
        <v>0</v>
      </c>
      <c r="AZ43" s="30">
        <v>55</v>
      </c>
      <c r="BA43" s="30">
        <v>0</v>
      </c>
      <c r="BB43" s="30">
        <v>6.3</v>
      </c>
      <c r="BC43" s="30">
        <v>0</v>
      </c>
      <c r="BD43" s="36" t="s">
        <v>110</v>
      </c>
      <c r="BE43" s="36">
        <v>22</v>
      </c>
      <c r="BF43" s="36">
        <v>4</v>
      </c>
      <c r="BG43" s="36">
        <v>70</v>
      </c>
      <c r="BH43" s="36">
        <v>16</v>
      </c>
      <c r="BI43" s="36">
        <v>3</v>
      </c>
      <c r="BJ43" s="32">
        <v>9.3699999999999992</v>
      </c>
      <c r="BK43" s="32">
        <v>9.3699999999999992</v>
      </c>
      <c r="BL43" s="12"/>
    </row>
    <row r="44" spans="1:64" x14ac:dyDescent="0.2">
      <c r="A44" s="11" t="s">
        <v>31</v>
      </c>
      <c r="B44" s="12"/>
      <c r="C44" s="13">
        <v>6187</v>
      </c>
      <c r="D44" s="18">
        <v>0</v>
      </c>
      <c r="E44" s="18">
        <v>119418</v>
      </c>
      <c r="F44" s="18">
        <v>26898.43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111551</v>
      </c>
      <c r="M44" s="18">
        <v>45277</v>
      </c>
      <c r="N44" s="18">
        <v>26898.43</v>
      </c>
      <c r="O44" s="18">
        <v>0</v>
      </c>
      <c r="P44" s="18">
        <v>0</v>
      </c>
      <c r="Q44" s="18">
        <v>0</v>
      </c>
      <c r="R44" s="18">
        <v>0</v>
      </c>
      <c r="S44" s="3">
        <v>0</v>
      </c>
      <c r="T44" s="34">
        <v>2.71</v>
      </c>
      <c r="U44" s="35">
        <v>14542</v>
      </c>
      <c r="V44" s="35">
        <v>8804</v>
      </c>
      <c r="W44" s="36">
        <v>14542</v>
      </c>
      <c r="X44" s="36">
        <v>8804</v>
      </c>
      <c r="Y44" s="36">
        <v>5297</v>
      </c>
      <c r="Z44" s="36">
        <v>8804</v>
      </c>
      <c r="AA44" s="37" t="s">
        <v>110</v>
      </c>
      <c r="AB44" s="36">
        <v>10000</v>
      </c>
      <c r="AC44" s="36">
        <v>10000</v>
      </c>
      <c r="AD44" s="36">
        <v>0</v>
      </c>
      <c r="AE44" s="36">
        <v>1168</v>
      </c>
      <c r="AF44" s="36">
        <v>434</v>
      </c>
      <c r="AG44" s="13">
        <v>10746</v>
      </c>
      <c r="AH44" s="13">
        <v>0</v>
      </c>
      <c r="AI44" s="13">
        <v>0</v>
      </c>
      <c r="AJ44" s="13">
        <v>0</v>
      </c>
      <c r="AK44" s="13"/>
      <c r="AL44" s="13"/>
      <c r="AM44" s="13"/>
      <c r="AN44" s="13">
        <v>345</v>
      </c>
      <c r="AO44" s="26"/>
      <c r="AP44" s="26"/>
      <c r="AQ44" s="26">
        <v>1057</v>
      </c>
      <c r="AR44" s="26">
        <v>2</v>
      </c>
      <c r="AS44" s="26">
        <v>439</v>
      </c>
      <c r="AT44" s="26">
        <v>815</v>
      </c>
      <c r="AU44" s="26">
        <v>0</v>
      </c>
      <c r="AV44" s="26">
        <v>0</v>
      </c>
      <c r="AW44" s="30">
        <v>0</v>
      </c>
      <c r="AX44" s="45"/>
      <c r="AY44" s="30">
        <v>0</v>
      </c>
      <c r="AZ44" s="30">
        <v>72.5</v>
      </c>
      <c r="BA44" s="30">
        <v>0</v>
      </c>
      <c r="BB44" s="30"/>
      <c r="BC44" s="30"/>
      <c r="BD44" s="46"/>
      <c r="BE44" s="36">
        <v>0</v>
      </c>
      <c r="BF44" s="36">
        <v>0</v>
      </c>
      <c r="BG44" s="36">
        <v>0</v>
      </c>
      <c r="BH44" s="36">
        <v>7</v>
      </c>
      <c r="BI44" s="36">
        <v>0</v>
      </c>
      <c r="BJ44" s="32">
        <v>9.3699999999999992</v>
      </c>
      <c r="BK44" s="32">
        <v>8.4499999999999993</v>
      </c>
      <c r="BL44" s="12"/>
    </row>
    <row r="45" spans="1:64" x14ac:dyDescent="0.2">
      <c r="A45" s="11" t="s">
        <v>56</v>
      </c>
      <c r="B45" s="12"/>
      <c r="C45" s="47"/>
      <c r="D45" s="14">
        <v>0</v>
      </c>
      <c r="E45" s="14">
        <v>2667380</v>
      </c>
      <c r="F45" s="14">
        <v>0</v>
      </c>
      <c r="G45" s="2">
        <v>0</v>
      </c>
      <c r="H45" s="2">
        <v>0</v>
      </c>
      <c r="I45" s="2">
        <v>0</v>
      </c>
      <c r="J45" s="14">
        <v>169167</v>
      </c>
      <c r="K45" s="14">
        <v>890445</v>
      </c>
      <c r="L45" s="14">
        <v>1016943</v>
      </c>
      <c r="M45" s="14">
        <v>355339</v>
      </c>
      <c r="N45" s="14">
        <v>692724</v>
      </c>
      <c r="O45" s="14">
        <v>0</v>
      </c>
      <c r="P45" s="14">
        <v>0</v>
      </c>
      <c r="Q45" s="14">
        <v>0</v>
      </c>
      <c r="R45" s="14">
        <v>267788</v>
      </c>
      <c r="S45" s="3">
        <v>1570548</v>
      </c>
      <c r="T45" s="42">
        <v>9.6999999999999993</v>
      </c>
      <c r="U45" s="35">
        <v>15436</v>
      </c>
      <c r="V45" s="35">
        <v>60350</v>
      </c>
      <c r="W45" s="36">
        <v>15436</v>
      </c>
      <c r="X45" s="36">
        <v>60350</v>
      </c>
      <c r="Y45" s="36">
        <v>352</v>
      </c>
      <c r="Z45" s="36">
        <v>21971</v>
      </c>
      <c r="AA45" s="37" t="s">
        <v>111</v>
      </c>
      <c r="AB45" s="36">
        <v>5162</v>
      </c>
      <c r="AC45" s="36">
        <v>889000</v>
      </c>
      <c r="AD45" s="36">
        <v>0</v>
      </c>
      <c r="AE45" s="36">
        <v>16402</v>
      </c>
      <c r="AF45" s="36">
        <v>7457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1143</v>
      </c>
      <c r="AO45" s="26">
        <v>0</v>
      </c>
      <c r="AP45" s="26">
        <v>0</v>
      </c>
      <c r="AQ45" s="26">
        <v>0</v>
      </c>
      <c r="AR45" s="26">
        <v>1</v>
      </c>
      <c r="AS45" s="26">
        <v>0</v>
      </c>
      <c r="AT45" s="26">
        <v>0</v>
      </c>
      <c r="AU45" s="26">
        <v>0</v>
      </c>
      <c r="AV45" s="26">
        <v>0</v>
      </c>
      <c r="AW45" s="30">
        <v>0</v>
      </c>
      <c r="AX45" s="45"/>
      <c r="AY45" s="30">
        <v>0</v>
      </c>
      <c r="AZ45" s="30">
        <v>40</v>
      </c>
      <c r="BA45" s="30">
        <v>0</v>
      </c>
      <c r="BB45" s="30">
        <v>0</v>
      </c>
      <c r="BC45" s="30">
        <v>0</v>
      </c>
      <c r="BD45" s="36" t="s">
        <v>111</v>
      </c>
      <c r="BE45" s="36"/>
      <c r="BF45" s="36">
        <v>13</v>
      </c>
      <c r="BG45" s="36">
        <v>9</v>
      </c>
      <c r="BH45" s="36">
        <v>3</v>
      </c>
      <c r="BI45" s="36">
        <v>0</v>
      </c>
      <c r="BJ45" s="38">
        <v>0</v>
      </c>
      <c r="BK45" s="32"/>
      <c r="BL45" s="12"/>
    </row>
    <row r="46" spans="1:64" x14ac:dyDescent="0.2">
      <c r="A46" s="11" t="s">
        <v>73</v>
      </c>
      <c r="B46" s="12"/>
      <c r="C46" s="13">
        <v>35520</v>
      </c>
      <c r="D46" s="18">
        <v>0</v>
      </c>
      <c r="E46" s="18">
        <v>295956</v>
      </c>
      <c r="F46" s="18">
        <v>871843</v>
      </c>
      <c r="G46" s="18">
        <v>0</v>
      </c>
      <c r="H46" s="18">
        <v>638373</v>
      </c>
      <c r="I46" s="18">
        <v>2006251</v>
      </c>
      <c r="J46" s="18">
        <v>14897</v>
      </c>
      <c r="K46" s="18">
        <v>370164</v>
      </c>
      <c r="L46" s="18">
        <v>929765</v>
      </c>
      <c r="M46" s="18">
        <v>340661</v>
      </c>
      <c r="N46" s="18">
        <v>595388</v>
      </c>
      <c r="O46" s="18">
        <v>0</v>
      </c>
      <c r="P46" s="18">
        <v>90740</v>
      </c>
      <c r="Q46" s="18">
        <v>2057813</v>
      </c>
      <c r="R46" s="18">
        <v>137353</v>
      </c>
      <c r="S46" s="3">
        <v>45764</v>
      </c>
      <c r="T46" s="34">
        <v>12.77</v>
      </c>
      <c r="U46" s="35">
        <v>60977</v>
      </c>
      <c r="V46" s="35">
        <v>4946</v>
      </c>
      <c r="W46" s="36">
        <v>58483</v>
      </c>
      <c r="X46" s="36">
        <v>4946</v>
      </c>
      <c r="Y46" s="36">
        <v>48708</v>
      </c>
      <c r="Z46" s="36">
        <v>2440</v>
      </c>
      <c r="AA46" s="37" t="s">
        <v>110</v>
      </c>
      <c r="AB46" s="36">
        <v>221279</v>
      </c>
      <c r="AC46" s="36">
        <v>27050</v>
      </c>
      <c r="AD46" s="36">
        <v>0</v>
      </c>
      <c r="AE46" s="36">
        <v>11038</v>
      </c>
      <c r="AF46" s="36">
        <v>6857</v>
      </c>
      <c r="AG46" s="13">
        <v>145606</v>
      </c>
      <c r="AH46" s="13">
        <v>0</v>
      </c>
      <c r="AI46" s="13">
        <v>750</v>
      </c>
      <c r="AJ46" s="13">
        <v>105</v>
      </c>
      <c r="AK46" s="13">
        <v>89349</v>
      </c>
      <c r="AL46" s="13">
        <v>34233</v>
      </c>
      <c r="AM46" s="13"/>
      <c r="AN46" s="13">
        <v>15455</v>
      </c>
      <c r="AO46" s="30">
        <v>9959</v>
      </c>
      <c r="AP46" s="30">
        <v>2050</v>
      </c>
      <c r="AQ46" s="30">
        <v>3335</v>
      </c>
      <c r="AR46" s="30">
        <v>1</v>
      </c>
      <c r="AS46" s="26">
        <v>2000</v>
      </c>
      <c r="AT46" s="26">
        <v>2441</v>
      </c>
      <c r="AU46" s="30">
        <v>4</v>
      </c>
      <c r="AV46" s="30">
        <v>1317.5</v>
      </c>
      <c r="AW46" s="30">
        <v>0</v>
      </c>
      <c r="AX46" s="45"/>
      <c r="AY46" s="30">
        <v>0</v>
      </c>
      <c r="AZ46" s="30">
        <v>47</v>
      </c>
      <c r="BA46" s="30">
        <v>0</v>
      </c>
      <c r="BB46" s="30">
        <v>0</v>
      </c>
      <c r="BC46" s="30">
        <v>0</v>
      </c>
      <c r="BD46" s="36" t="s">
        <v>110</v>
      </c>
      <c r="BE46" s="36">
        <v>81</v>
      </c>
      <c r="BF46" s="36">
        <v>3</v>
      </c>
      <c r="BG46" s="36">
        <v>41</v>
      </c>
      <c r="BH46" s="36">
        <v>22</v>
      </c>
      <c r="BI46" s="36">
        <v>2</v>
      </c>
      <c r="BJ46" s="38">
        <v>7.6</v>
      </c>
      <c r="BK46" s="32">
        <v>8.4600000000000009</v>
      </c>
      <c r="BL46" s="12"/>
    </row>
    <row r="47" spans="1:64" x14ac:dyDescent="0.2">
      <c r="A47" s="11" t="s">
        <v>32</v>
      </c>
      <c r="B47" s="12"/>
      <c r="C47" s="13">
        <v>45754</v>
      </c>
      <c r="D47" s="14">
        <v>0</v>
      </c>
      <c r="E47" s="14">
        <v>362491.18</v>
      </c>
      <c r="F47" s="14">
        <v>1465515</v>
      </c>
      <c r="G47" s="14">
        <v>0</v>
      </c>
      <c r="H47" s="14">
        <v>9395</v>
      </c>
      <c r="I47" s="14">
        <v>0</v>
      </c>
      <c r="J47" s="14">
        <v>17009.97</v>
      </c>
      <c r="K47" s="14">
        <v>6403.09</v>
      </c>
      <c r="L47" s="14">
        <v>1412816</v>
      </c>
      <c r="M47" s="14">
        <v>387615.4</v>
      </c>
      <c r="N47" s="14">
        <v>235116.7</v>
      </c>
      <c r="O47" s="14">
        <v>35606.269999999997</v>
      </c>
      <c r="P47" s="14">
        <v>50989.87</v>
      </c>
      <c r="Q47" s="14">
        <v>0</v>
      </c>
      <c r="R47" s="14">
        <v>234790</v>
      </c>
      <c r="S47" s="3">
        <v>43930</v>
      </c>
      <c r="T47" s="34">
        <v>15.02</v>
      </c>
      <c r="U47" s="35">
        <v>102353</v>
      </c>
      <c r="V47" s="35">
        <v>9755</v>
      </c>
      <c r="W47" s="36">
        <v>100497</v>
      </c>
      <c r="X47" s="36">
        <v>9755</v>
      </c>
      <c r="Y47" s="36">
        <v>46966</v>
      </c>
      <c r="Z47" s="36">
        <v>9349</v>
      </c>
      <c r="AA47" s="37" t="s">
        <v>110</v>
      </c>
      <c r="AB47" s="36">
        <v>212338</v>
      </c>
      <c r="AC47" s="36">
        <v>42930</v>
      </c>
      <c r="AD47" s="36">
        <v>40</v>
      </c>
      <c r="AE47" s="36">
        <v>12620</v>
      </c>
      <c r="AF47" s="36">
        <v>4669</v>
      </c>
      <c r="AG47" s="13">
        <v>220880</v>
      </c>
      <c r="AH47" s="13">
        <v>0</v>
      </c>
      <c r="AI47" s="13">
        <v>49</v>
      </c>
      <c r="AJ47" s="13">
        <v>928</v>
      </c>
      <c r="AK47" s="15">
        <v>22233</v>
      </c>
      <c r="AL47" s="15">
        <v>14982</v>
      </c>
      <c r="AM47" s="13">
        <v>29571</v>
      </c>
      <c r="AN47" s="13">
        <v>16841</v>
      </c>
      <c r="AO47" s="26">
        <v>55482</v>
      </c>
      <c r="AP47" s="26">
        <v>2983.9</v>
      </c>
      <c r="AQ47" s="26">
        <v>5635</v>
      </c>
      <c r="AR47" s="26">
        <v>6</v>
      </c>
      <c r="AS47" s="26">
        <v>2623</v>
      </c>
      <c r="AT47" s="26">
        <v>5737</v>
      </c>
      <c r="AU47" s="30">
        <v>0</v>
      </c>
      <c r="AV47" s="30">
        <v>0</v>
      </c>
      <c r="AW47" s="30">
        <v>0</v>
      </c>
      <c r="AX47" s="45"/>
      <c r="AY47" s="30">
        <v>4</v>
      </c>
      <c r="AZ47" s="30">
        <v>186</v>
      </c>
      <c r="BA47" s="30">
        <v>0</v>
      </c>
      <c r="BB47" s="30">
        <v>0</v>
      </c>
      <c r="BC47" s="30">
        <v>7</v>
      </c>
      <c r="BD47" s="36" t="s">
        <v>110</v>
      </c>
      <c r="BE47" s="36">
        <v>30</v>
      </c>
      <c r="BF47" s="36">
        <v>6</v>
      </c>
      <c r="BG47" s="36">
        <v>29</v>
      </c>
      <c r="BH47" s="36">
        <v>36</v>
      </c>
      <c r="BI47" s="36">
        <v>3</v>
      </c>
      <c r="BJ47" s="38">
        <v>8.92</v>
      </c>
      <c r="BK47" s="32">
        <v>8.1199999999999992</v>
      </c>
      <c r="BL47" s="12"/>
    </row>
    <row r="48" spans="1:64" x14ac:dyDescent="0.2">
      <c r="A48" s="11" t="s">
        <v>54</v>
      </c>
      <c r="B48" s="12"/>
      <c r="C48" s="13">
        <v>298689</v>
      </c>
      <c r="D48" s="14">
        <v>0</v>
      </c>
      <c r="E48" s="14">
        <v>2050953</v>
      </c>
      <c r="F48" s="14">
        <v>9598952</v>
      </c>
      <c r="G48" s="14">
        <v>0</v>
      </c>
      <c r="H48" s="14">
        <v>85000</v>
      </c>
      <c r="I48" s="14">
        <v>327480</v>
      </c>
      <c r="J48" s="14">
        <v>140262</v>
      </c>
      <c r="K48" s="14">
        <v>235375</v>
      </c>
      <c r="L48" s="14">
        <v>7751598</v>
      </c>
      <c r="M48" s="14">
        <v>1950901</v>
      </c>
      <c r="N48" s="14">
        <v>1301867</v>
      </c>
      <c r="O48" s="14">
        <v>292680</v>
      </c>
      <c r="P48" s="14">
        <v>536079</v>
      </c>
      <c r="Q48" s="14">
        <v>327480</v>
      </c>
      <c r="R48" s="14">
        <v>1384303</v>
      </c>
      <c r="S48" s="3">
        <v>419579</v>
      </c>
      <c r="T48" s="34">
        <v>75.37</v>
      </c>
      <c r="U48" s="35">
        <v>369557</v>
      </c>
      <c r="V48" s="35">
        <v>52093</v>
      </c>
      <c r="W48" s="36">
        <v>370365</v>
      </c>
      <c r="X48" s="36">
        <v>52093</v>
      </c>
      <c r="Y48" s="36">
        <v>241040</v>
      </c>
      <c r="Z48" s="36">
        <v>29172</v>
      </c>
      <c r="AA48" s="37" t="s">
        <v>110</v>
      </c>
      <c r="AB48" s="36">
        <v>2160117</v>
      </c>
      <c r="AC48" s="36">
        <v>745678</v>
      </c>
      <c r="AD48" s="36">
        <v>0</v>
      </c>
      <c r="AE48" s="36">
        <v>97507</v>
      </c>
      <c r="AF48" s="36">
        <v>37574</v>
      </c>
      <c r="AG48" s="13">
        <v>975721</v>
      </c>
      <c r="AH48" s="13">
        <v>0</v>
      </c>
      <c r="AI48" s="13">
        <v>9061</v>
      </c>
      <c r="AJ48" s="13">
        <v>2680</v>
      </c>
      <c r="AK48" s="13">
        <v>4761044</v>
      </c>
      <c r="AL48" s="13">
        <v>1351218</v>
      </c>
      <c r="AM48" s="13">
        <v>201060</v>
      </c>
      <c r="AN48" s="13">
        <v>57933</v>
      </c>
      <c r="AO48" s="30">
        <v>186496</v>
      </c>
      <c r="AP48" s="30">
        <v>95000</v>
      </c>
      <c r="AQ48" s="30">
        <v>53004</v>
      </c>
      <c r="AR48" s="30">
        <v>8</v>
      </c>
      <c r="AS48" s="26">
        <v>6080</v>
      </c>
      <c r="AT48" s="30">
        <v>8311</v>
      </c>
      <c r="AU48" s="30">
        <v>5</v>
      </c>
      <c r="AV48" s="30">
        <v>914.5</v>
      </c>
      <c r="AW48" s="30">
        <v>0</v>
      </c>
      <c r="AX48" s="45"/>
      <c r="AY48" s="30">
        <v>0</v>
      </c>
      <c r="AZ48" s="30">
        <v>392.5</v>
      </c>
      <c r="BA48" s="30">
        <v>0</v>
      </c>
      <c r="BB48" s="30">
        <v>0</v>
      </c>
      <c r="BC48" s="30">
        <v>0</v>
      </c>
      <c r="BD48" s="36" t="s">
        <v>110</v>
      </c>
      <c r="BE48" s="36">
        <v>598</v>
      </c>
      <c r="BF48" s="36">
        <v>11</v>
      </c>
      <c r="BG48" s="36">
        <v>87</v>
      </c>
      <c r="BH48" s="36">
        <v>89</v>
      </c>
      <c r="BI48" s="36">
        <v>22</v>
      </c>
      <c r="BJ48" s="32">
        <v>8.9600000000000009</v>
      </c>
      <c r="BK48" s="32">
        <v>8.9600000000000009</v>
      </c>
      <c r="BL48" s="12"/>
    </row>
    <row r="49" spans="1:64" x14ac:dyDescent="0.2">
      <c r="A49" s="11" t="s">
        <v>36</v>
      </c>
      <c r="B49" s="12"/>
      <c r="C49" s="13">
        <v>24265</v>
      </c>
      <c r="D49" s="2">
        <v>0</v>
      </c>
      <c r="E49" s="14">
        <v>323134</v>
      </c>
      <c r="F49" s="2">
        <v>697384</v>
      </c>
      <c r="G49" s="2">
        <v>0</v>
      </c>
      <c r="H49" s="2">
        <v>25943</v>
      </c>
      <c r="I49" s="2">
        <v>32126</v>
      </c>
      <c r="J49" s="14">
        <v>13546</v>
      </c>
      <c r="K49" s="14">
        <v>126844</v>
      </c>
      <c r="L49" s="14">
        <v>704771</v>
      </c>
      <c r="M49" s="14">
        <v>352093</v>
      </c>
      <c r="N49" s="14">
        <v>110139</v>
      </c>
      <c r="O49" s="2">
        <v>721</v>
      </c>
      <c r="P49" s="14">
        <v>26458</v>
      </c>
      <c r="Q49" s="14">
        <v>32126</v>
      </c>
      <c r="R49" s="14">
        <v>141774</v>
      </c>
      <c r="S49" s="3">
        <v>6030</v>
      </c>
      <c r="T49" s="34">
        <v>6.1</v>
      </c>
      <c r="U49" s="35">
        <v>58802</v>
      </c>
      <c r="V49" s="35">
        <v>10774</v>
      </c>
      <c r="W49" s="36">
        <v>58506</v>
      </c>
      <c r="X49" s="36">
        <v>10774</v>
      </c>
      <c r="Y49" s="36">
        <v>20569</v>
      </c>
      <c r="Z49" s="36">
        <v>10101</v>
      </c>
      <c r="AA49" s="37" t="s">
        <v>110</v>
      </c>
      <c r="AB49" s="36">
        <v>67646</v>
      </c>
      <c r="AC49" s="36">
        <v>24843</v>
      </c>
      <c r="AD49" s="36">
        <v>0</v>
      </c>
      <c r="AE49" s="36">
        <v>5336</v>
      </c>
      <c r="AF49" s="36">
        <v>1962</v>
      </c>
      <c r="AG49" s="13">
        <v>57995</v>
      </c>
      <c r="AH49" s="13">
        <v>0</v>
      </c>
      <c r="AI49" s="13">
        <v>31</v>
      </c>
      <c r="AJ49" s="15">
        <v>86</v>
      </c>
      <c r="AK49" s="17">
        <v>60368</v>
      </c>
      <c r="AL49" s="15">
        <v>5940</v>
      </c>
      <c r="AM49" s="13">
        <v>13460</v>
      </c>
      <c r="AN49" s="13">
        <v>2087</v>
      </c>
      <c r="AO49" s="26">
        <v>4556</v>
      </c>
      <c r="AP49" s="26">
        <v>942</v>
      </c>
      <c r="AQ49" s="30">
        <v>1631</v>
      </c>
      <c r="AR49" s="30">
        <v>5</v>
      </c>
      <c r="AS49" s="26">
        <v>723</v>
      </c>
      <c r="AT49" s="30">
        <v>1143</v>
      </c>
      <c r="AU49" s="30">
        <v>1</v>
      </c>
      <c r="AV49" s="30">
        <v>156</v>
      </c>
      <c r="AW49" s="30">
        <v>0</v>
      </c>
      <c r="AX49" s="45"/>
      <c r="AY49" s="30">
        <v>2</v>
      </c>
      <c r="AZ49" s="30">
        <v>77</v>
      </c>
      <c r="BA49" s="30">
        <v>0</v>
      </c>
      <c r="BB49" s="30">
        <v>0</v>
      </c>
      <c r="BC49" s="30">
        <v>0</v>
      </c>
      <c r="BD49" s="36" t="s">
        <v>110</v>
      </c>
      <c r="BE49" s="36">
        <v>0</v>
      </c>
      <c r="BF49" s="36">
        <v>4</v>
      </c>
      <c r="BG49" s="36">
        <v>44</v>
      </c>
      <c r="BH49" s="36">
        <v>28</v>
      </c>
      <c r="BI49" s="36">
        <v>2</v>
      </c>
      <c r="BJ49" s="32">
        <v>9.24</v>
      </c>
      <c r="BK49" s="32">
        <v>9.24</v>
      </c>
      <c r="BL49" s="12"/>
    </row>
    <row r="50" spans="1:64" x14ac:dyDescent="0.2">
      <c r="A50" s="11" t="s">
        <v>33</v>
      </c>
      <c r="B50" s="12"/>
      <c r="C50" s="13">
        <v>43635</v>
      </c>
      <c r="D50" s="14">
        <v>0</v>
      </c>
      <c r="E50" s="14">
        <v>350725</v>
      </c>
      <c r="F50" s="14">
        <v>938099</v>
      </c>
      <c r="G50" s="14">
        <v>0</v>
      </c>
      <c r="H50" s="14">
        <v>0</v>
      </c>
      <c r="I50" s="2">
        <v>43919</v>
      </c>
      <c r="J50" s="14">
        <v>24945</v>
      </c>
      <c r="K50" s="14">
        <v>3807</v>
      </c>
      <c r="L50" s="14">
        <v>632478</v>
      </c>
      <c r="M50" s="14">
        <v>481445</v>
      </c>
      <c r="N50" s="14">
        <v>77835</v>
      </c>
      <c r="O50" s="2">
        <v>17569</v>
      </c>
      <c r="P50" s="14">
        <v>79166</v>
      </c>
      <c r="Q50" s="14">
        <v>43919</v>
      </c>
      <c r="R50" s="14">
        <v>0</v>
      </c>
      <c r="S50" s="3">
        <v>0</v>
      </c>
      <c r="T50" s="34">
        <v>9.41</v>
      </c>
      <c r="U50" s="35">
        <v>34264</v>
      </c>
      <c r="V50" s="35">
        <v>15844</v>
      </c>
      <c r="W50" s="36">
        <v>33715</v>
      </c>
      <c r="X50" s="36">
        <v>15844</v>
      </c>
      <c r="Y50" s="36">
        <v>17252</v>
      </c>
      <c r="Z50" s="36">
        <v>15844</v>
      </c>
      <c r="AA50" s="37" t="s">
        <v>110</v>
      </c>
      <c r="AB50" s="36">
        <v>130393</v>
      </c>
      <c r="AC50" s="36">
        <v>52952</v>
      </c>
      <c r="AD50" s="36">
        <v>1597</v>
      </c>
      <c r="AE50" s="36">
        <v>11032</v>
      </c>
      <c r="AF50" s="36">
        <v>4810</v>
      </c>
      <c r="AG50" s="13">
        <v>116458</v>
      </c>
      <c r="AH50" s="13">
        <v>0</v>
      </c>
      <c r="AI50" s="13">
        <v>724</v>
      </c>
      <c r="AJ50" s="15">
        <v>139</v>
      </c>
      <c r="AK50" s="15">
        <v>102501</v>
      </c>
      <c r="AL50" s="15">
        <v>26890</v>
      </c>
      <c r="AM50" s="15">
        <v>31764</v>
      </c>
      <c r="AN50" s="15">
        <v>14030</v>
      </c>
      <c r="AO50" s="26"/>
      <c r="AP50" s="26">
        <v>8910</v>
      </c>
      <c r="AQ50" s="26">
        <v>4257</v>
      </c>
      <c r="AR50" s="26">
        <v>1</v>
      </c>
      <c r="AS50" s="26">
        <v>791</v>
      </c>
      <c r="AT50" s="30">
        <v>2267</v>
      </c>
      <c r="AU50" s="30">
        <v>8</v>
      </c>
      <c r="AV50" s="30">
        <v>2186</v>
      </c>
      <c r="AW50" s="30">
        <v>0</v>
      </c>
      <c r="AX50" s="45"/>
      <c r="AY50" s="30">
        <v>1</v>
      </c>
      <c r="AZ50" s="30">
        <v>50</v>
      </c>
      <c r="BA50" s="30">
        <v>0</v>
      </c>
      <c r="BB50" s="30">
        <v>0</v>
      </c>
      <c r="BC50" s="30">
        <v>0</v>
      </c>
      <c r="BD50" s="36" t="s">
        <v>110</v>
      </c>
      <c r="BE50" s="36">
        <v>80</v>
      </c>
      <c r="BF50" s="36">
        <v>19</v>
      </c>
      <c r="BG50" s="36">
        <v>8</v>
      </c>
      <c r="BH50" s="36">
        <v>16</v>
      </c>
      <c r="BI50" s="36">
        <v>2</v>
      </c>
      <c r="BJ50" s="38">
        <v>7.9</v>
      </c>
      <c r="BK50" s="32">
        <v>9.3000000000000007</v>
      </c>
      <c r="BL50" s="12"/>
    </row>
    <row r="51" spans="1:64" x14ac:dyDescent="0.2">
      <c r="A51" s="11" t="s">
        <v>34</v>
      </c>
      <c r="B51" s="12"/>
      <c r="C51" s="13">
        <v>308623</v>
      </c>
      <c r="D51" s="14">
        <v>0</v>
      </c>
      <c r="E51" s="14">
        <v>1662233</v>
      </c>
      <c r="F51" s="14">
        <v>8502859</v>
      </c>
      <c r="G51" s="14">
        <v>0</v>
      </c>
      <c r="H51" s="14">
        <v>117445</v>
      </c>
      <c r="I51" s="14">
        <v>0</v>
      </c>
      <c r="J51" s="14">
        <v>143198.63</v>
      </c>
      <c r="K51" s="14">
        <v>0</v>
      </c>
      <c r="L51" s="14">
        <v>6812482.04</v>
      </c>
      <c r="M51" s="14">
        <v>1590621</v>
      </c>
      <c r="N51" s="14">
        <v>1427950</v>
      </c>
      <c r="O51" s="14">
        <v>0</v>
      </c>
      <c r="P51" s="14">
        <v>477238</v>
      </c>
      <c r="Q51" s="14">
        <v>117445</v>
      </c>
      <c r="R51" s="14">
        <v>0</v>
      </c>
      <c r="S51" s="3">
        <v>0</v>
      </c>
      <c r="T51" s="34">
        <v>70</v>
      </c>
      <c r="U51" s="35">
        <v>248167</v>
      </c>
      <c r="V51" s="35">
        <v>23770</v>
      </c>
      <c r="W51" s="36">
        <v>248167</v>
      </c>
      <c r="X51" s="36">
        <v>23952</v>
      </c>
      <c r="Y51" s="36">
        <v>182599</v>
      </c>
      <c r="Z51" s="36">
        <v>18438</v>
      </c>
      <c r="AA51" s="37" t="s">
        <v>110</v>
      </c>
      <c r="AB51" s="36">
        <v>1594202</v>
      </c>
      <c r="AC51" s="36">
        <v>114060</v>
      </c>
      <c r="AD51" s="36">
        <v>0</v>
      </c>
      <c r="AE51" s="36">
        <v>81168</v>
      </c>
      <c r="AF51" s="36">
        <v>33691</v>
      </c>
      <c r="AG51" s="13">
        <v>774072</v>
      </c>
      <c r="AH51" s="13">
        <v>0</v>
      </c>
      <c r="AI51" s="36">
        <v>337</v>
      </c>
      <c r="AJ51" s="13">
        <v>9339</v>
      </c>
      <c r="AK51" s="13">
        <v>257618</v>
      </c>
      <c r="AL51" s="13">
        <v>225461</v>
      </c>
      <c r="AM51" s="13">
        <v>124484</v>
      </c>
      <c r="AN51" s="13">
        <v>95972</v>
      </c>
      <c r="AO51" s="26"/>
      <c r="AP51" s="26">
        <v>74931</v>
      </c>
      <c r="AQ51" s="30">
        <v>55000</v>
      </c>
      <c r="AR51" s="26">
        <v>6</v>
      </c>
      <c r="AS51" s="26">
        <v>5102</v>
      </c>
      <c r="AT51" s="30"/>
      <c r="AU51" s="30">
        <v>2</v>
      </c>
      <c r="AV51" s="30">
        <v>0</v>
      </c>
      <c r="AW51" s="30">
        <v>0</v>
      </c>
      <c r="AX51" s="45"/>
      <c r="AY51" s="30">
        <v>3</v>
      </c>
      <c r="AZ51" s="30">
        <v>309</v>
      </c>
      <c r="BA51" s="30">
        <v>0</v>
      </c>
      <c r="BB51" s="30">
        <v>0</v>
      </c>
      <c r="BC51" s="30">
        <v>105</v>
      </c>
      <c r="BD51" s="36" t="s">
        <v>110</v>
      </c>
      <c r="BE51" s="36">
        <v>59</v>
      </c>
      <c r="BF51" s="36">
        <v>27</v>
      </c>
      <c r="BG51" s="36">
        <v>65</v>
      </c>
      <c r="BH51" s="36">
        <v>95</v>
      </c>
      <c r="BI51" s="36">
        <v>22</v>
      </c>
      <c r="BJ51" s="38">
        <v>8.3800000000000008</v>
      </c>
      <c r="BK51" s="32">
        <v>8.9700000000000006</v>
      </c>
      <c r="BL51" s="12"/>
    </row>
    <row r="52" spans="1:64" x14ac:dyDescent="0.2">
      <c r="A52" s="11" t="s">
        <v>35</v>
      </c>
      <c r="B52" s="12"/>
      <c r="C52" s="13">
        <v>92118</v>
      </c>
      <c r="D52" s="14">
        <v>0</v>
      </c>
      <c r="E52" s="14">
        <v>681389</v>
      </c>
      <c r="F52" s="14">
        <v>5412853</v>
      </c>
      <c r="G52" s="2">
        <v>0</v>
      </c>
      <c r="H52" s="2">
        <v>0</v>
      </c>
      <c r="I52" s="2">
        <v>20000</v>
      </c>
      <c r="J52" s="14">
        <v>19415</v>
      </c>
      <c r="K52" s="14">
        <v>0</v>
      </c>
      <c r="L52" s="14">
        <v>5108648</v>
      </c>
      <c r="M52" s="14">
        <v>571159</v>
      </c>
      <c r="N52" s="14">
        <v>421564</v>
      </c>
      <c r="O52" s="14">
        <v>187071</v>
      </c>
      <c r="P52" s="14">
        <v>346097</v>
      </c>
      <c r="Q52" s="14">
        <v>20000</v>
      </c>
      <c r="R52" s="14">
        <v>0</v>
      </c>
      <c r="S52" s="3">
        <v>0</v>
      </c>
      <c r="T52" s="34">
        <v>49.69</v>
      </c>
      <c r="U52" s="35">
        <v>232377</v>
      </c>
      <c r="V52" s="35">
        <v>29532</v>
      </c>
      <c r="W52" s="36">
        <v>144709</v>
      </c>
      <c r="X52" s="36">
        <v>29532</v>
      </c>
      <c r="Y52" s="36">
        <v>99075</v>
      </c>
      <c r="Z52" s="36">
        <v>22015</v>
      </c>
      <c r="AA52" s="37" t="s">
        <v>110</v>
      </c>
      <c r="AB52" s="36">
        <v>594740</v>
      </c>
      <c r="AC52" s="36">
        <v>370556</v>
      </c>
      <c r="AD52" s="36">
        <v>19</v>
      </c>
      <c r="AE52" s="36">
        <v>47822</v>
      </c>
      <c r="AF52" s="36">
        <v>14495</v>
      </c>
      <c r="AG52" s="13">
        <v>528747</v>
      </c>
      <c r="AH52" s="13">
        <v>0</v>
      </c>
      <c r="AI52" s="36">
        <v>1060</v>
      </c>
      <c r="AJ52" s="13">
        <v>11278</v>
      </c>
      <c r="AK52" s="13">
        <v>318301</v>
      </c>
      <c r="AL52" s="13">
        <v>189925</v>
      </c>
      <c r="AM52" s="36">
        <v>163473</v>
      </c>
      <c r="AN52" s="13">
        <v>58274</v>
      </c>
      <c r="AO52" s="26">
        <v>197572</v>
      </c>
      <c r="AP52" s="26">
        <v>52918</v>
      </c>
      <c r="AQ52" s="26">
        <v>36818</v>
      </c>
      <c r="AR52" s="26">
        <v>5</v>
      </c>
      <c r="AS52" s="30"/>
      <c r="AT52" s="26">
        <v>5904</v>
      </c>
      <c r="AU52" s="30">
        <v>0</v>
      </c>
      <c r="AV52" s="30">
        <v>4146</v>
      </c>
      <c r="AW52" s="30">
        <v>0</v>
      </c>
      <c r="AX52" s="45"/>
      <c r="AY52" s="30">
        <v>10</v>
      </c>
      <c r="AZ52" s="30">
        <v>260</v>
      </c>
      <c r="BA52" s="30">
        <v>128</v>
      </c>
      <c r="BB52" s="30">
        <v>0</v>
      </c>
      <c r="BC52" s="30">
        <v>0</v>
      </c>
      <c r="BD52" s="36" t="s">
        <v>110</v>
      </c>
      <c r="BE52" s="36">
        <v>74</v>
      </c>
      <c r="BF52" s="36">
        <v>26</v>
      </c>
      <c r="BG52" s="36">
        <v>73</v>
      </c>
      <c r="BH52" s="36">
        <v>78</v>
      </c>
      <c r="BI52" s="36">
        <v>9</v>
      </c>
      <c r="BJ52" s="38">
        <v>8.1999999999999993</v>
      </c>
      <c r="BK52" s="32">
        <v>9.0299999999999994</v>
      </c>
      <c r="BL52" s="12"/>
    </row>
    <row r="53" spans="1:64" x14ac:dyDescent="0.2">
      <c r="A53" s="11" t="s">
        <v>55</v>
      </c>
      <c r="B53" s="12"/>
      <c r="C53" s="13">
        <v>427062</v>
      </c>
      <c r="D53" s="14">
        <v>0</v>
      </c>
      <c r="E53" s="14">
        <v>2840027</v>
      </c>
      <c r="F53" s="14">
        <v>13758187</v>
      </c>
      <c r="G53" s="2">
        <v>0</v>
      </c>
      <c r="H53" s="2">
        <v>150000</v>
      </c>
      <c r="I53" s="2">
        <v>0</v>
      </c>
      <c r="J53" s="14">
        <v>230026</v>
      </c>
      <c r="K53" s="14">
        <v>511619</v>
      </c>
      <c r="L53" s="14">
        <v>11488893</v>
      </c>
      <c r="M53" s="14">
        <v>3430010</v>
      </c>
      <c r="N53" s="14">
        <v>1540612</v>
      </c>
      <c r="O53" s="14">
        <v>591043</v>
      </c>
      <c r="P53" s="14">
        <v>602223</v>
      </c>
      <c r="Q53" s="14">
        <v>755128</v>
      </c>
      <c r="R53" s="14">
        <v>1784911</v>
      </c>
      <c r="S53" s="3">
        <v>0</v>
      </c>
      <c r="T53" s="34">
        <v>99.92</v>
      </c>
      <c r="U53" s="35">
        <v>349644</v>
      </c>
      <c r="V53" s="35">
        <v>60744</v>
      </c>
      <c r="W53" s="36">
        <v>343207</v>
      </c>
      <c r="X53" s="36">
        <v>60743</v>
      </c>
      <c r="Y53" s="36">
        <v>300058</v>
      </c>
      <c r="Z53" s="36">
        <v>41225</v>
      </c>
      <c r="AA53" s="37" t="s">
        <v>110</v>
      </c>
      <c r="AB53" s="36">
        <v>2289237</v>
      </c>
      <c r="AC53" s="36">
        <v>404309</v>
      </c>
      <c r="AD53" s="36">
        <v>55</v>
      </c>
      <c r="AE53" s="36">
        <v>120789</v>
      </c>
      <c r="AF53" s="36">
        <v>67243</v>
      </c>
      <c r="AG53" s="13">
        <v>1253397</v>
      </c>
      <c r="AH53" s="13">
        <v>23976</v>
      </c>
      <c r="AI53" s="36">
        <v>930</v>
      </c>
      <c r="AJ53" s="13">
        <v>8754</v>
      </c>
      <c r="AK53" s="13">
        <v>1613496</v>
      </c>
      <c r="AL53" s="13">
        <v>1422918</v>
      </c>
      <c r="AM53" s="13">
        <v>386512</v>
      </c>
      <c r="AN53" s="13">
        <v>118289</v>
      </c>
      <c r="AO53" s="26">
        <v>125694</v>
      </c>
      <c r="AP53" s="26">
        <v>73570</v>
      </c>
      <c r="AQ53" s="26">
        <v>86182</v>
      </c>
      <c r="AR53" s="26">
        <v>9</v>
      </c>
      <c r="AS53" s="30"/>
      <c r="AT53" s="26">
        <v>9493</v>
      </c>
      <c r="AU53" s="30">
        <v>23</v>
      </c>
      <c r="AV53" s="30">
        <v>19003</v>
      </c>
      <c r="AW53" s="30">
        <v>2</v>
      </c>
      <c r="AX53" s="30">
        <v>56</v>
      </c>
      <c r="AY53" s="30">
        <v>3</v>
      </c>
      <c r="AZ53" s="30">
        <v>569</v>
      </c>
      <c r="BA53" s="30">
        <v>0</v>
      </c>
      <c r="BB53" s="30">
        <v>51</v>
      </c>
      <c r="BC53" s="30">
        <v>121</v>
      </c>
      <c r="BD53" s="36" t="s">
        <v>110</v>
      </c>
      <c r="BE53" s="36">
        <v>50</v>
      </c>
      <c r="BF53" s="36">
        <v>124</v>
      </c>
      <c r="BG53" s="36">
        <v>347</v>
      </c>
      <c r="BH53" s="36">
        <v>199</v>
      </c>
      <c r="BI53" s="36">
        <v>18</v>
      </c>
      <c r="BJ53" s="38">
        <v>8.8000000000000007</v>
      </c>
      <c r="BK53" s="32">
        <v>9.02</v>
      </c>
      <c r="BL53" s="12"/>
    </row>
    <row r="54" spans="1:64" x14ac:dyDescent="0.2">
      <c r="A54" s="11" t="s">
        <v>71</v>
      </c>
      <c r="B54" s="12"/>
      <c r="C54" s="13">
        <v>6435</v>
      </c>
      <c r="D54" s="14">
        <v>0</v>
      </c>
      <c r="E54" s="14">
        <v>144184</v>
      </c>
      <c r="F54" s="14">
        <v>162541</v>
      </c>
      <c r="G54" s="2">
        <v>0</v>
      </c>
      <c r="H54" s="2">
        <v>578163</v>
      </c>
      <c r="I54" s="2">
        <v>68952</v>
      </c>
      <c r="J54" s="14">
        <v>750</v>
      </c>
      <c r="K54" s="14">
        <v>0</v>
      </c>
      <c r="L54" s="14">
        <v>195379</v>
      </c>
      <c r="M54" s="14">
        <v>220242</v>
      </c>
      <c r="N54" s="14">
        <v>36192.050000000003</v>
      </c>
      <c r="O54" s="14">
        <v>0</v>
      </c>
      <c r="P54" s="14">
        <v>17800</v>
      </c>
      <c r="Q54" s="14">
        <v>79362</v>
      </c>
      <c r="R54" s="14">
        <v>60056</v>
      </c>
      <c r="S54" s="14">
        <v>0</v>
      </c>
      <c r="T54" s="34">
        <v>2.87</v>
      </c>
      <c r="U54" s="35">
        <v>14497</v>
      </c>
      <c r="V54" s="35">
        <v>1081</v>
      </c>
      <c r="W54" s="36">
        <v>14497</v>
      </c>
      <c r="X54" s="36">
        <v>1081</v>
      </c>
      <c r="Y54" s="36">
        <v>6459</v>
      </c>
      <c r="Z54" s="36">
        <v>9284</v>
      </c>
      <c r="AA54" s="37" t="s">
        <v>110</v>
      </c>
      <c r="AB54" s="36">
        <v>12051</v>
      </c>
      <c r="AC54" s="36">
        <v>1081</v>
      </c>
      <c r="AD54" s="36">
        <v>0</v>
      </c>
      <c r="AE54" s="36">
        <v>1200</v>
      </c>
      <c r="AF54" s="36">
        <v>377</v>
      </c>
      <c r="AG54" s="13">
        <v>3571</v>
      </c>
      <c r="AH54" s="13">
        <v>928</v>
      </c>
      <c r="AI54" s="13">
        <v>175</v>
      </c>
      <c r="AJ54" s="13">
        <v>859</v>
      </c>
      <c r="AK54" s="13"/>
      <c r="AL54" s="13"/>
      <c r="AM54" s="13"/>
      <c r="AN54" s="13">
        <v>939</v>
      </c>
      <c r="AO54" s="30"/>
      <c r="AP54" s="30"/>
      <c r="AQ54" s="30"/>
      <c r="AR54" s="30">
        <v>1</v>
      </c>
      <c r="AS54" s="30">
        <v>168</v>
      </c>
      <c r="AT54" s="30"/>
      <c r="AU54" s="30">
        <v>0</v>
      </c>
      <c r="AV54" s="30">
        <v>0</v>
      </c>
      <c r="AW54" s="30">
        <v>1</v>
      </c>
      <c r="AX54" s="30">
        <v>8</v>
      </c>
      <c r="AY54" s="30">
        <v>3</v>
      </c>
      <c r="AZ54" s="30">
        <v>42</v>
      </c>
      <c r="BA54" s="30">
        <v>0</v>
      </c>
      <c r="BB54" s="30">
        <v>11</v>
      </c>
      <c r="BC54" s="30">
        <v>0</v>
      </c>
      <c r="BD54" s="36" t="s">
        <v>111</v>
      </c>
      <c r="BE54" s="36"/>
      <c r="BF54" s="36">
        <v>1</v>
      </c>
      <c r="BG54" s="36">
        <v>5</v>
      </c>
      <c r="BH54" s="36">
        <v>3</v>
      </c>
      <c r="BI54" s="36">
        <v>0</v>
      </c>
      <c r="BJ54" s="32">
        <v>9.43</v>
      </c>
      <c r="BK54" s="32">
        <v>9.43</v>
      </c>
      <c r="BL54" s="12"/>
    </row>
    <row r="55" spans="1:64" x14ac:dyDescent="0.2">
      <c r="A55" s="11" t="s">
        <v>119</v>
      </c>
      <c r="B55" s="12"/>
      <c r="C55" s="13">
        <v>432388</v>
      </c>
      <c r="D55" s="14">
        <v>145000</v>
      </c>
      <c r="E55" s="14">
        <v>3004000</v>
      </c>
      <c r="F55" s="14">
        <v>11199000</v>
      </c>
      <c r="G55" s="14">
        <v>0</v>
      </c>
      <c r="H55" s="14">
        <v>0</v>
      </c>
      <c r="I55" s="14">
        <v>0</v>
      </c>
      <c r="J55" s="14">
        <v>63000</v>
      </c>
      <c r="K55" s="14">
        <v>89000</v>
      </c>
      <c r="L55" s="14">
        <v>10092000</v>
      </c>
      <c r="M55" s="14">
        <v>2111000</v>
      </c>
      <c r="N55" s="14">
        <v>1020204</v>
      </c>
      <c r="O55" s="14">
        <v>271740</v>
      </c>
      <c r="P55" s="14">
        <v>522685</v>
      </c>
      <c r="Q55" s="14">
        <v>427717.84000000008</v>
      </c>
      <c r="R55" s="14">
        <v>2545000</v>
      </c>
      <c r="S55" s="3">
        <v>0</v>
      </c>
      <c r="T55" s="34">
        <v>95.8</v>
      </c>
      <c r="U55" s="35">
        <v>314155</v>
      </c>
      <c r="V55" s="35">
        <v>186814</v>
      </c>
      <c r="W55" s="36">
        <v>311428</v>
      </c>
      <c r="X55" s="36">
        <v>186814</v>
      </c>
      <c r="Y55" s="36">
        <v>360542</v>
      </c>
      <c r="Z55" s="36">
        <v>255200</v>
      </c>
      <c r="AA55" s="37" t="s">
        <v>110</v>
      </c>
      <c r="AB55" s="36">
        <v>2270786</v>
      </c>
      <c r="AC55" s="36">
        <v>869526</v>
      </c>
      <c r="AD55" s="41">
        <v>0</v>
      </c>
      <c r="AE55" s="36">
        <v>85180</v>
      </c>
      <c r="AF55" s="36">
        <v>40440</v>
      </c>
      <c r="AG55" s="13">
        <v>1263008</v>
      </c>
      <c r="AH55" s="13">
        <v>0</v>
      </c>
      <c r="AI55" s="13">
        <v>1350</v>
      </c>
      <c r="AJ55" s="13">
        <v>8279</v>
      </c>
      <c r="AK55" s="15">
        <v>1040707</v>
      </c>
      <c r="AL55" s="13">
        <v>320048</v>
      </c>
      <c r="AM55" s="13">
        <v>302132</v>
      </c>
      <c r="AN55" s="13">
        <v>98554</v>
      </c>
      <c r="AO55" s="30">
        <v>1247986</v>
      </c>
      <c r="AP55" s="26">
        <v>176040</v>
      </c>
      <c r="AQ55" s="26">
        <v>83523</v>
      </c>
      <c r="AR55" s="26">
        <v>14</v>
      </c>
      <c r="AS55" s="26">
        <v>6531</v>
      </c>
      <c r="AT55" s="26">
        <v>8766</v>
      </c>
      <c r="AU55" s="30">
        <v>8</v>
      </c>
      <c r="AV55" s="30">
        <v>145</v>
      </c>
      <c r="AW55" s="30">
        <v>1</v>
      </c>
      <c r="AX55" s="30">
        <v>20</v>
      </c>
      <c r="AY55" s="30">
        <v>4</v>
      </c>
      <c r="AZ55" s="30">
        <v>656</v>
      </c>
      <c r="BA55" s="30">
        <v>0</v>
      </c>
      <c r="BB55" s="30">
        <v>20</v>
      </c>
      <c r="BC55" s="30">
        <v>135</v>
      </c>
      <c r="BD55" s="36" t="s">
        <v>110</v>
      </c>
      <c r="BE55" s="36">
        <v>327</v>
      </c>
      <c r="BF55" s="36">
        <v>130</v>
      </c>
      <c r="BG55" s="36">
        <v>102</v>
      </c>
      <c r="BH55" s="36">
        <v>146</v>
      </c>
      <c r="BI55" s="36">
        <v>22</v>
      </c>
      <c r="BJ55" s="38">
        <v>9.1</v>
      </c>
      <c r="BK55" s="32">
        <v>9.09</v>
      </c>
      <c r="BL55" s="12"/>
    </row>
    <row r="56" spans="1:64" x14ac:dyDescent="0.2">
      <c r="A56" s="19"/>
      <c r="B56" s="19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1"/>
      <c r="Q56" s="21"/>
      <c r="R56" s="21"/>
      <c r="S56" s="22"/>
      <c r="T56" s="23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</row>
    <row r="57" spans="1:64" x14ac:dyDescent="0.2">
      <c r="A57" s="11" t="s">
        <v>72</v>
      </c>
      <c r="B57" s="12"/>
      <c r="C57" s="13">
        <f>SUM(C5:C55)+954</f>
        <v>6619863</v>
      </c>
      <c r="D57" s="14">
        <f t="shared" ref="D57:Z57" si="0">SUM(D5:D55)</f>
        <v>419911.27</v>
      </c>
      <c r="E57" s="14">
        <f t="shared" si="0"/>
        <v>51038193.75</v>
      </c>
      <c r="F57" s="14">
        <f t="shared" si="0"/>
        <v>218737055.27000001</v>
      </c>
      <c r="G57" s="14">
        <f t="shared" si="0"/>
        <v>381000</v>
      </c>
      <c r="H57" s="14">
        <f t="shared" si="0"/>
        <v>7659734.7799999993</v>
      </c>
      <c r="I57" s="14">
        <f t="shared" si="0"/>
        <v>12656979.890000001</v>
      </c>
      <c r="J57" s="14">
        <f t="shared" si="0"/>
        <v>3383263.27</v>
      </c>
      <c r="K57" s="14">
        <f t="shared" si="0"/>
        <v>4360839.8500000006</v>
      </c>
      <c r="L57" s="14">
        <f t="shared" si="0"/>
        <v>192382557.11999997</v>
      </c>
      <c r="M57" s="14">
        <f t="shared" si="0"/>
        <v>35506663.289999999</v>
      </c>
      <c r="N57" s="14">
        <f t="shared" si="0"/>
        <v>27746056.959999997</v>
      </c>
      <c r="O57" s="14">
        <f t="shared" si="0"/>
        <v>5393074.5899999999</v>
      </c>
      <c r="P57" s="14">
        <f t="shared" si="0"/>
        <v>12195873.459999999</v>
      </c>
      <c r="Q57" s="14">
        <f t="shared" si="0"/>
        <v>19914487.080000002</v>
      </c>
      <c r="R57" s="14">
        <f t="shared" si="0"/>
        <v>20974664.240000002</v>
      </c>
      <c r="S57" s="14">
        <f t="shared" si="0"/>
        <v>650009.73000000161</v>
      </c>
      <c r="T57" s="27">
        <f t="shared" si="0"/>
        <v>1905.9299999999998</v>
      </c>
      <c r="U57" s="26">
        <f t="shared" si="0"/>
        <v>7479228</v>
      </c>
      <c r="V57" s="26">
        <f t="shared" si="0"/>
        <v>1623891</v>
      </c>
      <c r="W57" s="26">
        <f t="shared" si="0"/>
        <v>7207010</v>
      </c>
      <c r="X57" s="26">
        <f t="shared" si="0"/>
        <v>1623586</v>
      </c>
      <c r="Y57" s="26">
        <f t="shared" si="0"/>
        <v>4738936</v>
      </c>
      <c r="Z57" s="26">
        <f t="shared" si="0"/>
        <v>1635667</v>
      </c>
      <c r="AA57" s="26">
        <f>COUNTIF(AA5:AA55,"Yes")</f>
        <v>49</v>
      </c>
      <c r="AB57" s="26">
        <f t="shared" ref="AB57:BC57" si="1">SUM(AB5:AB55)</f>
        <v>31544901</v>
      </c>
      <c r="AC57" s="26">
        <f t="shared" si="1"/>
        <v>9715157</v>
      </c>
      <c r="AD57" s="26">
        <f t="shared" si="1"/>
        <v>27234</v>
      </c>
      <c r="AE57" s="26">
        <f t="shared" si="1"/>
        <v>1950550</v>
      </c>
      <c r="AF57" s="26">
        <f t="shared" si="1"/>
        <v>838951</v>
      </c>
      <c r="AG57" s="26">
        <f t="shared" si="1"/>
        <v>20120892</v>
      </c>
      <c r="AH57" s="26">
        <f t="shared" si="1"/>
        <v>91319</v>
      </c>
      <c r="AI57" s="26">
        <f t="shared" si="1"/>
        <v>98002</v>
      </c>
      <c r="AJ57" s="26">
        <f t="shared" si="1"/>
        <v>160711</v>
      </c>
      <c r="AK57" s="26">
        <f t="shared" si="1"/>
        <v>21068356</v>
      </c>
      <c r="AL57" s="26">
        <f t="shared" si="1"/>
        <v>10131941</v>
      </c>
      <c r="AM57" s="26">
        <f t="shared" si="1"/>
        <v>4707362</v>
      </c>
      <c r="AN57" s="26">
        <f t="shared" si="1"/>
        <v>1715429</v>
      </c>
      <c r="AO57" s="26">
        <f t="shared" si="1"/>
        <v>3780830.333333333</v>
      </c>
      <c r="AP57" s="26">
        <f t="shared" si="1"/>
        <v>935785.40700000012</v>
      </c>
      <c r="AQ57" s="26">
        <f t="shared" si="1"/>
        <v>1225981.2200000002</v>
      </c>
      <c r="AR57" s="26">
        <f t="shared" si="1"/>
        <v>283</v>
      </c>
      <c r="AS57" s="26">
        <f t="shared" si="1"/>
        <v>122694</v>
      </c>
      <c r="AT57" s="26">
        <f t="shared" si="1"/>
        <v>197623</v>
      </c>
      <c r="AU57" s="26">
        <f t="shared" si="1"/>
        <v>327</v>
      </c>
      <c r="AV57" s="26">
        <f t="shared" si="1"/>
        <v>147919.75</v>
      </c>
      <c r="AW57" s="26">
        <f t="shared" si="1"/>
        <v>24</v>
      </c>
      <c r="AX57" s="26">
        <f t="shared" si="1"/>
        <v>289</v>
      </c>
      <c r="AY57" s="26">
        <f t="shared" si="1"/>
        <v>94</v>
      </c>
      <c r="AZ57" s="26">
        <f t="shared" si="1"/>
        <v>11947.5</v>
      </c>
      <c r="BA57" s="26">
        <f t="shared" si="1"/>
        <v>888</v>
      </c>
      <c r="BB57" s="26">
        <f t="shared" si="1"/>
        <v>286.85000000000002</v>
      </c>
      <c r="BC57" s="26">
        <f t="shared" si="1"/>
        <v>1437</v>
      </c>
      <c r="BD57" s="26">
        <f>COUNTIF(BD5:BD55,"Yes")</f>
        <v>47</v>
      </c>
      <c r="BE57" s="26">
        <f>SUM(BE5:BE55)</f>
        <v>5682</v>
      </c>
      <c r="BF57" s="26">
        <f>SUM(BF5:BF55)</f>
        <v>1425</v>
      </c>
      <c r="BG57" s="26">
        <f>SUM(BG5:BG55)</f>
        <v>2813</v>
      </c>
      <c r="BH57" s="26">
        <f>SUM(BH5:BH55)</f>
        <v>3139</v>
      </c>
      <c r="BI57" s="26">
        <f>SUM(BI5:BI55)</f>
        <v>505</v>
      </c>
      <c r="BJ57" s="28">
        <f>AVERAGE(BJ5:BJ55)</f>
        <v>8.5209803921568632</v>
      </c>
      <c r="BK57" s="28">
        <f>AVERAGE(BK5:BK55)</f>
        <v>9.0281999999999982</v>
      </c>
      <c r="BL57" s="12"/>
    </row>
    <row r="58" spans="1:64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</row>
    <row r="59" spans="1:64" x14ac:dyDescent="0.2">
      <c r="AB59" s="43"/>
      <c r="AC59" s="43"/>
      <c r="AN59" s="44"/>
    </row>
    <row r="60" spans="1:64" x14ac:dyDescent="0.2">
      <c r="A60" s="5" t="s">
        <v>114</v>
      </c>
      <c r="C60" s="5" t="s">
        <v>120</v>
      </c>
    </row>
  </sheetData>
  <autoFilter ref="A4:BL57" xr:uid="{A43BD974-6C60-4A25-9DFE-7CBB166D9FFD}">
    <sortState xmlns:xlrd2="http://schemas.microsoft.com/office/spreadsheetml/2017/richdata2" ref="A5:BL53">
      <sortCondition ref="A4"/>
    </sortState>
  </autoFilter>
  <printOptions horizontalCentered="1" verticalCentered="1"/>
  <pageMargins left="0.74803149606299213" right="0.74803149606299213" top="0.98425196850393704" bottom="0.98425196850393704" header="0.51181102362204722" footer="0.51181102362204722"/>
  <pageSetup orientation="landscape" r:id="rId1"/>
  <headerFooter>
    <oddHeader>2014 Full Report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E4DF-01E1-469F-AACC-49CF6BFA16A8}">
  <dimension ref="A1:D644"/>
  <sheetViews>
    <sheetView tabSelected="1" workbookViewId="0">
      <pane xSplit="1" ySplit="4" topLeftCell="B630" activePane="bottomRight" state="frozen"/>
      <selection activeCell="S4" sqref="S4"/>
      <selection pane="topRight" activeCell="S4" sqref="S4"/>
      <selection pane="bottomLeft" activeCell="S4" sqref="S4"/>
      <selection pane="bottomRight" activeCell="D644" sqref="D644"/>
    </sheetView>
  </sheetViews>
  <sheetFormatPr defaultColWidth="20.5703125" defaultRowHeight="15" x14ac:dyDescent="0.25"/>
  <cols>
    <col min="1" max="1" width="30.7109375" customWidth="1"/>
    <col min="2" max="2" width="44.140625" bestFit="1" customWidth="1"/>
    <col min="3" max="3" width="27.28515625" bestFit="1" customWidth="1"/>
    <col min="4" max="4" width="18.42578125" bestFit="1" customWidth="1"/>
  </cols>
  <sheetData>
    <row r="1" spans="1:4" ht="21" x14ac:dyDescent="0.35">
      <c r="A1" s="4" t="s">
        <v>196</v>
      </c>
    </row>
    <row r="2" spans="1:4" ht="15.75" x14ac:dyDescent="0.25">
      <c r="A2" s="6" t="s">
        <v>848</v>
      </c>
    </row>
    <row r="3" spans="1:4" ht="15" customHeight="1" x14ac:dyDescent="0.25"/>
    <row r="4" spans="1:4" s="60" customFormat="1" ht="30" x14ac:dyDescent="0.25">
      <c r="A4" s="63" t="s">
        <v>220</v>
      </c>
      <c r="B4" s="63" t="s">
        <v>221</v>
      </c>
      <c r="C4" s="63" t="s">
        <v>197</v>
      </c>
      <c r="D4" s="64" t="s">
        <v>222</v>
      </c>
    </row>
    <row r="5" spans="1:4" x14ac:dyDescent="0.25">
      <c r="A5" s="65" t="s">
        <v>0</v>
      </c>
      <c r="B5" s="65" t="s">
        <v>223</v>
      </c>
      <c r="C5" s="65" t="s">
        <v>224</v>
      </c>
      <c r="D5" s="61">
        <v>0</v>
      </c>
    </row>
    <row r="6" spans="1:4" x14ac:dyDescent="0.25">
      <c r="A6" s="65" t="s">
        <v>0</v>
      </c>
      <c r="B6" s="65" t="s">
        <v>225</v>
      </c>
      <c r="C6" s="65" t="s">
        <v>226</v>
      </c>
      <c r="D6" s="61">
        <v>53</v>
      </c>
    </row>
    <row r="7" spans="1:4" x14ac:dyDescent="0.25">
      <c r="A7" s="65" t="s">
        <v>0</v>
      </c>
      <c r="B7" s="65" t="s">
        <v>227</v>
      </c>
      <c r="C7" s="65" t="s">
        <v>226</v>
      </c>
      <c r="D7" s="61">
        <v>57</v>
      </c>
    </row>
    <row r="8" spans="1:4" x14ac:dyDescent="0.25">
      <c r="A8" s="65" t="s">
        <v>0</v>
      </c>
      <c r="B8" s="65" t="s">
        <v>228</v>
      </c>
      <c r="C8" s="65" t="s">
        <v>226</v>
      </c>
      <c r="D8" s="61">
        <v>53</v>
      </c>
    </row>
    <row r="9" spans="1:4" x14ac:dyDescent="0.25">
      <c r="A9" s="65" t="s">
        <v>0</v>
      </c>
      <c r="B9" s="65" t="s">
        <v>229</v>
      </c>
      <c r="C9" s="65" t="s">
        <v>230</v>
      </c>
      <c r="D9" s="61">
        <v>35</v>
      </c>
    </row>
    <row r="10" spans="1:4" x14ac:dyDescent="0.25">
      <c r="A10" s="65" t="s">
        <v>0</v>
      </c>
      <c r="B10" s="65" t="s">
        <v>231</v>
      </c>
      <c r="C10" s="65" t="s">
        <v>232</v>
      </c>
      <c r="D10" s="61">
        <v>0</v>
      </c>
    </row>
    <row r="11" spans="1:4" x14ac:dyDescent="0.25">
      <c r="A11" s="65" t="s">
        <v>4</v>
      </c>
      <c r="B11" s="65" t="s">
        <v>233</v>
      </c>
      <c r="C11" s="65" t="s">
        <v>226</v>
      </c>
      <c r="D11" s="61">
        <v>54</v>
      </c>
    </row>
    <row r="12" spans="1:4" x14ac:dyDescent="0.25">
      <c r="A12" s="65" t="s">
        <v>4</v>
      </c>
      <c r="B12" s="65" t="s">
        <v>234</v>
      </c>
      <c r="C12" s="65" t="s">
        <v>226</v>
      </c>
      <c r="D12" s="61">
        <v>54</v>
      </c>
    </row>
    <row r="13" spans="1:4" x14ac:dyDescent="0.25">
      <c r="A13" s="65" t="s">
        <v>4</v>
      </c>
      <c r="B13" s="65" t="s">
        <v>235</v>
      </c>
      <c r="C13" s="65" t="s">
        <v>226</v>
      </c>
      <c r="D13" s="61">
        <v>59</v>
      </c>
    </row>
    <row r="14" spans="1:4" x14ac:dyDescent="0.25">
      <c r="A14" s="65" t="s">
        <v>4</v>
      </c>
      <c r="B14" s="65" t="s">
        <v>236</v>
      </c>
      <c r="C14" s="65" t="s">
        <v>226</v>
      </c>
      <c r="D14" s="61">
        <v>60</v>
      </c>
    </row>
    <row r="15" spans="1:4" x14ac:dyDescent="0.25">
      <c r="A15" s="65" t="s">
        <v>4</v>
      </c>
      <c r="B15" s="65" t="s">
        <v>237</v>
      </c>
      <c r="C15" s="65" t="s">
        <v>226</v>
      </c>
      <c r="D15" s="61">
        <v>57</v>
      </c>
    </row>
    <row r="16" spans="1:4" x14ac:dyDescent="0.25">
      <c r="A16" s="65" t="s">
        <v>4</v>
      </c>
      <c r="B16" s="65" t="s">
        <v>238</v>
      </c>
      <c r="C16" s="65" t="s">
        <v>226</v>
      </c>
      <c r="D16" s="61">
        <v>51</v>
      </c>
    </row>
    <row r="17" spans="1:4" x14ac:dyDescent="0.25">
      <c r="A17" s="65" t="s">
        <v>4</v>
      </c>
      <c r="B17" s="65" t="s">
        <v>239</v>
      </c>
      <c r="C17" s="65" t="s">
        <v>240</v>
      </c>
      <c r="D17" s="61">
        <v>0</v>
      </c>
    </row>
    <row r="18" spans="1:4" x14ac:dyDescent="0.25">
      <c r="A18" s="65" t="s">
        <v>1</v>
      </c>
      <c r="B18" s="65" t="s">
        <v>241</v>
      </c>
      <c r="C18" s="65" t="s">
        <v>226</v>
      </c>
      <c r="D18" s="61">
        <v>56.5</v>
      </c>
    </row>
    <row r="19" spans="1:4" x14ac:dyDescent="0.25">
      <c r="A19" s="65" t="s">
        <v>1</v>
      </c>
      <c r="B19" s="65" t="s">
        <v>242</v>
      </c>
      <c r="C19" s="65" t="s">
        <v>226</v>
      </c>
      <c r="D19" s="61">
        <v>40.5</v>
      </c>
    </row>
    <row r="20" spans="1:4" x14ac:dyDescent="0.25">
      <c r="A20" s="65" t="s">
        <v>1</v>
      </c>
      <c r="B20" s="65" t="s">
        <v>243</v>
      </c>
      <c r="C20" s="65" t="s">
        <v>226</v>
      </c>
      <c r="D20" s="61">
        <v>60.5</v>
      </c>
    </row>
    <row r="21" spans="1:4" x14ac:dyDescent="0.25">
      <c r="A21" s="65" t="s">
        <v>1</v>
      </c>
      <c r="B21" s="65" t="s">
        <v>244</v>
      </c>
      <c r="C21" s="65" t="s">
        <v>226</v>
      </c>
      <c r="D21" s="61">
        <v>60.5</v>
      </c>
    </row>
    <row r="22" spans="1:4" x14ac:dyDescent="0.25">
      <c r="A22" s="65" t="s">
        <v>1</v>
      </c>
      <c r="B22" s="65" t="s">
        <v>245</v>
      </c>
      <c r="C22" s="65" t="s">
        <v>226</v>
      </c>
      <c r="D22" s="61">
        <v>60.5</v>
      </c>
    </row>
    <row r="23" spans="1:4" x14ac:dyDescent="0.25">
      <c r="A23" s="65" t="s">
        <v>51</v>
      </c>
      <c r="B23" s="65" t="s">
        <v>246</v>
      </c>
      <c r="C23" s="65" t="s">
        <v>247</v>
      </c>
      <c r="D23" s="61">
        <v>0</v>
      </c>
    </row>
    <row r="24" spans="1:4" x14ac:dyDescent="0.25">
      <c r="A24" s="65" t="s">
        <v>51</v>
      </c>
      <c r="B24" s="65" t="s">
        <v>248</v>
      </c>
      <c r="C24" s="65" t="s">
        <v>226</v>
      </c>
      <c r="D24" s="61">
        <v>8</v>
      </c>
    </row>
    <row r="25" spans="1:4" x14ac:dyDescent="0.25">
      <c r="A25" s="65" t="s">
        <v>51</v>
      </c>
      <c r="B25" s="65" t="s">
        <v>249</v>
      </c>
      <c r="C25" s="65" t="s">
        <v>226</v>
      </c>
      <c r="D25" s="61">
        <v>6</v>
      </c>
    </row>
    <row r="26" spans="1:4" x14ac:dyDescent="0.25">
      <c r="A26" s="65" t="s">
        <v>51</v>
      </c>
      <c r="B26" s="65" t="s">
        <v>250</v>
      </c>
      <c r="C26" s="65" t="s">
        <v>226</v>
      </c>
      <c r="D26" s="61">
        <v>6</v>
      </c>
    </row>
    <row r="27" spans="1:4" x14ac:dyDescent="0.25">
      <c r="A27" s="65" t="s">
        <v>51</v>
      </c>
      <c r="B27" s="65" t="s">
        <v>251</v>
      </c>
      <c r="C27" s="65" t="s">
        <v>226</v>
      </c>
      <c r="D27" s="61">
        <v>6</v>
      </c>
    </row>
    <row r="28" spans="1:4" x14ac:dyDescent="0.25">
      <c r="A28" s="65" t="s">
        <v>51</v>
      </c>
      <c r="B28" s="65" t="s">
        <v>252</v>
      </c>
      <c r="C28" s="65" t="s">
        <v>253</v>
      </c>
      <c r="D28" s="61">
        <v>1</v>
      </c>
    </row>
    <row r="29" spans="1:4" x14ac:dyDescent="0.25">
      <c r="A29" s="65" t="s">
        <v>51</v>
      </c>
      <c r="B29" s="65" t="s">
        <v>254</v>
      </c>
      <c r="C29" s="65" t="s">
        <v>253</v>
      </c>
      <c r="D29" s="61">
        <v>1</v>
      </c>
    </row>
    <row r="30" spans="1:4" x14ac:dyDescent="0.25">
      <c r="A30" s="65" t="s">
        <v>51</v>
      </c>
      <c r="B30" s="65" t="s">
        <v>255</v>
      </c>
      <c r="C30" s="65" t="s">
        <v>253</v>
      </c>
      <c r="D30" s="61">
        <v>1</v>
      </c>
    </row>
    <row r="31" spans="1:4" x14ac:dyDescent="0.25">
      <c r="A31" s="65" t="s">
        <v>51</v>
      </c>
      <c r="B31" s="65" t="s">
        <v>256</v>
      </c>
      <c r="C31" s="65" t="s">
        <v>253</v>
      </c>
      <c r="D31" s="61">
        <v>1</v>
      </c>
    </row>
    <row r="32" spans="1:4" x14ac:dyDescent="0.25">
      <c r="A32" s="65" t="s">
        <v>51</v>
      </c>
      <c r="B32" s="65" t="s">
        <v>257</v>
      </c>
      <c r="C32" s="65" t="s">
        <v>253</v>
      </c>
      <c r="D32" s="61">
        <v>1</v>
      </c>
    </row>
    <row r="33" spans="1:4" x14ac:dyDescent="0.25">
      <c r="A33" s="65" t="s">
        <v>51</v>
      </c>
      <c r="B33" s="65" t="s">
        <v>258</v>
      </c>
      <c r="C33" s="65" t="s">
        <v>259</v>
      </c>
      <c r="D33" s="61">
        <v>0</v>
      </c>
    </row>
    <row r="34" spans="1:4" x14ac:dyDescent="0.25">
      <c r="A34" s="65" t="s">
        <v>2</v>
      </c>
      <c r="B34" s="65" t="s">
        <v>260</v>
      </c>
      <c r="C34" s="65" t="s">
        <v>247</v>
      </c>
      <c r="D34" s="61">
        <v>0</v>
      </c>
    </row>
    <row r="35" spans="1:4" x14ac:dyDescent="0.25">
      <c r="A35" s="65" t="s">
        <v>2</v>
      </c>
      <c r="B35" s="65" t="s">
        <v>261</v>
      </c>
      <c r="C35" s="65" t="s">
        <v>247</v>
      </c>
      <c r="D35" s="61">
        <v>0</v>
      </c>
    </row>
    <row r="36" spans="1:4" x14ac:dyDescent="0.25">
      <c r="A36" s="65" t="s">
        <v>2</v>
      </c>
      <c r="B36" s="65" t="s">
        <v>262</v>
      </c>
      <c r="C36" s="65" t="s">
        <v>247</v>
      </c>
      <c r="D36" s="61">
        <v>0</v>
      </c>
    </row>
    <row r="37" spans="1:4" x14ac:dyDescent="0.25">
      <c r="A37" s="65" t="s">
        <v>2</v>
      </c>
      <c r="B37" s="65" t="s">
        <v>263</v>
      </c>
      <c r="C37" s="65" t="s">
        <v>247</v>
      </c>
      <c r="D37" s="61">
        <v>0</v>
      </c>
    </row>
    <row r="38" spans="1:4" x14ac:dyDescent="0.25">
      <c r="A38" s="65" t="s">
        <v>2</v>
      </c>
      <c r="B38" s="65" t="s">
        <v>264</v>
      </c>
      <c r="C38" s="65" t="s">
        <v>247</v>
      </c>
      <c r="D38" s="61">
        <v>0</v>
      </c>
    </row>
    <row r="39" spans="1:4" x14ac:dyDescent="0.25">
      <c r="A39" s="65" t="s">
        <v>2</v>
      </c>
      <c r="B39" s="65" t="s">
        <v>265</v>
      </c>
      <c r="C39" s="65" t="s">
        <v>224</v>
      </c>
      <c r="D39" s="61">
        <v>0</v>
      </c>
    </row>
    <row r="40" spans="1:4" x14ac:dyDescent="0.25">
      <c r="A40" s="65" t="s">
        <v>2</v>
      </c>
      <c r="B40" s="65" t="s">
        <v>266</v>
      </c>
      <c r="C40" s="65" t="s">
        <v>226</v>
      </c>
      <c r="D40" s="61">
        <v>43.5</v>
      </c>
    </row>
    <row r="41" spans="1:4" x14ac:dyDescent="0.25">
      <c r="A41" s="65" t="s">
        <v>2</v>
      </c>
      <c r="B41" s="65" t="s">
        <v>267</v>
      </c>
      <c r="C41" s="65" t="s">
        <v>226</v>
      </c>
      <c r="D41" s="61">
        <v>38.5</v>
      </c>
    </row>
    <row r="42" spans="1:4" x14ac:dyDescent="0.25">
      <c r="A42" s="65" t="s">
        <v>2</v>
      </c>
      <c r="B42" s="65" t="s">
        <v>268</v>
      </c>
      <c r="C42" s="65" t="s">
        <v>226</v>
      </c>
      <c r="D42" s="61">
        <v>22</v>
      </c>
    </row>
    <row r="43" spans="1:4" x14ac:dyDescent="0.25">
      <c r="A43" s="65" t="s">
        <v>2</v>
      </c>
      <c r="B43" s="65" t="s">
        <v>269</v>
      </c>
      <c r="C43" s="65" t="s">
        <v>226</v>
      </c>
      <c r="D43" s="61">
        <v>18</v>
      </c>
    </row>
    <row r="44" spans="1:4" x14ac:dyDescent="0.25">
      <c r="A44" s="65" t="s">
        <v>2</v>
      </c>
      <c r="B44" s="65" t="s">
        <v>270</v>
      </c>
      <c r="C44" s="65" t="s">
        <v>226</v>
      </c>
      <c r="D44" s="61">
        <v>8.5</v>
      </c>
    </row>
    <row r="45" spans="1:4" x14ac:dyDescent="0.25">
      <c r="A45" s="65" t="s">
        <v>850</v>
      </c>
      <c r="B45" s="65" t="s">
        <v>271</v>
      </c>
      <c r="C45" s="65" t="s">
        <v>226</v>
      </c>
      <c r="D45" s="61">
        <v>40</v>
      </c>
    </row>
    <row r="46" spans="1:4" x14ac:dyDescent="0.25">
      <c r="A46" s="65" t="s">
        <v>850</v>
      </c>
      <c r="B46" s="65" t="s">
        <v>272</v>
      </c>
      <c r="C46" s="65" t="s">
        <v>226</v>
      </c>
      <c r="D46" s="61">
        <v>47</v>
      </c>
    </row>
    <row r="47" spans="1:4" x14ac:dyDescent="0.25">
      <c r="A47" s="65" t="s">
        <v>850</v>
      </c>
      <c r="B47" s="65" t="s">
        <v>273</v>
      </c>
      <c r="C47" s="65" t="s">
        <v>232</v>
      </c>
      <c r="D47" s="61">
        <v>0</v>
      </c>
    </row>
    <row r="48" spans="1:4" x14ac:dyDescent="0.25">
      <c r="A48" s="65" t="s">
        <v>850</v>
      </c>
      <c r="B48" s="65" t="s">
        <v>271</v>
      </c>
      <c r="C48" s="65" t="s">
        <v>232</v>
      </c>
      <c r="D48" s="61">
        <v>0</v>
      </c>
    </row>
    <row r="49" spans="1:4" x14ac:dyDescent="0.25">
      <c r="A49" s="65" t="s">
        <v>850</v>
      </c>
      <c r="B49" s="65" t="s">
        <v>274</v>
      </c>
      <c r="C49" s="65" t="s">
        <v>275</v>
      </c>
      <c r="D49" s="61">
        <v>0</v>
      </c>
    </row>
    <row r="50" spans="1:4" x14ac:dyDescent="0.25">
      <c r="A50" s="65" t="s">
        <v>850</v>
      </c>
      <c r="B50" s="65" t="s">
        <v>276</v>
      </c>
      <c r="C50" s="65" t="s">
        <v>277</v>
      </c>
      <c r="D50" s="61">
        <v>2.5</v>
      </c>
    </row>
    <row r="51" spans="1:4" x14ac:dyDescent="0.25">
      <c r="A51" s="65" t="s">
        <v>850</v>
      </c>
      <c r="B51" s="65" t="s">
        <v>273</v>
      </c>
      <c r="C51" s="65" t="s">
        <v>277</v>
      </c>
      <c r="D51" s="61">
        <v>1</v>
      </c>
    </row>
    <row r="52" spans="1:4" x14ac:dyDescent="0.25">
      <c r="A52" s="65" t="s">
        <v>850</v>
      </c>
      <c r="B52" s="65" t="s">
        <v>278</v>
      </c>
      <c r="C52" s="65" t="s">
        <v>277</v>
      </c>
      <c r="D52" s="61">
        <v>1</v>
      </c>
    </row>
    <row r="53" spans="1:4" x14ac:dyDescent="0.25">
      <c r="A53" s="65" t="s">
        <v>850</v>
      </c>
      <c r="B53" s="65" t="s">
        <v>279</v>
      </c>
      <c r="C53" s="65" t="s">
        <v>277</v>
      </c>
      <c r="D53" s="61">
        <v>1</v>
      </c>
    </row>
    <row r="54" spans="1:4" x14ac:dyDescent="0.25">
      <c r="A54" s="65" t="s">
        <v>850</v>
      </c>
      <c r="B54" s="65" t="s">
        <v>280</v>
      </c>
      <c r="C54" s="65" t="s">
        <v>277</v>
      </c>
      <c r="D54" s="61">
        <v>1</v>
      </c>
    </row>
    <row r="55" spans="1:4" x14ac:dyDescent="0.25">
      <c r="A55" s="65" t="s">
        <v>849</v>
      </c>
      <c r="B55" s="65" t="s">
        <v>281</v>
      </c>
      <c r="C55" s="65" t="s">
        <v>224</v>
      </c>
      <c r="D55" s="61">
        <v>0</v>
      </c>
    </row>
    <row r="56" spans="1:4" x14ac:dyDescent="0.25">
      <c r="A56" s="65" t="s">
        <v>849</v>
      </c>
      <c r="B56" s="65" t="s">
        <v>282</v>
      </c>
      <c r="C56" s="65" t="s">
        <v>226</v>
      </c>
      <c r="D56" s="61">
        <v>53</v>
      </c>
    </row>
    <row r="57" spans="1:4" x14ac:dyDescent="0.25">
      <c r="A57" s="65" t="s">
        <v>849</v>
      </c>
      <c r="B57" s="65" t="s">
        <v>283</v>
      </c>
      <c r="C57" s="65" t="s">
        <v>226</v>
      </c>
      <c r="D57" s="61">
        <v>43</v>
      </c>
    </row>
    <row r="58" spans="1:4" x14ac:dyDescent="0.25">
      <c r="A58" s="65" t="s">
        <v>849</v>
      </c>
      <c r="B58" s="65" t="s">
        <v>284</v>
      </c>
      <c r="C58" s="65" t="s">
        <v>226</v>
      </c>
      <c r="D58" s="61">
        <v>40</v>
      </c>
    </row>
    <row r="59" spans="1:4" x14ac:dyDescent="0.25">
      <c r="A59" s="65" t="s">
        <v>849</v>
      </c>
      <c r="B59" s="65" t="s">
        <v>285</v>
      </c>
      <c r="C59" s="65" t="s">
        <v>286</v>
      </c>
      <c r="D59" s="61">
        <v>0</v>
      </c>
    </row>
    <row r="60" spans="1:4" x14ac:dyDescent="0.25">
      <c r="A60" s="65" t="s">
        <v>849</v>
      </c>
      <c r="B60" s="65" t="s">
        <v>287</v>
      </c>
      <c r="C60" s="65" t="s">
        <v>253</v>
      </c>
      <c r="D60" s="61">
        <v>3</v>
      </c>
    </row>
    <row r="61" spans="1:4" x14ac:dyDescent="0.25">
      <c r="A61" s="65" t="s">
        <v>849</v>
      </c>
      <c r="B61" s="65" t="s">
        <v>285</v>
      </c>
      <c r="C61" s="65" t="s">
        <v>253</v>
      </c>
      <c r="D61" s="61">
        <v>2</v>
      </c>
    </row>
    <row r="62" spans="1:4" x14ac:dyDescent="0.25">
      <c r="A62" s="65" t="s">
        <v>849</v>
      </c>
      <c r="B62" s="65" t="s">
        <v>288</v>
      </c>
      <c r="C62" s="65" t="s">
        <v>259</v>
      </c>
      <c r="D62" s="61">
        <v>0</v>
      </c>
    </row>
    <row r="63" spans="1:4" x14ac:dyDescent="0.25">
      <c r="A63" s="65" t="s">
        <v>851</v>
      </c>
      <c r="B63" s="65" t="s">
        <v>289</v>
      </c>
      <c r="C63" s="65" t="s">
        <v>226</v>
      </c>
      <c r="D63" s="61">
        <v>43</v>
      </c>
    </row>
    <row r="64" spans="1:4" x14ac:dyDescent="0.25">
      <c r="A64" s="65" t="s">
        <v>851</v>
      </c>
      <c r="B64" s="65" t="s">
        <v>290</v>
      </c>
      <c r="C64" s="65" t="s">
        <v>226</v>
      </c>
      <c r="D64" s="61">
        <v>8</v>
      </c>
    </row>
    <row r="65" spans="1:4" x14ac:dyDescent="0.25">
      <c r="A65" s="65" t="s">
        <v>851</v>
      </c>
      <c r="B65" s="65" t="s">
        <v>291</v>
      </c>
      <c r="C65" s="65" t="s">
        <v>253</v>
      </c>
      <c r="D65" s="61">
        <v>2</v>
      </c>
    </row>
    <row r="66" spans="1:4" x14ac:dyDescent="0.25">
      <c r="A66" s="65" t="s">
        <v>851</v>
      </c>
      <c r="B66" s="65" t="s">
        <v>292</v>
      </c>
      <c r="C66" s="65" t="s">
        <v>259</v>
      </c>
      <c r="D66" s="61">
        <v>4</v>
      </c>
    </row>
    <row r="67" spans="1:4" x14ac:dyDescent="0.25">
      <c r="A67" s="65" t="s">
        <v>852</v>
      </c>
      <c r="B67" s="65" t="s">
        <v>293</v>
      </c>
      <c r="C67" s="65" t="s">
        <v>226</v>
      </c>
      <c r="D67" s="61">
        <v>20.6</v>
      </c>
    </row>
    <row r="68" spans="1:4" x14ac:dyDescent="0.25">
      <c r="A68" s="65" t="s">
        <v>852</v>
      </c>
      <c r="B68" s="65" t="s">
        <v>294</v>
      </c>
      <c r="C68" s="65" t="s">
        <v>226</v>
      </c>
      <c r="D68" s="61">
        <v>35.5</v>
      </c>
    </row>
    <row r="69" spans="1:4" x14ac:dyDescent="0.25">
      <c r="A69" s="65" t="s">
        <v>852</v>
      </c>
      <c r="B69" s="65" t="s">
        <v>295</v>
      </c>
      <c r="C69" s="65" t="s">
        <v>226</v>
      </c>
      <c r="D69" s="61">
        <v>38</v>
      </c>
    </row>
    <row r="70" spans="1:4" x14ac:dyDescent="0.25">
      <c r="A70" s="65" t="s">
        <v>852</v>
      </c>
      <c r="B70" s="65" t="s">
        <v>296</v>
      </c>
      <c r="C70" s="65" t="s">
        <v>226</v>
      </c>
      <c r="D70" s="61">
        <v>15.45</v>
      </c>
    </row>
    <row r="71" spans="1:4" x14ac:dyDescent="0.25">
      <c r="A71" s="65" t="s">
        <v>853</v>
      </c>
      <c r="B71" s="65" t="s">
        <v>297</v>
      </c>
      <c r="C71" s="65" t="s">
        <v>226</v>
      </c>
      <c r="D71" s="61">
        <v>53.5</v>
      </c>
    </row>
    <row r="72" spans="1:4" x14ac:dyDescent="0.25">
      <c r="A72" s="65" t="s">
        <v>853</v>
      </c>
      <c r="B72" s="65" t="s">
        <v>298</v>
      </c>
      <c r="C72" s="65" t="s">
        <v>226</v>
      </c>
      <c r="D72" s="61">
        <v>18.5</v>
      </c>
    </row>
    <row r="73" spans="1:4" x14ac:dyDescent="0.25">
      <c r="A73" s="65" t="s">
        <v>853</v>
      </c>
      <c r="B73" s="65" t="s">
        <v>299</v>
      </c>
      <c r="C73" s="65" t="s">
        <v>253</v>
      </c>
      <c r="D73" s="61">
        <v>1</v>
      </c>
    </row>
    <row r="74" spans="1:4" x14ac:dyDescent="0.25">
      <c r="A74" s="65" t="s">
        <v>853</v>
      </c>
      <c r="B74" s="65" t="s">
        <v>300</v>
      </c>
      <c r="C74" s="65" t="s">
        <v>253</v>
      </c>
      <c r="D74" s="61">
        <v>1</v>
      </c>
    </row>
    <row r="75" spans="1:4" x14ac:dyDescent="0.25">
      <c r="A75" s="65" t="s">
        <v>853</v>
      </c>
      <c r="B75" s="65" t="s">
        <v>301</v>
      </c>
      <c r="C75" s="65" t="s">
        <v>253</v>
      </c>
      <c r="D75" s="61">
        <v>1</v>
      </c>
    </row>
    <row r="76" spans="1:4" x14ac:dyDescent="0.25">
      <c r="A76" s="65" t="s">
        <v>853</v>
      </c>
      <c r="B76" s="65" t="s">
        <v>302</v>
      </c>
      <c r="C76" s="65" t="s">
        <v>253</v>
      </c>
      <c r="D76" s="61">
        <v>0.5</v>
      </c>
    </row>
    <row r="77" spans="1:4" x14ac:dyDescent="0.25">
      <c r="A77" s="65" t="s">
        <v>853</v>
      </c>
      <c r="B77" s="65" t="s">
        <v>303</v>
      </c>
      <c r="C77" s="65" t="s">
        <v>253</v>
      </c>
      <c r="D77" s="61">
        <v>0.5</v>
      </c>
    </row>
    <row r="78" spans="1:4" x14ac:dyDescent="0.25">
      <c r="A78" s="65" t="s">
        <v>853</v>
      </c>
      <c r="B78" s="65" t="s">
        <v>304</v>
      </c>
      <c r="C78" s="65" t="s">
        <v>253</v>
      </c>
      <c r="D78" s="61">
        <v>0.5</v>
      </c>
    </row>
    <row r="79" spans="1:4" x14ac:dyDescent="0.25">
      <c r="A79" s="65" t="s">
        <v>853</v>
      </c>
      <c r="B79" s="65" t="s">
        <v>305</v>
      </c>
      <c r="C79" s="65" t="s">
        <v>259</v>
      </c>
      <c r="D79" s="61">
        <v>0</v>
      </c>
    </row>
    <row r="80" spans="1:4" x14ac:dyDescent="0.25">
      <c r="A80" s="65" t="s">
        <v>854</v>
      </c>
      <c r="B80" s="65" t="s">
        <v>306</v>
      </c>
      <c r="C80" s="65" t="s">
        <v>226</v>
      </c>
      <c r="D80" s="61">
        <v>33</v>
      </c>
    </row>
    <row r="81" spans="1:4" x14ac:dyDescent="0.25">
      <c r="A81" s="65" t="s">
        <v>854</v>
      </c>
      <c r="B81" s="65" t="s">
        <v>307</v>
      </c>
      <c r="C81" s="65" t="s">
        <v>226</v>
      </c>
      <c r="D81" s="61">
        <v>24</v>
      </c>
    </row>
    <row r="82" spans="1:4" x14ac:dyDescent="0.25">
      <c r="A82" s="65" t="s">
        <v>855</v>
      </c>
      <c r="B82" s="65" t="s">
        <v>308</v>
      </c>
      <c r="C82" s="65" t="s">
        <v>226</v>
      </c>
      <c r="D82" s="61">
        <v>41</v>
      </c>
    </row>
    <row r="83" spans="1:4" x14ac:dyDescent="0.25">
      <c r="A83" s="65" t="s">
        <v>855</v>
      </c>
      <c r="B83" s="65" t="s">
        <v>309</v>
      </c>
      <c r="C83" s="65" t="s">
        <v>226</v>
      </c>
      <c r="D83" s="61">
        <v>41</v>
      </c>
    </row>
    <row r="84" spans="1:4" x14ac:dyDescent="0.25">
      <c r="A84" s="65" t="s">
        <v>855</v>
      </c>
      <c r="B84" s="65" t="s">
        <v>310</v>
      </c>
      <c r="C84" s="65" t="s">
        <v>253</v>
      </c>
      <c r="D84" s="61">
        <v>0.25</v>
      </c>
    </row>
    <row r="85" spans="1:4" x14ac:dyDescent="0.25">
      <c r="A85" s="65" t="s">
        <v>855</v>
      </c>
      <c r="B85" s="65" t="s">
        <v>311</v>
      </c>
      <c r="C85" s="65" t="s">
        <v>253</v>
      </c>
      <c r="D85" s="61">
        <v>0.25</v>
      </c>
    </row>
    <row r="86" spans="1:4" x14ac:dyDescent="0.25">
      <c r="A86" s="65" t="s">
        <v>855</v>
      </c>
      <c r="B86" s="65" t="s">
        <v>312</v>
      </c>
      <c r="C86" s="65" t="s">
        <v>253</v>
      </c>
      <c r="D86" s="61">
        <v>0.25</v>
      </c>
    </row>
    <row r="87" spans="1:4" x14ac:dyDescent="0.25">
      <c r="A87" s="65" t="s">
        <v>855</v>
      </c>
      <c r="B87" s="65" t="s">
        <v>313</v>
      </c>
      <c r="C87" s="65" t="s">
        <v>253</v>
      </c>
      <c r="D87" s="61">
        <v>0.25</v>
      </c>
    </row>
    <row r="88" spans="1:4" x14ac:dyDescent="0.25">
      <c r="A88" s="65" t="s">
        <v>855</v>
      </c>
      <c r="B88" s="65" t="s">
        <v>314</v>
      </c>
      <c r="C88" s="65" t="s">
        <v>253</v>
      </c>
      <c r="D88" s="61">
        <v>0.25</v>
      </c>
    </row>
    <row r="89" spans="1:4" x14ac:dyDescent="0.25">
      <c r="A89" s="65" t="s">
        <v>855</v>
      </c>
      <c r="B89" s="65" t="s">
        <v>315</v>
      </c>
      <c r="C89" s="65" t="s">
        <v>253</v>
      </c>
      <c r="D89" s="61">
        <v>0.25</v>
      </c>
    </row>
    <row r="90" spans="1:4" x14ac:dyDescent="0.25">
      <c r="A90" s="65" t="s">
        <v>855</v>
      </c>
      <c r="B90" s="65" t="s">
        <v>316</v>
      </c>
      <c r="C90" s="65" t="s">
        <v>253</v>
      </c>
      <c r="D90" s="61">
        <v>0.25</v>
      </c>
    </row>
    <row r="91" spans="1:4" x14ac:dyDescent="0.25">
      <c r="A91" s="65" t="s">
        <v>855</v>
      </c>
      <c r="B91" s="65" t="s">
        <v>317</v>
      </c>
      <c r="C91" s="65" t="s">
        <v>253</v>
      </c>
      <c r="D91" s="61">
        <v>0.25</v>
      </c>
    </row>
    <row r="92" spans="1:4" x14ac:dyDescent="0.25">
      <c r="A92" s="65" t="s">
        <v>855</v>
      </c>
      <c r="B92" s="65" t="s">
        <v>318</v>
      </c>
      <c r="C92" s="65" t="s">
        <v>253</v>
      </c>
      <c r="D92" s="61">
        <v>0.5</v>
      </c>
    </row>
    <row r="93" spans="1:4" x14ac:dyDescent="0.25">
      <c r="A93" s="65" t="s">
        <v>855</v>
      </c>
      <c r="B93" s="65" t="s">
        <v>319</v>
      </c>
      <c r="C93" s="65" t="s">
        <v>253</v>
      </c>
      <c r="D93" s="61">
        <v>0.25</v>
      </c>
    </row>
    <row r="94" spans="1:4" x14ac:dyDescent="0.25">
      <c r="A94" s="65" t="s">
        <v>855</v>
      </c>
      <c r="B94" s="65" t="s">
        <v>320</v>
      </c>
      <c r="C94" s="65" t="s">
        <v>253</v>
      </c>
      <c r="D94" s="61">
        <v>0.25</v>
      </c>
    </row>
    <row r="95" spans="1:4" x14ac:dyDescent="0.25">
      <c r="A95" s="65" t="s">
        <v>855</v>
      </c>
      <c r="B95" s="65" t="s">
        <v>321</v>
      </c>
      <c r="C95" s="65" t="s">
        <v>253</v>
      </c>
      <c r="D95" s="61">
        <v>0.25</v>
      </c>
    </row>
    <row r="96" spans="1:4" x14ac:dyDescent="0.25">
      <c r="A96" s="65" t="s">
        <v>855</v>
      </c>
      <c r="B96" s="65" t="s">
        <v>322</v>
      </c>
      <c r="C96" s="65" t="s">
        <v>253</v>
      </c>
      <c r="D96" s="61">
        <v>0.25</v>
      </c>
    </row>
    <row r="97" spans="1:4" x14ac:dyDescent="0.25">
      <c r="A97" s="65" t="s">
        <v>855</v>
      </c>
      <c r="B97" s="65" t="s">
        <v>323</v>
      </c>
      <c r="C97" s="65" t="s">
        <v>253</v>
      </c>
      <c r="D97" s="61">
        <v>0.25</v>
      </c>
    </row>
    <row r="98" spans="1:4" x14ac:dyDescent="0.25">
      <c r="A98" s="65" t="s">
        <v>855</v>
      </c>
      <c r="B98" s="65" t="s">
        <v>324</v>
      </c>
      <c r="C98" s="65" t="s">
        <v>259</v>
      </c>
      <c r="D98" s="61">
        <v>10</v>
      </c>
    </row>
    <row r="99" spans="1:4" x14ac:dyDescent="0.25">
      <c r="A99" s="65" t="s">
        <v>856</v>
      </c>
      <c r="B99" s="65" t="s">
        <v>325</v>
      </c>
      <c r="C99" s="65" t="s">
        <v>226</v>
      </c>
      <c r="D99" s="61">
        <v>40.5</v>
      </c>
    </row>
    <row r="100" spans="1:4" x14ac:dyDescent="0.25">
      <c r="A100" s="65" t="s">
        <v>856</v>
      </c>
      <c r="B100" s="65" t="s">
        <v>326</v>
      </c>
      <c r="C100" s="65" t="s">
        <v>275</v>
      </c>
      <c r="D100" s="61">
        <v>0</v>
      </c>
    </row>
    <row r="101" spans="1:4" x14ac:dyDescent="0.25">
      <c r="A101" s="65" t="s">
        <v>856</v>
      </c>
      <c r="B101" s="65" t="s">
        <v>327</v>
      </c>
      <c r="C101" s="65" t="s">
        <v>277</v>
      </c>
      <c r="D101" s="61">
        <v>0.5</v>
      </c>
    </row>
    <row r="102" spans="1:4" x14ac:dyDescent="0.25">
      <c r="A102" s="65" t="s">
        <v>856</v>
      </c>
      <c r="B102" s="65" t="s">
        <v>328</v>
      </c>
      <c r="C102" s="65" t="s">
        <v>277</v>
      </c>
      <c r="D102" s="61">
        <v>1</v>
      </c>
    </row>
    <row r="103" spans="1:4" x14ac:dyDescent="0.25">
      <c r="A103" s="65" t="s">
        <v>856</v>
      </c>
      <c r="B103" s="65" t="s">
        <v>329</v>
      </c>
      <c r="C103" s="65" t="s">
        <v>277</v>
      </c>
      <c r="D103" s="61">
        <v>2.5</v>
      </c>
    </row>
    <row r="104" spans="1:4" x14ac:dyDescent="0.25">
      <c r="A104" s="65" t="s">
        <v>856</v>
      </c>
      <c r="B104" s="65" t="s">
        <v>330</v>
      </c>
      <c r="C104" s="65" t="s">
        <v>277</v>
      </c>
      <c r="D104" s="61">
        <v>1</v>
      </c>
    </row>
    <row r="105" spans="1:4" x14ac:dyDescent="0.25">
      <c r="A105" s="65" t="s">
        <v>856</v>
      </c>
      <c r="B105" s="65" t="s">
        <v>331</v>
      </c>
      <c r="C105" s="65" t="s">
        <v>277</v>
      </c>
      <c r="D105" s="61">
        <v>1</v>
      </c>
    </row>
    <row r="106" spans="1:4" x14ac:dyDescent="0.25">
      <c r="A106" s="65" t="s">
        <v>856</v>
      </c>
      <c r="B106" s="65" t="s">
        <v>332</v>
      </c>
      <c r="C106" s="65" t="s">
        <v>277</v>
      </c>
      <c r="D106" s="61">
        <v>1</v>
      </c>
    </row>
    <row r="107" spans="1:4" x14ac:dyDescent="0.25">
      <c r="A107" s="65" t="s">
        <v>856</v>
      </c>
      <c r="B107" s="65" t="s">
        <v>333</v>
      </c>
      <c r="C107" s="65" t="s">
        <v>277</v>
      </c>
      <c r="D107" s="61">
        <v>1</v>
      </c>
    </row>
    <row r="108" spans="1:4" x14ac:dyDescent="0.25">
      <c r="A108" s="65" t="s">
        <v>193</v>
      </c>
      <c r="B108" s="65" t="s">
        <v>334</v>
      </c>
      <c r="C108" s="65" t="s">
        <v>226</v>
      </c>
      <c r="D108" s="61">
        <v>72</v>
      </c>
    </row>
    <row r="109" spans="1:4" x14ac:dyDescent="0.25">
      <c r="A109" s="65" t="s">
        <v>193</v>
      </c>
      <c r="B109" s="65" t="s">
        <v>335</v>
      </c>
      <c r="C109" s="65" t="s">
        <v>226</v>
      </c>
      <c r="D109" s="61">
        <v>59</v>
      </c>
    </row>
    <row r="110" spans="1:4" x14ac:dyDescent="0.25">
      <c r="A110" s="65" t="s">
        <v>193</v>
      </c>
      <c r="B110" s="65" t="s">
        <v>336</v>
      </c>
      <c r="C110" s="65" t="s">
        <v>226</v>
      </c>
      <c r="D110" s="61">
        <v>35</v>
      </c>
    </row>
    <row r="111" spans="1:4" x14ac:dyDescent="0.25">
      <c r="A111" s="65" t="s">
        <v>193</v>
      </c>
      <c r="B111" s="65" t="s">
        <v>337</v>
      </c>
      <c r="C111" s="65" t="s">
        <v>226</v>
      </c>
      <c r="D111" s="61">
        <v>50.5</v>
      </c>
    </row>
    <row r="112" spans="1:4" x14ac:dyDescent="0.25">
      <c r="A112" s="65" t="s">
        <v>193</v>
      </c>
      <c r="B112" s="65" t="s">
        <v>338</v>
      </c>
      <c r="C112" s="65" t="s">
        <v>226</v>
      </c>
      <c r="D112" s="61">
        <v>59</v>
      </c>
    </row>
    <row r="113" spans="1:4" x14ac:dyDescent="0.25">
      <c r="A113" s="65" t="s">
        <v>193</v>
      </c>
      <c r="B113" s="65" t="s">
        <v>339</v>
      </c>
      <c r="C113" s="65" t="s">
        <v>226</v>
      </c>
      <c r="D113" s="61">
        <v>55</v>
      </c>
    </row>
    <row r="114" spans="1:4" x14ac:dyDescent="0.25">
      <c r="A114" s="65" t="s">
        <v>193</v>
      </c>
      <c r="B114" s="65" t="s">
        <v>336</v>
      </c>
      <c r="C114" s="65" t="s">
        <v>232</v>
      </c>
      <c r="D114" s="61">
        <v>0</v>
      </c>
    </row>
    <row r="115" spans="1:4" x14ac:dyDescent="0.25">
      <c r="A115" s="65" t="s">
        <v>193</v>
      </c>
      <c r="B115" s="65" t="s">
        <v>340</v>
      </c>
      <c r="C115" s="65" t="s">
        <v>232</v>
      </c>
      <c r="D115" s="61">
        <v>0</v>
      </c>
    </row>
    <row r="116" spans="1:4" x14ac:dyDescent="0.25">
      <c r="A116" s="65" t="s">
        <v>193</v>
      </c>
      <c r="B116" s="65" t="s">
        <v>341</v>
      </c>
      <c r="C116" s="65" t="s">
        <v>232</v>
      </c>
      <c r="D116" s="61">
        <v>0</v>
      </c>
    </row>
    <row r="117" spans="1:4" x14ac:dyDescent="0.25">
      <c r="A117" s="65" t="s">
        <v>193</v>
      </c>
      <c r="B117" s="65" t="s">
        <v>342</v>
      </c>
      <c r="C117" s="65" t="s">
        <v>259</v>
      </c>
      <c r="D117" s="61">
        <v>26.5</v>
      </c>
    </row>
    <row r="118" spans="1:4" x14ac:dyDescent="0.25">
      <c r="A118" s="65" t="s">
        <v>864</v>
      </c>
      <c r="B118" s="65" t="s">
        <v>346</v>
      </c>
      <c r="C118" s="65" t="s">
        <v>226</v>
      </c>
      <c r="D118" s="61">
        <v>20</v>
      </c>
    </row>
    <row r="119" spans="1:4" x14ac:dyDescent="0.25">
      <c r="A119" s="65" t="s">
        <v>864</v>
      </c>
      <c r="B119" s="65" t="s">
        <v>347</v>
      </c>
      <c r="C119" s="65" t="s">
        <v>226</v>
      </c>
      <c r="D119" s="61">
        <v>12</v>
      </c>
    </row>
    <row r="120" spans="1:4" x14ac:dyDescent="0.25">
      <c r="A120" s="65" t="s">
        <v>864</v>
      </c>
      <c r="B120" s="65" t="s">
        <v>348</v>
      </c>
      <c r="C120" s="65" t="s">
        <v>226</v>
      </c>
      <c r="D120" s="61">
        <v>13</v>
      </c>
    </row>
    <row r="121" spans="1:4" x14ac:dyDescent="0.25">
      <c r="A121" s="65" t="s">
        <v>864</v>
      </c>
      <c r="B121" s="65" t="s">
        <v>352</v>
      </c>
      <c r="C121" s="65" t="s">
        <v>226</v>
      </c>
      <c r="D121" s="61">
        <v>18</v>
      </c>
    </row>
    <row r="122" spans="1:4" x14ac:dyDescent="0.25">
      <c r="A122" s="65" t="s">
        <v>864</v>
      </c>
      <c r="B122" s="65" t="s">
        <v>353</v>
      </c>
      <c r="C122" s="65" t="s">
        <v>226</v>
      </c>
      <c r="D122" s="61">
        <v>21.5</v>
      </c>
    </row>
    <row r="123" spans="1:4" x14ac:dyDescent="0.25">
      <c r="A123" s="65" t="s">
        <v>863</v>
      </c>
      <c r="B123" s="65" t="s">
        <v>343</v>
      </c>
      <c r="C123" s="65" t="s">
        <v>247</v>
      </c>
      <c r="D123" s="61">
        <v>0</v>
      </c>
    </row>
    <row r="124" spans="1:4" x14ac:dyDescent="0.25">
      <c r="A124" s="65" t="s">
        <v>863</v>
      </c>
      <c r="B124" s="65" t="s">
        <v>344</v>
      </c>
      <c r="C124" s="65" t="s">
        <v>247</v>
      </c>
      <c r="D124" s="61">
        <v>0</v>
      </c>
    </row>
    <row r="125" spans="1:4" x14ac:dyDescent="0.25">
      <c r="A125" s="65" t="s">
        <v>863</v>
      </c>
      <c r="B125" s="65" t="s">
        <v>345</v>
      </c>
      <c r="C125" s="65" t="s">
        <v>224</v>
      </c>
      <c r="D125" s="61">
        <v>0</v>
      </c>
    </row>
    <row r="126" spans="1:4" x14ac:dyDescent="0.25">
      <c r="A126" s="65" t="s">
        <v>863</v>
      </c>
      <c r="B126" s="65" t="s">
        <v>349</v>
      </c>
      <c r="C126" s="65" t="s">
        <v>226</v>
      </c>
      <c r="D126" s="61">
        <v>14.5</v>
      </c>
    </row>
    <row r="127" spans="1:4" x14ac:dyDescent="0.25">
      <c r="A127" s="65" t="s">
        <v>863</v>
      </c>
      <c r="B127" s="65" t="s">
        <v>350</v>
      </c>
      <c r="C127" s="65" t="s">
        <v>226</v>
      </c>
      <c r="D127" s="61">
        <v>20</v>
      </c>
    </row>
    <row r="128" spans="1:4" x14ac:dyDescent="0.25">
      <c r="A128" s="65" t="s">
        <v>863</v>
      </c>
      <c r="B128" s="65" t="s">
        <v>351</v>
      </c>
      <c r="C128" s="65" t="s">
        <v>226</v>
      </c>
      <c r="D128" s="61">
        <v>14</v>
      </c>
    </row>
    <row r="129" spans="1:4" x14ac:dyDescent="0.25">
      <c r="A129" s="65" t="s">
        <v>5</v>
      </c>
      <c r="B129" s="65" t="s">
        <v>354</v>
      </c>
      <c r="C129" s="65" t="s">
        <v>226</v>
      </c>
      <c r="D129" s="61">
        <v>64</v>
      </c>
    </row>
    <row r="130" spans="1:4" x14ac:dyDescent="0.25">
      <c r="A130" s="65" t="s">
        <v>5</v>
      </c>
      <c r="B130" s="65" t="s">
        <v>355</v>
      </c>
      <c r="C130" s="65" t="s">
        <v>226</v>
      </c>
      <c r="D130" s="61">
        <v>60</v>
      </c>
    </row>
    <row r="131" spans="1:4" x14ac:dyDescent="0.25">
      <c r="A131" s="65" t="s">
        <v>5</v>
      </c>
      <c r="B131" s="65" t="s">
        <v>356</v>
      </c>
      <c r="C131" s="65" t="s">
        <v>226</v>
      </c>
      <c r="D131" s="61">
        <v>41</v>
      </c>
    </row>
    <row r="132" spans="1:4" x14ac:dyDescent="0.25">
      <c r="A132" s="65" t="s">
        <v>5</v>
      </c>
      <c r="B132" s="65" t="s">
        <v>357</v>
      </c>
      <c r="C132" s="65" t="s">
        <v>226</v>
      </c>
      <c r="D132" s="61">
        <v>62</v>
      </c>
    </row>
    <row r="133" spans="1:4" x14ac:dyDescent="0.25">
      <c r="A133" s="65" t="s">
        <v>5</v>
      </c>
      <c r="B133" s="65" t="s">
        <v>358</v>
      </c>
      <c r="C133" s="65" t="s">
        <v>259</v>
      </c>
      <c r="D133" s="61">
        <v>0</v>
      </c>
    </row>
    <row r="134" spans="1:4" x14ac:dyDescent="0.25">
      <c r="A134" s="65" t="s">
        <v>6</v>
      </c>
      <c r="B134" s="65" t="s">
        <v>359</v>
      </c>
      <c r="C134" s="65" t="s">
        <v>247</v>
      </c>
      <c r="D134" s="61">
        <v>0</v>
      </c>
    </row>
    <row r="135" spans="1:4" x14ac:dyDescent="0.25">
      <c r="A135" s="65" t="s">
        <v>6</v>
      </c>
      <c r="B135" s="65" t="s">
        <v>360</v>
      </c>
      <c r="C135" s="65" t="s">
        <v>247</v>
      </c>
      <c r="D135" s="61">
        <v>0</v>
      </c>
    </row>
    <row r="136" spans="1:4" x14ac:dyDescent="0.25">
      <c r="A136" s="65" t="s">
        <v>6</v>
      </c>
      <c r="B136" s="65" t="s">
        <v>361</v>
      </c>
      <c r="C136" s="65" t="s">
        <v>247</v>
      </c>
      <c r="D136" s="61">
        <v>0</v>
      </c>
    </row>
    <row r="137" spans="1:4" x14ac:dyDescent="0.25">
      <c r="A137" s="65" t="s">
        <v>6</v>
      </c>
      <c r="B137" s="65" t="s">
        <v>362</v>
      </c>
      <c r="C137" s="65" t="s">
        <v>247</v>
      </c>
      <c r="D137" s="61">
        <v>0</v>
      </c>
    </row>
    <row r="138" spans="1:4" x14ac:dyDescent="0.25">
      <c r="A138" s="65" t="s">
        <v>6</v>
      </c>
      <c r="B138" s="65" t="s">
        <v>363</v>
      </c>
      <c r="C138" s="65" t="s">
        <v>247</v>
      </c>
      <c r="D138" s="61">
        <v>0</v>
      </c>
    </row>
    <row r="139" spans="1:4" x14ac:dyDescent="0.25">
      <c r="A139" s="65" t="s">
        <v>6</v>
      </c>
      <c r="B139" s="65" t="s">
        <v>364</v>
      </c>
      <c r="C139" s="65" t="s">
        <v>247</v>
      </c>
      <c r="D139" s="61">
        <v>0</v>
      </c>
    </row>
    <row r="140" spans="1:4" x14ac:dyDescent="0.25">
      <c r="A140" s="65" t="s">
        <v>6</v>
      </c>
      <c r="B140" s="65" t="s">
        <v>365</v>
      </c>
      <c r="C140" s="65" t="s">
        <v>247</v>
      </c>
      <c r="D140" s="61">
        <v>0</v>
      </c>
    </row>
    <row r="141" spans="1:4" x14ac:dyDescent="0.25">
      <c r="A141" s="65" t="s">
        <v>6</v>
      </c>
      <c r="B141" s="65" t="s">
        <v>366</v>
      </c>
      <c r="C141" s="65" t="s">
        <v>226</v>
      </c>
      <c r="D141" s="61">
        <v>51</v>
      </c>
    </row>
    <row r="142" spans="1:4" x14ac:dyDescent="0.25">
      <c r="A142" s="65" t="s">
        <v>6</v>
      </c>
      <c r="B142" s="65" t="s">
        <v>367</v>
      </c>
      <c r="C142" s="65" t="s">
        <v>226</v>
      </c>
      <c r="D142" s="61">
        <v>40</v>
      </c>
    </row>
    <row r="143" spans="1:4" x14ac:dyDescent="0.25">
      <c r="A143" s="65" t="s">
        <v>6</v>
      </c>
      <c r="B143" s="65" t="s">
        <v>368</v>
      </c>
      <c r="C143" s="65" t="s">
        <v>226</v>
      </c>
      <c r="D143" s="61">
        <v>17</v>
      </c>
    </row>
    <row r="144" spans="1:4" x14ac:dyDescent="0.25">
      <c r="A144" s="65" t="s">
        <v>6</v>
      </c>
      <c r="B144" s="65" t="s">
        <v>369</v>
      </c>
      <c r="C144" s="65" t="s">
        <v>226</v>
      </c>
      <c r="D144" s="61">
        <v>40</v>
      </c>
    </row>
    <row r="145" spans="1:4" x14ac:dyDescent="0.25">
      <c r="A145" s="65" t="s">
        <v>6</v>
      </c>
      <c r="B145" s="65" t="s">
        <v>370</v>
      </c>
      <c r="C145" s="65" t="s">
        <v>226</v>
      </c>
      <c r="D145" s="61">
        <v>40</v>
      </c>
    </row>
    <row r="146" spans="1:4" x14ac:dyDescent="0.25">
      <c r="A146" s="65" t="s">
        <v>6</v>
      </c>
      <c r="B146" s="65" t="s">
        <v>371</v>
      </c>
      <c r="C146" s="65" t="s">
        <v>226</v>
      </c>
      <c r="D146" s="61">
        <v>40</v>
      </c>
    </row>
    <row r="147" spans="1:4" x14ac:dyDescent="0.25">
      <c r="A147" s="65" t="s">
        <v>6</v>
      </c>
      <c r="B147" s="65" t="s">
        <v>372</v>
      </c>
      <c r="C147" s="65" t="s">
        <v>275</v>
      </c>
      <c r="D147" s="61">
        <v>0</v>
      </c>
    </row>
    <row r="148" spans="1:4" x14ac:dyDescent="0.25">
      <c r="A148" s="65" t="s">
        <v>6</v>
      </c>
      <c r="B148" s="65" t="s">
        <v>373</v>
      </c>
      <c r="C148" s="65" t="s">
        <v>275</v>
      </c>
      <c r="D148" s="61">
        <v>0</v>
      </c>
    </row>
    <row r="149" spans="1:4" x14ac:dyDescent="0.25">
      <c r="A149" s="65" t="s">
        <v>6</v>
      </c>
      <c r="B149" s="65" t="s">
        <v>366</v>
      </c>
      <c r="C149" s="65" t="s">
        <v>275</v>
      </c>
      <c r="D149" s="61">
        <v>0</v>
      </c>
    </row>
    <row r="150" spans="1:4" x14ac:dyDescent="0.25">
      <c r="A150" s="65" t="s">
        <v>6</v>
      </c>
      <c r="B150" s="65" t="s">
        <v>374</v>
      </c>
      <c r="C150" s="65" t="s">
        <v>277</v>
      </c>
      <c r="D150" s="61">
        <v>0.75</v>
      </c>
    </row>
    <row r="151" spans="1:4" x14ac:dyDescent="0.25">
      <c r="A151" s="65" t="s">
        <v>6</v>
      </c>
      <c r="B151" s="65" t="s">
        <v>375</v>
      </c>
      <c r="C151" s="65" t="s">
        <v>277</v>
      </c>
      <c r="D151" s="61">
        <v>0.5</v>
      </c>
    </row>
    <row r="152" spans="1:4" x14ac:dyDescent="0.25">
      <c r="A152" s="65" t="s">
        <v>6</v>
      </c>
      <c r="B152" s="65" t="s">
        <v>376</v>
      </c>
      <c r="C152" s="65" t="s">
        <v>277</v>
      </c>
      <c r="D152" s="61">
        <v>0.5</v>
      </c>
    </row>
    <row r="153" spans="1:4" x14ac:dyDescent="0.25">
      <c r="A153" s="65" t="s">
        <v>6</v>
      </c>
      <c r="B153" s="65" t="s">
        <v>377</v>
      </c>
      <c r="C153" s="65" t="s">
        <v>277</v>
      </c>
      <c r="D153" s="61">
        <v>0.5</v>
      </c>
    </row>
    <row r="154" spans="1:4" x14ac:dyDescent="0.25">
      <c r="A154" s="65" t="s">
        <v>6</v>
      </c>
      <c r="B154" s="65" t="s">
        <v>359</v>
      </c>
      <c r="C154" s="65" t="s">
        <v>277</v>
      </c>
      <c r="D154" s="61">
        <v>0.5</v>
      </c>
    </row>
    <row r="155" spans="1:4" x14ac:dyDescent="0.25">
      <c r="A155" s="65" t="s">
        <v>6</v>
      </c>
      <c r="B155" s="65" t="s">
        <v>364</v>
      </c>
      <c r="C155" s="65" t="s">
        <v>277</v>
      </c>
      <c r="D155" s="61">
        <v>0.5</v>
      </c>
    </row>
    <row r="156" spans="1:4" x14ac:dyDescent="0.25">
      <c r="A156" s="65" t="s">
        <v>6</v>
      </c>
      <c r="B156" s="65" t="s">
        <v>360</v>
      </c>
      <c r="C156" s="65" t="s">
        <v>277</v>
      </c>
      <c r="D156" s="61">
        <v>1</v>
      </c>
    </row>
    <row r="157" spans="1:4" x14ac:dyDescent="0.25">
      <c r="A157" s="65" t="s">
        <v>6</v>
      </c>
      <c r="B157" s="65" t="s">
        <v>378</v>
      </c>
      <c r="C157" s="65" t="s">
        <v>277</v>
      </c>
      <c r="D157" s="61">
        <v>0.5</v>
      </c>
    </row>
    <row r="158" spans="1:4" x14ac:dyDescent="0.25">
      <c r="A158" s="65" t="s">
        <v>6</v>
      </c>
      <c r="B158" s="65" t="s">
        <v>379</v>
      </c>
      <c r="C158" s="65" t="s">
        <v>277</v>
      </c>
      <c r="D158" s="61">
        <v>0.25</v>
      </c>
    </row>
    <row r="159" spans="1:4" x14ac:dyDescent="0.25">
      <c r="A159" s="65" t="s">
        <v>6</v>
      </c>
      <c r="B159" s="65" t="s">
        <v>380</v>
      </c>
      <c r="C159" s="65" t="s">
        <v>277</v>
      </c>
      <c r="D159" s="61">
        <v>0.3</v>
      </c>
    </row>
    <row r="160" spans="1:4" x14ac:dyDescent="0.25">
      <c r="A160" s="65" t="s">
        <v>6</v>
      </c>
      <c r="B160" s="65" t="s">
        <v>381</v>
      </c>
      <c r="C160" s="65" t="s">
        <v>277</v>
      </c>
      <c r="D160" s="61">
        <v>1</v>
      </c>
    </row>
    <row r="161" spans="1:4" x14ac:dyDescent="0.25">
      <c r="A161" s="65" t="s">
        <v>6</v>
      </c>
      <c r="B161" s="65" t="s">
        <v>382</v>
      </c>
      <c r="C161" s="65" t="s">
        <v>277</v>
      </c>
      <c r="D161" s="61">
        <v>0.25</v>
      </c>
    </row>
    <row r="162" spans="1:4" x14ac:dyDescent="0.25">
      <c r="A162" s="65" t="s">
        <v>6</v>
      </c>
      <c r="B162" s="65" t="s">
        <v>383</v>
      </c>
      <c r="C162" s="65" t="s">
        <v>277</v>
      </c>
      <c r="D162" s="61">
        <v>0.5</v>
      </c>
    </row>
    <row r="163" spans="1:4" x14ac:dyDescent="0.25">
      <c r="A163" s="65" t="s">
        <v>6</v>
      </c>
      <c r="B163" s="65" t="s">
        <v>384</v>
      </c>
      <c r="C163" s="65" t="s">
        <v>277</v>
      </c>
      <c r="D163" s="61">
        <v>0.5</v>
      </c>
    </row>
    <row r="164" spans="1:4" x14ac:dyDescent="0.25">
      <c r="A164" s="65" t="s">
        <v>6</v>
      </c>
      <c r="B164" s="65" t="s">
        <v>365</v>
      </c>
      <c r="C164" s="65" t="s">
        <v>277</v>
      </c>
      <c r="D164" s="61">
        <v>1</v>
      </c>
    </row>
    <row r="165" spans="1:4" x14ac:dyDescent="0.25">
      <c r="A165" s="65" t="s">
        <v>6</v>
      </c>
      <c r="B165" s="65" t="s">
        <v>385</v>
      </c>
      <c r="C165" s="65" t="s">
        <v>277</v>
      </c>
      <c r="D165" s="61">
        <v>0.5</v>
      </c>
    </row>
    <row r="166" spans="1:4" x14ac:dyDescent="0.25">
      <c r="A166" s="65" t="s">
        <v>6</v>
      </c>
      <c r="B166" s="65" t="s">
        <v>386</v>
      </c>
      <c r="C166" s="65" t="s">
        <v>277</v>
      </c>
      <c r="D166" s="61">
        <v>0.5</v>
      </c>
    </row>
    <row r="167" spans="1:4" x14ac:dyDescent="0.25">
      <c r="A167" s="65" t="s">
        <v>6</v>
      </c>
      <c r="B167" s="65" t="s">
        <v>387</v>
      </c>
      <c r="C167" s="65" t="s">
        <v>277</v>
      </c>
      <c r="D167" s="61">
        <v>0.5</v>
      </c>
    </row>
    <row r="168" spans="1:4" x14ac:dyDescent="0.25">
      <c r="A168" s="65" t="s">
        <v>6</v>
      </c>
      <c r="B168" s="65" t="s">
        <v>388</v>
      </c>
      <c r="C168" s="65" t="s">
        <v>277</v>
      </c>
      <c r="D168" s="61">
        <v>0.5</v>
      </c>
    </row>
    <row r="169" spans="1:4" x14ac:dyDescent="0.25">
      <c r="A169" s="65" t="s">
        <v>6</v>
      </c>
      <c r="B169" s="65" t="s">
        <v>389</v>
      </c>
      <c r="C169" s="65" t="s">
        <v>277</v>
      </c>
      <c r="D169" s="61">
        <v>0.5</v>
      </c>
    </row>
    <row r="170" spans="1:4" x14ac:dyDescent="0.25">
      <c r="A170" s="65" t="s">
        <v>6</v>
      </c>
      <c r="B170" s="65" t="s">
        <v>390</v>
      </c>
      <c r="C170" s="65" t="s">
        <v>277</v>
      </c>
      <c r="D170" s="61">
        <v>0.75</v>
      </c>
    </row>
    <row r="171" spans="1:4" x14ac:dyDescent="0.25">
      <c r="A171" s="65" t="s">
        <v>6</v>
      </c>
      <c r="B171" s="65" t="s">
        <v>391</v>
      </c>
      <c r="C171" s="65" t="s">
        <v>277</v>
      </c>
      <c r="D171" s="61">
        <v>0.3</v>
      </c>
    </row>
    <row r="172" spans="1:4" x14ac:dyDescent="0.25">
      <c r="A172" s="65" t="s">
        <v>6</v>
      </c>
      <c r="B172" s="65" t="s">
        <v>392</v>
      </c>
      <c r="C172" s="65" t="s">
        <v>277</v>
      </c>
      <c r="D172" s="61">
        <v>0.3</v>
      </c>
    </row>
    <row r="173" spans="1:4" x14ac:dyDescent="0.25">
      <c r="A173" s="65" t="s">
        <v>6</v>
      </c>
      <c r="B173" s="65" t="s">
        <v>393</v>
      </c>
      <c r="C173" s="65" t="s">
        <v>277</v>
      </c>
      <c r="D173" s="61">
        <v>0.5</v>
      </c>
    </row>
    <row r="174" spans="1:4" x14ac:dyDescent="0.25">
      <c r="A174" s="65" t="s">
        <v>6</v>
      </c>
      <c r="B174" s="65" t="s">
        <v>394</v>
      </c>
      <c r="C174" s="65" t="s">
        <v>277</v>
      </c>
      <c r="D174" s="61">
        <v>0.25</v>
      </c>
    </row>
    <row r="175" spans="1:4" x14ac:dyDescent="0.25">
      <c r="A175" s="65" t="s">
        <v>6</v>
      </c>
      <c r="B175" s="65" t="s">
        <v>367</v>
      </c>
      <c r="C175" s="65" t="s">
        <v>277</v>
      </c>
      <c r="D175" s="61">
        <v>1</v>
      </c>
    </row>
    <row r="176" spans="1:4" x14ac:dyDescent="0.25">
      <c r="A176" s="65" t="s">
        <v>6</v>
      </c>
      <c r="B176" s="65" t="s">
        <v>395</v>
      </c>
      <c r="C176" s="65" t="s">
        <v>277</v>
      </c>
      <c r="D176" s="61">
        <v>0.5</v>
      </c>
    </row>
    <row r="177" spans="1:4" x14ac:dyDescent="0.25">
      <c r="A177" s="65" t="s">
        <v>6</v>
      </c>
      <c r="B177" s="65" t="s">
        <v>396</v>
      </c>
      <c r="C177" s="65" t="s">
        <v>277</v>
      </c>
      <c r="D177" s="61">
        <v>0.5</v>
      </c>
    </row>
    <row r="178" spans="1:4" x14ac:dyDescent="0.25">
      <c r="A178" s="65" t="s">
        <v>6</v>
      </c>
      <c r="B178" s="65" t="s">
        <v>397</v>
      </c>
      <c r="C178" s="65" t="s">
        <v>277</v>
      </c>
      <c r="D178" s="61">
        <v>0.25</v>
      </c>
    </row>
    <row r="179" spans="1:4" x14ac:dyDescent="0.25">
      <c r="A179" s="65" t="s">
        <v>6</v>
      </c>
      <c r="B179" s="65" t="s">
        <v>398</v>
      </c>
      <c r="C179" s="65" t="s">
        <v>277</v>
      </c>
      <c r="D179" s="61">
        <v>0.5</v>
      </c>
    </row>
    <row r="180" spans="1:4" x14ac:dyDescent="0.25">
      <c r="A180" s="65" t="s">
        <v>6</v>
      </c>
      <c r="B180" s="65" t="s">
        <v>399</v>
      </c>
      <c r="C180" s="65" t="s">
        <v>277</v>
      </c>
      <c r="D180" s="61">
        <v>0.5</v>
      </c>
    </row>
    <row r="181" spans="1:4" x14ac:dyDescent="0.25">
      <c r="A181" s="65" t="s">
        <v>6</v>
      </c>
      <c r="B181" s="65" t="s">
        <v>400</v>
      </c>
      <c r="C181" s="65" t="s">
        <v>277</v>
      </c>
      <c r="D181" s="61">
        <v>1</v>
      </c>
    </row>
    <row r="182" spans="1:4" x14ac:dyDescent="0.25">
      <c r="A182" s="65" t="s">
        <v>6</v>
      </c>
      <c r="B182" s="65" t="s">
        <v>401</v>
      </c>
      <c r="C182" s="65" t="s">
        <v>277</v>
      </c>
      <c r="D182" s="61">
        <v>0.5</v>
      </c>
    </row>
    <row r="183" spans="1:4" x14ac:dyDescent="0.25">
      <c r="A183" s="65" t="s">
        <v>6</v>
      </c>
      <c r="B183" s="65" t="s">
        <v>402</v>
      </c>
      <c r="C183" s="65" t="s">
        <v>277</v>
      </c>
      <c r="D183" s="61">
        <v>0.5</v>
      </c>
    </row>
    <row r="184" spans="1:4" x14ac:dyDescent="0.25">
      <c r="A184" s="65" t="s">
        <v>6</v>
      </c>
      <c r="B184" s="65" t="s">
        <v>403</v>
      </c>
      <c r="C184" s="65" t="s">
        <v>277</v>
      </c>
      <c r="D184" s="61">
        <v>0.5</v>
      </c>
    </row>
    <row r="185" spans="1:4" x14ac:dyDescent="0.25">
      <c r="A185" s="65" t="s">
        <v>6</v>
      </c>
      <c r="B185" s="65" t="s">
        <v>404</v>
      </c>
      <c r="C185" s="65" t="s">
        <v>277</v>
      </c>
      <c r="D185" s="61">
        <v>0.5</v>
      </c>
    </row>
    <row r="186" spans="1:4" x14ac:dyDescent="0.25">
      <c r="A186" s="65" t="s">
        <v>6</v>
      </c>
      <c r="B186" s="65" t="s">
        <v>405</v>
      </c>
      <c r="C186" s="65" t="s">
        <v>277</v>
      </c>
      <c r="D186" s="61">
        <v>0.25</v>
      </c>
    </row>
    <row r="187" spans="1:4" x14ac:dyDescent="0.25">
      <c r="A187" s="65" t="s">
        <v>6</v>
      </c>
      <c r="B187" s="65" t="s">
        <v>370</v>
      </c>
      <c r="C187" s="65" t="s">
        <v>277</v>
      </c>
      <c r="D187" s="61">
        <v>0.25</v>
      </c>
    </row>
    <row r="188" spans="1:4" x14ac:dyDescent="0.25">
      <c r="A188" s="65" t="s">
        <v>6</v>
      </c>
      <c r="B188" s="65" t="s">
        <v>406</v>
      </c>
      <c r="C188" s="65" t="s">
        <v>277</v>
      </c>
      <c r="D188" s="61">
        <v>0.3</v>
      </c>
    </row>
    <row r="189" spans="1:4" x14ac:dyDescent="0.25">
      <c r="A189" s="65" t="s">
        <v>6</v>
      </c>
      <c r="B189" s="65" t="s">
        <v>407</v>
      </c>
      <c r="C189" s="65" t="s">
        <v>277</v>
      </c>
      <c r="D189" s="61">
        <v>0.5</v>
      </c>
    </row>
    <row r="190" spans="1:4" x14ac:dyDescent="0.25">
      <c r="A190" s="65" t="s">
        <v>6</v>
      </c>
      <c r="B190" s="65" t="s">
        <v>408</v>
      </c>
      <c r="C190" s="65" t="s">
        <v>277</v>
      </c>
      <c r="D190" s="61">
        <v>0.5</v>
      </c>
    </row>
    <row r="191" spans="1:4" x14ac:dyDescent="0.25">
      <c r="A191" s="65" t="s">
        <v>6</v>
      </c>
      <c r="B191" s="65" t="s">
        <v>409</v>
      </c>
      <c r="C191" s="65" t="s">
        <v>277</v>
      </c>
      <c r="D191" s="61">
        <v>0.5</v>
      </c>
    </row>
    <row r="192" spans="1:4" x14ac:dyDescent="0.25">
      <c r="A192" s="65" t="s">
        <v>6</v>
      </c>
      <c r="B192" s="65" t="s">
        <v>410</v>
      </c>
      <c r="C192" s="65" t="s">
        <v>277</v>
      </c>
      <c r="D192" s="61">
        <v>0.75</v>
      </c>
    </row>
    <row r="193" spans="1:4" x14ac:dyDescent="0.25">
      <c r="A193" s="65" t="s">
        <v>6</v>
      </c>
      <c r="B193" s="65" t="s">
        <v>411</v>
      </c>
      <c r="C193" s="65" t="s">
        <v>277</v>
      </c>
      <c r="D193" s="61">
        <v>0.5</v>
      </c>
    </row>
    <row r="194" spans="1:4" x14ac:dyDescent="0.25">
      <c r="A194" s="65" t="s">
        <v>6</v>
      </c>
      <c r="B194" s="65" t="s">
        <v>412</v>
      </c>
      <c r="C194" s="65" t="s">
        <v>277</v>
      </c>
      <c r="D194" s="61">
        <v>0.5</v>
      </c>
    </row>
    <row r="195" spans="1:4" x14ac:dyDescent="0.25">
      <c r="A195" s="65" t="s">
        <v>6</v>
      </c>
      <c r="B195" s="65" t="s">
        <v>413</v>
      </c>
      <c r="C195" s="65" t="s">
        <v>277</v>
      </c>
      <c r="D195" s="61">
        <v>0.5</v>
      </c>
    </row>
    <row r="196" spans="1:4" x14ac:dyDescent="0.25">
      <c r="A196" s="65" t="s">
        <v>6</v>
      </c>
      <c r="B196" s="65" t="s">
        <v>414</v>
      </c>
      <c r="C196" s="65" t="s">
        <v>277</v>
      </c>
      <c r="D196" s="61">
        <v>0.5</v>
      </c>
    </row>
    <row r="197" spans="1:4" x14ac:dyDescent="0.25">
      <c r="A197" s="65" t="s">
        <v>7</v>
      </c>
      <c r="B197" s="65" t="s">
        <v>415</v>
      </c>
      <c r="C197" s="65" t="s">
        <v>247</v>
      </c>
      <c r="D197" s="61">
        <v>0</v>
      </c>
    </row>
    <row r="198" spans="1:4" x14ac:dyDescent="0.25">
      <c r="A198" s="65" t="s">
        <v>7</v>
      </c>
      <c r="B198" s="65" t="s">
        <v>416</v>
      </c>
      <c r="C198" s="65" t="s">
        <v>247</v>
      </c>
      <c r="D198" s="61">
        <v>0</v>
      </c>
    </row>
    <row r="199" spans="1:4" x14ac:dyDescent="0.25">
      <c r="A199" s="65" t="s">
        <v>7</v>
      </c>
      <c r="B199" s="65" t="s">
        <v>417</v>
      </c>
      <c r="C199" s="65" t="s">
        <v>247</v>
      </c>
      <c r="D199" s="61">
        <v>0</v>
      </c>
    </row>
    <row r="200" spans="1:4" x14ac:dyDescent="0.25">
      <c r="A200" s="65" t="s">
        <v>7</v>
      </c>
      <c r="B200" s="65" t="s">
        <v>418</v>
      </c>
      <c r="C200" s="65" t="s">
        <v>247</v>
      </c>
      <c r="D200" s="61">
        <v>0</v>
      </c>
    </row>
    <row r="201" spans="1:4" x14ac:dyDescent="0.25">
      <c r="A201" s="65" t="s">
        <v>7</v>
      </c>
      <c r="B201" s="65" t="s">
        <v>419</v>
      </c>
      <c r="C201" s="65" t="s">
        <v>226</v>
      </c>
      <c r="D201" s="61">
        <v>50</v>
      </c>
    </row>
    <row r="202" spans="1:4" x14ac:dyDescent="0.25">
      <c r="A202" s="65" t="s">
        <v>7</v>
      </c>
      <c r="B202" s="65" t="s">
        <v>7</v>
      </c>
      <c r="C202" s="65" t="s">
        <v>226</v>
      </c>
      <c r="D202" s="61">
        <v>62</v>
      </c>
    </row>
    <row r="203" spans="1:4" x14ac:dyDescent="0.25">
      <c r="A203" s="65" t="s">
        <v>7</v>
      </c>
      <c r="B203" s="65" t="s">
        <v>420</v>
      </c>
      <c r="C203" s="65" t="s">
        <v>226</v>
      </c>
      <c r="D203" s="61">
        <v>43</v>
      </c>
    </row>
    <row r="204" spans="1:4" x14ac:dyDescent="0.25">
      <c r="A204" s="65" t="s">
        <v>7</v>
      </c>
      <c r="B204" s="65" t="s">
        <v>421</v>
      </c>
      <c r="C204" s="65" t="s">
        <v>259</v>
      </c>
      <c r="D204" s="61">
        <v>0</v>
      </c>
    </row>
    <row r="205" spans="1:4" x14ac:dyDescent="0.25">
      <c r="A205" s="65" t="s">
        <v>8</v>
      </c>
      <c r="B205" s="65" t="s">
        <v>422</v>
      </c>
      <c r="C205" s="65" t="s">
        <v>247</v>
      </c>
      <c r="D205" s="61">
        <v>0</v>
      </c>
    </row>
    <row r="206" spans="1:4" x14ac:dyDescent="0.25">
      <c r="A206" s="65" t="s">
        <v>8</v>
      </c>
      <c r="B206" s="65" t="s">
        <v>423</v>
      </c>
      <c r="C206" s="65" t="s">
        <v>226</v>
      </c>
      <c r="D206" s="61">
        <v>26</v>
      </c>
    </row>
    <row r="207" spans="1:4" x14ac:dyDescent="0.25">
      <c r="A207" s="65" t="s">
        <v>8</v>
      </c>
      <c r="B207" s="65" t="s">
        <v>424</v>
      </c>
      <c r="C207" s="65" t="s">
        <v>226</v>
      </c>
      <c r="D207" s="61">
        <v>37</v>
      </c>
    </row>
    <row r="208" spans="1:4" x14ac:dyDescent="0.25">
      <c r="A208" s="65" t="s">
        <v>8</v>
      </c>
      <c r="B208" s="65" t="s">
        <v>425</v>
      </c>
      <c r="C208" s="65" t="s">
        <v>226</v>
      </c>
      <c r="D208" s="61">
        <v>4</v>
      </c>
    </row>
    <row r="209" spans="1:4" x14ac:dyDescent="0.25">
      <c r="A209" s="65" t="s">
        <v>52</v>
      </c>
      <c r="B209" s="65" t="s">
        <v>445</v>
      </c>
      <c r="C209" s="65" t="s">
        <v>286</v>
      </c>
      <c r="D209" s="61">
        <v>0</v>
      </c>
    </row>
    <row r="210" spans="1:4" x14ac:dyDescent="0.25">
      <c r="A210" s="65" t="s">
        <v>52</v>
      </c>
      <c r="B210" s="65" t="s">
        <v>446</v>
      </c>
      <c r="C210" s="65" t="s">
        <v>275</v>
      </c>
      <c r="D210" s="61">
        <v>0</v>
      </c>
    </row>
    <row r="211" spans="1:4" x14ac:dyDescent="0.25">
      <c r="A211" s="65" t="s">
        <v>52</v>
      </c>
      <c r="B211" s="65" t="s">
        <v>447</v>
      </c>
      <c r="C211" s="65" t="s">
        <v>275</v>
      </c>
      <c r="D211" s="61">
        <v>0</v>
      </c>
    </row>
    <row r="212" spans="1:4" x14ac:dyDescent="0.25">
      <c r="A212" s="65" t="s">
        <v>52</v>
      </c>
      <c r="B212" s="65" t="s">
        <v>449</v>
      </c>
      <c r="C212" s="65" t="s">
        <v>277</v>
      </c>
      <c r="D212" s="61">
        <v>1</v>
      </c>
    </row>
    <row r="213" spans="1:4" x14ac:dyDescent="0.25">
      <c r="A213" s="65" t="s">
        <v>52</v>
      </c>
      <c r="B213" s="65" t="s">
        <v>451</v>
      </c>
      <c r="C213" s="65" t="s">
        <v>277</v>
      </c>
      <c r="D213" s="61">
        <v>0.75</v>
      </c>
    </row>
    <row r="214" spans="1:4" x14ac:dyDescent="0.25">
      <c r="A214" s="65" t="s">
        <v>52</v>
      </c>
      <c r="B214" s="65" t="s">
        <v>452</v>
      </c>
      <c r="C214" s="65" t="s">
        <v>277</v>
      </c>
      <c r="D214" s="61">
        <v>0.25</v>
      </c>
    </row>
    <row r="215" spans="1:4" x14ac:dyDescent="0.25">
      <c r="A215" s="65" t="s">
        <v>52</v>
      </c>
      <c r="B215" s="65" t="s">
        <v>453</v>
      </c>
      <c r="C215" s="65" t="s">
        <v>277</v>
      </c>
      <c r="D215" s="61">
        <v>0.75</v>
      </c>
    </row>
    <row r="216" spans="1:4" x14ac:dyDescent="0.25">
      <c r="A216" s="65" t="s">
        <v>52</v>
      </c>
      <c r="B216" s="65" t="s">
        <v>454</v>
      </c>
      <c r="C216" s="65" t="s">
        <v>277</v>
      </c>
      <c r="D216" s="61">
        <v>0.75</v>
      </c>
    </row>
    <row r="217" spans="1:4" x14ac:dyDescent="0.25">
      <c r="A217" s="65" t="s">
        <v>52</v>
      </c>
      <c r="B217" s="65" t="s">
        <v>455</v>
      </c>
      <c r="C217" s="65" t="s">
        <v>277</v>
      </c>
      <c r="D217" s="61">
        <v>0.75</v>
      </c>
    </row>
    <row r="218" spans="1:4" x14ac:dyDescent="0.25">
      <c r="A218" s="65" t="s">
        <v>52</v>
      </c>
      <c r="B218" s="65" t="s">
        <v>456</v>
      </c>
      <c r="C218" s="65" t="s">
        <v>277</v>
      </c>
      <c r="D218" s="61">
        <v>0.5</v>
      </c>
    </row>
    <row r="219" spans="1:4" x14ac:dyDescent="0.25">
      <c r="A219" s="65" t="s">
        <v>52</v>
      </c>
      <c r="B219" s="65" t="s">
        <v>458</v>
      </c>
      <c r="C219" s="65" t="s">
        <v>277</v>
      </c>
      <c r="D219" s="61">
        <v>0.56999999999999995</v>
      </c>
    </row>
    <row r="220" spans="1:4" x14ac:dyDescent="0.25">
      <c r="A220" s="65" t="s">
        <v>52</v>
      </c>
      <c r="B220" s="65" t="s">
        <v>459</v>
      </c>
      <c r="C220" s="65" t="s">
        <v>277</v>
      </c>
      <c r="D220" s="61">
        <v>1</v>
      </c>
    </row>
    <row r="221" spans="1:4" x14ac:dyDescent="0.25">
      <c r="A221" s="65" t="s">
        <v>52</v>
      </c>
      <c r="B221" s="65" t="s">
        <v>460</v>
      </c>
      <c r="C221" s="65" t="s">
        <v>277</v>
      </c>
      <c r="D221" s="61">
        <v>0.75</v>
      </c>
    </row>
    <row r="222" spans="1:4" x14ac:dyDescent="0.25">
      <c r="A222" s="65" t="s">
        <v>52</v>
      </c>
      <c r="B222" s="65" t="s">
        <v>461</v>
      </c>
      <c r="C222" s="65" t="s">
        <v>277</v>
      </c>
      <c r="D222" s="61">
        <v>0.5</v>
      </c>
    </row>
    <row r="223" spans="1:4" x14ac:dyDescent="0.25">
      <c r="A223" s="65" t="s">
        <v>52</v>
      </c>
      <c r="B223" s="65" t="s">
        <v>462</v>
      </c>
      <c r="C223" s="65" t="s">
        <v>277</v>
      </c>
      <c r="D223" s="61">
        <v>0.17</v>
      </c>
    </row>
    <row r="224" spans="1:4" x14ac:dyDescent="0.25">
      <c r="A224" s="65" t="s">
        <v>52</v>
      </c>
      <c r="B224" s="65" t="s">
        <v>463</v>
      </c>
      <c r="C224" s="65" t="s">
        <v>277</v>
      </c>
      <c r="D224" s="61">
        <v>1</v>
      </c>
    </row>
    <row r="225" spans="1:4" x14ac:dyDescent="0.25">
      <c r="A225" s="65" t="s">
        <v>52</v>
      </c>
      <c r="B225" s="65" t="s">
        <v>464</v>
      </c>
      <c r="C225" s="65" t="s">
        <v>277</v>
      </c>
      <c r="D225" s="61">
        <v>0.75</v>
      </c>
    </row>
    <row r="226" spans="1:4" x14ac:dyDescent="0.25">
      <c r="A226" s="65" t="s">
        <v>52</v>
      </c>
      <c r="B226" s="65" t="s">
        <v>465</v>
      </c>
      <c r="C226" s="65" t="s">
        <v>277</v>
      </c>
      <c r="D226" s="61">
        <v>1.25</v>
      </c>
    </row>
    <row r="227" spans="1:4" x14ac:dyDescent="0.25">
      <c r="A227" s="65" t="s">
        <v>52</v>
      </c>
      <c r="B227" s="65" t="s">
        <v>466</v>
      </c>
      <c r="C227" s="65" t="s">
        <v>277</v>
      </c>
      <c r="D227" s="61">
        <v>3</v>
      </c>
    </row>
    <row r="228" spans="1:4" x14ac:dyDescent="0.25">
      <c r="A228" s="65" t="s">
        <v>52</v>
      </c>
      <c r="B228" s="65" t="s">
        <v>467</v>
      </c>
      <c r="C228" s="65" t="s">
        <v>277</v>
      </c>
      <c r="D228" s="61">
        <v>1.5</v>
      </c>
    </row>
    <row r="229" spans="1:4" x14ac:dyDescent="0.25">
      <c r="A229" s="65" t="s">
        <v>52</v>
      </c>
      <c r="B229" s="65" t="s">
        <v>468</v>
      </c>
      <c r="C229" s="65" t="s">
        <v>277</v>
      </c>
      <c r="D229" s="61">
        <v>6</v>
      </c>
    </row>
    <row r="230" spans="1:4" x14ac:dyDescent="0.25">
      <c r="A230" s="65" t="s">
        <v>52</v>
      </c>
      <c r="B230" s="65" t="s">
        <v>469</v>
      </c>
      <c r="C230" s="65" t="s">
        <v>277</v>
      </c>
      <c r="D230" s="61">
        <v>1.25</v>
      </c>
    </row>
    <row r="231" spans="1:4" x14ac:dyDescent="0.25">
      <c r="A231" s="65" t="s">
        <v>52</v>
      </c>
      <c r="B231" s="65" t="s">
        <v>470</v>
      </c>
      <c r="C231" s="65" t="s">
        <v>277</v>
      </c>
      <c r="D231" s="61">
        <v>2.19</v>
      </c>
    </row>
    <row r="232" spans="1:4" x14ac:dyDescent="0.25">
      <c r="A232" s="65" t="s">
        <v>52</v>
      </c>
      <c r="B232" s="65" t="s">
        <v>471</v>
      </c>
      <c r="C232" s="65" t="s">
        <v>277</v>
      </c>
      <c r="D232" s="61">
        <v>2</v>
      </c>
    </row>
    <row r="233" spans="1:4" x14ac:dyDescent="0.25">
      <c r="A233" s="65" t="s">
        <v>52</v>
      </c>
      <c r="B233" s="65" t="s">
        <v>473</v>
      </c>
      <c r="C233" s="65" t="s">
        <v>259</v>
      </c>
      <c r="D233" s="61">
        <v>0</v>
      </c>
    </row>
    <row r="234" spans="1:4" x14ac:dyDescent="0.25">
      <c r="A234" s="65" t="s">
        <v>865</v>
      </c>
      <c r="B234" s="65" t="s">
        <v>426</v>
      </c>
      <c r="C234" s="65" t="s">
        <v>226</v>
      </c>
      <c r="D234" s="61">
        <v>19</v>
      </c>
    </row>
    <row r="235" spans="1:4" x14ac:dyDescent="0.25">
      <c r="A235" s="65" t="s">
        <v>865</v>
      </c>
      <c r="B235" s="65" t="s">
        <v>431</v>
      </c>
      <c r="C235" s="65" t="s">
        <v>226</v>
      </c>
      <c r="D235" s="61">
        <v>48</v>
      </c>
    </row>
    <row r="236" spans="1:4" x14ac:dyDescent="0.25">
      <c r="A236" s="65" t="s">
        <v>867</v>
      </c>
      <c r="B236" s="65" t="s">
        <v>428</v>
      </c>
      <c r="C236" s="65" t="s">
        <v>226</v>
      </c>
      <c r="D236" s="61">
        <v>16</v>
      </c>
    </row>
    <row r="237" spans="1:4" x14ac:dyDescent="0.25">
      <c r="A237" s="65" t="s">
        <v>867</v>
      </c>
      <c r="B237" s="65" t="s">
        <v>429</v>
      </c>
      <c r="C237" s="65" t="s">
        <v>226</v>
      </c>
      <c r="D237" s="61">
        <v>53</v>
      </c>
    </row>
    <row r="238" spans="1:4" x14ac:dyDescent="0.25">
      <c r="A238" s="65" t="s">
        <v>867</v>
      </c>
      <c r="B238" s="65" t="s">
        <v>430</v>
      </c>
      <c r="C238" s="65" t="s">
        <v>226</v>
      </c>
      <c r="D238" s="61">
        <v>30.5</v>
      </c>
    </row>
    <row r="239" spans="1:4" x14ac:dyDescent="0.25">
      <c r="A239" s="65" t="s">
        <v>867</v>
      </c>
      <c r="B239" s="65" t="s">
        <v>432</v>
      </c>
      <c r="C239" s="65" t="s">
        <v>226</v>
      </c>
      <c r="D239" s="61">
        <v>56</v>
      </c>
    </row>
    <row r="240" spans="1:4" x14ac:dyDescent="0.25">
      <c r="A240" s="65" t="s">
        <v>867</v>
      </c>
      <c r="B240" s="65" t="s">
        <v>433</v>
      </c>
      <c r="C240" s="65" t="s">
        <v>226</v>
      </c>
      <c r="D240" s="61">
        <v>56</v>
      </c>
    </row>
    <row r="241" spans="1:4" x14ac:dyDescent="0.25">
      <c r="A241" s="65" t="s">
        <v>867</v>
      </c>
      <c r="B241" s="65" t="s">
        <v>52</v>
      </c>
      <c r="C241" s="65" t="s">
        <v>226</v>
      </c>
      <c r="D241" s="61">
        <v>59</v>
      </c>
    </row>
    <row r="242" spans="1:4" x14ac:dyDescent="0.25">
      <c r="A242" s="65" t="s">
        <v>867</v>
      </c>
      <c r="B242" s="65" t="s">
        <v>434</v>
      </c>
      <c r="C242" s="65" t="s">
        <v>226</v>
      </c>
      <c r="D242" s="61">
        <v>46.5</v>
      </c>
    </row>
    <row r="243" spans="1:4" x14ac:dyDescent="0.25">
      <c r="A243" s="65" t="s">
        <v>867</v>
      </c>
      <c r="B243" s="65" t="s">
        <v>435</v>
      </c>
      <c r="C243" s="65" t="s">
        <v>226</v>
      </c>
      <c r="D243" s="61">
        <v>30</v>
      </c>
    </row>
    <row r="244" spans="1:4" x14ac:dyDescent="0.25">
      <c r="A244" s="65" t="s">
        <v>867</v>
      </c>
      <c r="B244" s="65" t="s">
        <v>437</v>
      </c>
      <c r="C244" s="65" t="s">
        <v>226</v>
      </c>
      <c r="D244" s="61">
        <v>46.5</v>
      </c>
    </row>
    <row r="245" spans="1:4" x14ac:dyDescent="0.25">
      <c r="A245" s="65" t="s">
        <v>867</v>
      </c>
      <c r="B245" s="65" t="s">
        <v>438</v>
      </c>
      <c r="C245" s="65" t="s">
        <v>226</v>
      </c>
      <c r="D245" s="61">
        <v>46.5</v>
      </c>
    </row>
    <row r="246" spans="1:4" x14ac:dyDescent="0.25">
      <c r="A246" s="65" t="s">
        <v>867</v>
      </c>
      <c r="B246" s="65" t="s">
        <v>439</v>
      </c>
      <c r="C246" s="65" t="s">
        <v>226</v>
      </c>
      <c r="D246" s="61">
        <v>46.5</v>
      </c>
    </row>
    <row r="247" spans="1:4" x14ac:dyDescent="0.25">
      <c r="A247" s="65" t="s">
        <v>867</v>
      </c>
      <c r="B247" s="65" t="s">
        <v>442</v>
      </c>
      <c r="C247" s="65" t="s">
        <v>226</v>
      </c>
      <c r="D247" s="61">
        <v>52</v>
      </c>
    </row>
    <row r="248" spans="1:4" x14ac:dyDescent="0.25">
      <c r="A248" s="65" t="s">
        <v>867</v>
      </c>
      <c r="B248" s="65" t="s">
        <v>443</v>
      </c>
      <c r="C248" s="65" t="s">
        <v>226</v>
      </c>
      <c r="D248" s="61">
        <v>39.5</v>
      </c>
    </row>
    <row r="249" spans="1:4" x14ac:dyDescent="0.25">
      <c r="A249" s="65" t="s">
        <v>867</v>
      </c>
      <c r="B249" s="65" t="s">
        <v>444</v>
      </c>
      <c r="C249" s="65" t="s">
        <v>230</v>
      </c>
      <c r="D249" s="61">
        <v>47.5</v>
      </c>
    </row>
    <row r="250" spans="1:4" x14ac:dyDescent="0.25">
      <c r="A250" s="65" t="s">
        <v>866</v>
      </c>
      <c r="B250" s="65" t="s">
        <v>427</v>
      </c>
      <c r="C250" s="65" t="s">
        <v>226</v>
      </c>
      <c r="D250" s="61">
        <v>34</v>
      </c>
    </row>
    <row r="251" spans="1:4" x14ac:dyDescent="0.25">
      <c r="A251" s="65" t="s">
        <v>866</v>
      </c>
      <c r="B251" s="65" t="s">
        <v>436</v>
      </c>
      <c r="C251" s="65" t="s">
        <v>226</v>
      </c>
      <c r="D251" s="61">
        <v>46.5</v>
      </c>
    </row>
    <row r="252" spans="1:4" x14ac:dyDescent="0.25">
      <c r="A252" s="65" t="s">
        <v>868</v>
      </c>
      <c r="B252" s="65" t="s">
        <v>440</v>
      </c>
      <c r="C252" s="65" t="s">
        <v>226</v>
      </c>
      <c r="D252" s="61">
        <v>30.5</v>
      </c>
    </row>
    <row r="253" spans="1:4" x14ac:dyDescent="0.25">
      <c r="A253" s="65" t="s">
        <v>869</v>
      </c>
      <c r="B253" s="65" t="s">
        <v>441</v>
      </c>
      <c r="C253" s="65" t="s">
        <v>226</v>
      </c>
      <c r="D253" s="61">
        <v>43</v>
      </c>
    </row>
    <row r="254" spans="1:4" x14ac:dyDescent="0.25">
      <c r="A254" s="65" t="s">
        <v>869</v>
      </c>
      <c r="B254" s="65" t="s">
        <v>448</v>
      </c>
      <c r="C254" s="65" t="s">
        <v>277</v>
      </c>
      <c r="D254" s="61">
        <v>2.5</v>
      </c>
    </row>
    <row r="255" spans="1:4" x14ac:dyDescent="0.25">
      <c r="A255" s="65" t="s">
        <v>869</v>
      </c>
      <c r="B255" s="65" t="s">
        <v>450</v>
      </c>
      <c r="C255" s="65" t="s">
        <v>277</v>
      </c>
      <c r="D255" s="61">
        <v>6.5</v>
      </c>
    </row>
    <row r="256" spans="1:4" x14ac:dyDescent="0.25">
      <c r="A256" s="65" t="s">
        <v>869</v>
      </c>
      <c r="B256" s="65" t="s">
        <v>457</v>
      </c>
      <c r="C256" s="65" t="s">
        <v>277</v>
      </c>
      <c r="D256" s="61">
        <v>1.5</v>
      </c>
    </row>
    <row r="257" spans="1:4" x14ac:dyDescent="0.25">
      <c r="A257" s="65" t="s">
        <v>869</v>
      </c>
      <c r="B257" s="65" t="s">
        <v>472</v>
      </c>
      <c r="C257" s="65" t="s">
        <v>277</v>
      </c>
      <c r="D257" s="61">
        <v>3</v>
      </c>
    </row>
    <row r="258" spans="1:4" x14ac:dyDescent="0.25">
      <c r="A258" s="65" t="s">
        <v>9</v>
      </c>
      <c r="B258" s="65" t="s">
        <v>474</v>
      </c>
      <c r="C258" s="65" t="s">
        <v>226</v>
      </c>
      <c r="D258" s="61">
        <v>63</v>
      </c>
    </row>
    <row r="259" spans="1:4" x14ac:dyDescent="0.25">
      <c r="A259" s="65" t="s">
        <v>9</v>
      </c>
      <c r="B259" s="65" t="s">
        <v>475</v>
      </c>
      <c r="C259" s="65" t="s">
        <v>226</v>
      </c>
      <c r="D259" s="61">
        <v>63</v>
      </c>
    </row>
    <row r="260" spans="1:4" x14ac:dyDescent="0.25">
      <c r="A260" s="65" t="s">
        <v>9</v>
      </c>
      <c r="B260" s="65" t="s">
        <v>476</v>
      </c>
      <c r="C260" s="65" t="s">
        <v>226</v>
      </c>
      <c r="D260" s="61">
        <v>54</v>
      </c>
    </row>
    <row r="261" spans="1:4" x14ac:dyDescent="0.25">
      <c r="A261" s="65" t="s">
        <v>9</v>
      </c>
      <c r="B261" s="65" t="s">
        <v>477</v>
      </c>
      <c r="C261" s="65" t="s">
        <v>226</v>
      </c>
      <c r="D261" s="61">
        <v>40</v>
      </c>
    </row>
    <row r="262" spans="1:4" x14ac:dyDescent="0.25">
      <c r="A262" s="65" t="s">
        <v>10</v>
      </c>
      <c r="B262" s="65" t="s">
        <v>478</v>
      </c>
      <c r="C262" s="65" t="s">
        <v>247</v>
      </c>
      <c r="D262" s="61">
        <v>0</v>
      </c>
    </row>
    <row r="263" spans="1:4" x14ac:dyDescent="0.25">
      <c r="A263" s="65" t="s">
        <v>10</v>
      </c>
      <c r="B263" s="65" t="s">
        <v>479</v>
      </c>
      <c r="C263" s="65" t="s">
        <v>226</v>
      </c>
      <c r="D263" s="61">
        <v>43</v>
      </c>
    </row>
    <row r="264" spans="1:4" x14ac:dyDescent="0.25">
      <c r="A264" s="65" t="s">
        <v>10</v>
      </c>
      <c r="B264" s="65" t="s">
        <v>480</v>
      </c>
      <c r="C264" s="65" t="s">
        <v>226</v>
      </c>
      <c r="D264" s="61">
        <v>40</v>
      </c>
    </row>
    <row r="265" spans="1:4" x14ac:dyDescent="0.25">
      <c r="A265" s="65" t="s">
        <v>10</v>
      </c>
      <c r="B265" s="65" t="s">
        <v>481</v>
      </c>
      <c r="C265" s="65" t="s">
        <v>226</v>
      </c>
      <c r="D265" s="61">
        <v>50</v>
      </c>
    </row>
    <row r="266" spans="1:4" x14ac:dyDescent="0.25">
      <c r="A266" s="65" t="s">
        <v>10</v>
      </c>
      <c r="B266" s="65" t="s">
        <v>482</v>
      </c>
      <c r="C266" s="65" t="s">
        <v>253</v>
      </c>
      <c r="D266" s="61">
        <v>0.3</v>
      </c>
    </row>
    <row r="267" spans="1:4" x14ac:dyDescent="0.25">
      <c r="A267" s="65" t="s">
        <v>10</v>
      </c>
      <c r="B267" s="65" t="s">
        <v>483</v>
      </c>
      <c r="C267" s="65" t="s">
        <v>253</v>
      </c>
      <c r="D267" s="61">
        <v>0.3</v>
      </c>
    </row>
    <row r="268" spans="1:4" x14ac:dyDescent="0.25">
      <c r="A268" s="65" t="s">
        <v>10</v>
      </c>
      <c r="B268" s="65" t="s">
        <v>484</v>
      </c>
      <c r="C268" s="65" t="s">
        <v>253</v>
      </c>
      <c r="D268" s="61">
        <v>0.3</v>
      </c>
    </row>
    <row r="269" spans="1:4" x14ac:dyDescent="0.25">
      <c r="A269" s="65" t="s">
        <v>10</v>
      </c>
      <c r="B269" s="65" t="s">
        <v>485</v>
      </c>
      <c r="C269" s="65" t="s">
        <v>259</v>
      </c>
      <c r="D269" s="61">
        <v>0</v>
      </c>
    </row>
    <row r="270" spans="1:4" x14ac:dyDescent="0.25">
      <c r="A270" s="65" t="s">
        <v>11</v>
      </c>
      <c r="B270" s="65" t="s">
        <v>486</v>
      </c>
      <c r="C270" s="65" t="s">
        <v>247</v>
      </c>
      <c r="D270" s="61">
        <v>1</v>
      </c>
    </row>
    <row r="271" spans="1:4" x14ac:dyDescent="0.25">
      <c r="A271" s="65" t="s">
        <v>11</v>
      </c>
      <c r="B271" s="65" t="s">
        <v>487</v>
      </c>
      <c r="C271" s="65" t="s">
        <v>247</v>
      </c>
      <c r="D271" s="61">
        <v>3</v>
      </c>
    </row>
    <row r="272" spans="1:4" x14ac:dyDescent="0.25">
      <c r="A272" s="65" t="s">
        <v>11</v>
      </c>
      <c r="B272" s="65" t="s">
        <v>488</v>
      </c>
      <c r="C272" s="65" t="s">
        <v>247</v>
      </c>
      <c r="D272" s="61">
        <v>2</v>
      </c>
    </row>
    <row r="273" spans="1:4" x14ac:dyDescent="0.25">
      <c r="A273" s="65" t="s">
        <v>11</v>
      </c>
      <c r="B273" s="65" t="s">
        <v>489</v>
      </c>
      <c r="C273" s="65" t="s">
        <v>247</v>
      </c>
      <c r="D273" s="61">
        <v>5</v>
      </c>
    </row>
    <row r="274" spans="1:4" x14ac:dyDescent="0.25">
      <c r="A274" s="65" t="s">
        <v>11</v>
      </c>
      <c r="B274" s="65" t="s">
        <v>490</v>
      </c>
      <c r="C274" s="65" t="s">
        <v>247</v>
      </c>
      <c r="D274" s="61">
        <v>2</v>
      </c>
    </row>
    <row r="275" spans="1:4" x14ac:dyDescent="0.25">
      <c r="A275" s="65" t="s">
        <v>11</v>
      </c>
      <c r="B275" s="65" t="s">
        <v>491</v>
      </c>
      <c r="C275" s="65" t="s">
        <v>247</v>
      </c>
      <c r="D275" s="61">
        <v>2</v>
      </c>
    </row>
    <row r="276" spans="1:4" x14ac:dyDescent="0.25">
      <c r="A276" s="65" t="s">
        <v>11</v>
      </c>
      <c r="B276" s="65" t="s">
        <v>492</v>
      </c>
      <c r="C276" s="65" t="s">
        <v>247</v>
      </c>
      <c r="D276" s="61">
        <v>2</v>
      </c>
    </row>
    <row r="277" spans="1:4" x14ac:dyDescent="0.25">
      <c r="A277" s="65" t="s">
        <v>11</v>
      </c>
      <c r="B277" s="65" t="s">
        <v>493</v>
      </c>
      <c r="C277" s="65" t="s">
        <v>226</v>
      </c>
      <c r="D277" s="61">
        <v>48</v>
      </c>
    </row>
    <row r="278" spans="1:4" x14ac:dyDescent="0.25">
      <c r="A278" s="65" t="s">
        <v>11</v>
      </c>
      <c r="B278" s="65" t="s">
        <v>494</v>
      </c>
      <c r="C278" s="65" t="s">
        <v>226</v>
      </c>
      <c r="D278" s="61">
        <v>43</v>
      </c>
    </row>
    <row r="279" spans="1:4" x14ac:dyDescent="0.25">
      <c r="A279" s="65" t="s">
        <v>11</v>
      </c>
      <c r="B279" s="65" t="s">
        <v>495</v>
      </c>
      <c r="C279" s="65" t="s">
        <v>226</v>
      </c>
      <c r="D279" s="61">
        <v>14</v>
      </c>
    </row>
    <row r="280" spans="1:4" x14ac:dyDescent="0.25">
      <c r="A280" s="65" t="s">
        <v>11</v>
      </c>
      <c r="B280" s="65" t="s">
        <v>496</v>
      </c>
      <c r="C280" s="65" t="s">
        <v>226</v>
      </c>
      <c r="D280" s="61">
        <v>43</v>
      </c>
    </row>
    <row r="281" spans="1:4" x14ac:dyDescent="0.25">
      <c r="A281" s="65" t="s">
        <v>11</v>
      </c>
      <c r="B281" s="65" t="s">
        <v>497</v>
      </c>
      <c r="C281" s="65" t="s">
        <v>226</v>
      </c>
      <c r="D281" s="61">
        <v>16</v>
      </c>
    </row>
    <row r="282" spans="1:4" x14ac:dyDescent="0.25">
      <c r="A282" s="65" t="s">
        <v>11</v>
      </c>
      <c r="B282" s="65" t="s">
        <v>498</v>
      </c>
      <c r="C282" s="65" t="s">
        <v>226</v>
      </c>
      <c r="D282" s="61">
        <v>43</v>
      </c>
    </row>
    <row r="283" spans="1:4" x14ac:dyDescent="0.25">
      <c r="A283" s="65" t="s">
        <v>11</v>
      </c>
      <c r="B283" s="65" t="s">
        <v>499</v>
      </c>
      <c r="C283" s="65" t="s">
        <v>226</v>
      </c>
      <c r="D283" s="61">
        <v>43</v>
      </c>
    </row>
    <row r="284" spans="1:4" x14ac:dyDescent="0.25">
      <c r="A284" s="65" t="s">
        <v>11</v>
      </c>
      <c r="B284" s="65" t="s">
        <v>500</v>
      </c>
      <c r="C284" s="65" t="s">
        <v>226</v>
      </c>
      <c r="D284" s="61">
        <v>43</v>
      </c>
    </row>
    <row r="285" spans="1:4" x14ac:dyDescent="0.25">
      <c r="A285" s="65" t="s">
        <v>11</v>
      </c>
      <c r="B285" s="65" t="s">
        <v>501</v>
      </c>
      <c r="C285" s="65" t="s">
        <v>226</v>
      </c>
      <c r="D285" s="61">
        <v>43</v>
      </c>
    </row>
    <row r="286" spans="1:4" x14ac:dyDescent="0.25">
      <c r="A286" s="65" t="s">
        <v>11</v>
      </c>
      <c r="B286" s="65" t="s">
        <v>502</v>
      </c>
      <c r="C286" s="65" t="s">
        <v>259</v>
      </c>
      <c r="D286" s="61">
        <v>0</v>
      </c>
    </row>
    <row r="287" spans="1:4" x14ac:dyDescent="0.25">
      <c r="A287" s="65" t="s">
        <v>53</v>
      </c>
      <c r="B287" s="65" t="s">
        <v>503</v>
      </c>
      <c r="C287" s="65" t="s">
        <v>226</v>
      </c>
      <c r="D287" s="61">
        <v>18</v>
      </c>
    </row>
    <row r="288" spans="1:4" x14ac:dyDescent="0.25">
      <c r="A288" s="65" t="s">
        <v>53</v>
      </c>
      <c r="B288" s="65" t="s">
        <v>504</v>
      </c>
      <c r="C288" s="65" t="s">
        <v>226</v>
      </c>
      <c r="D288" s="61">
        <v>33.5</v>
      </c>
    </row>
    <row r="289" spans="1:4" x14ac:dyDescent="0.25">
      <c r="A289" s="65" t="s">
        <v>53</v>
      </c>
      <c r="B289" s="65" t="s">
        <v>505</v>
      </c>
      <c r="C289" s="65" t="s">
        <v>230</v>
      </c>
      <c r="D289" s="61">
        <v>6.5</v>
      </c>
    </row>
    <row r="290" spans="1:4" x14ac:dyDescent="0.25">
      <c r="A290" s="65" t="s">
        <v>53</v>
      </c>
      <c r="B290" s="65" t="s">
        <v>506</v>
      </c>
      <c r="C290" s="65" t="s">
        <v>230</v>
      </c>
      <c r="D290" s="61">
        <v>33.5</v>
      </c>
    </row>
    <row r="291" spans="1:4" x14ac:dyDescent="0.25">
      <c r="A291" s="65" t="s">
        <v>53</v>
      </c>
      <c r="B291" s="65" t="s">
        <v>507</v>
      </c>
      <c r="C291" s="65" t="s">
        <v>230</v>
      </c>
      <c r="D291" s="61">
        <v>35</v>
      </c>
    </row>
    <row r="292" spans="1:4" x14ac:dyDescent="0.25">
      <c r="A292" s="65" t="s">
        <v>53</v>
      </c>
      <c r="B292" s="65" t="s">
        <v>508</v>
      </c>
      <c r="C292" s="65" t="s">
        <v>230</v>
      </c>
      <c r="D292" s="61">
        <v>33.5</v>
      </c>
    </row>
    <row r="293" spans="1:4" x14ac:dyDescent="0.25">
      <c r="A293" s="65" t="s">
        <v>53</v>
      </c>
      <c r="B293" s="65" t="s">
        <v>509</v>
      </c>
      <c r="C293" s="65" t="s">
        <v>230</v>
      </c>
      <c r="D293" s="61">
        <v>18</v>
      </c>
    </row>
    <row r="294" spans="1:4" x14ac:dyDescent="0.25">
      <c r="A294" s="65" t="s">
        <v>53</v>
      </c>
      <c r="B294" s="65" t="s">
        <v>510</v>
      </c>
      <c r="C294" s="65" t="s">
        <v>230</v>
      </c>
      <c r="D294" s="61">
        <v>28.5</v>
      </c>
    </row>
    <row r="295" spans="1:4" x14ac:dyDescent="0.25">
      <c r="A295" s="65" t="s">
        <v>53</v>
      </c>
      <c r="B295" s="65" t="s">
        <v>511</v>
      </c>
      <c r="C295" s="65" t="s">
        <v>230</v>
      </c>
      <c r="D295" s="61">
        <v>50</v>
      </c>
    </row>
    <row r="296" spans="1:4" x14ac:dyDescent="0.25">
      <c r="A296" s="65" t="s">
        <v>53</v>
      </c>
      <c r="B296" s="65" t="s">
        <v>512</v>
      </c>
      <c r="C296" s="65" t="s">
        <v>230</v>
      </c>
      <c r="D296" s="61">
        <v>22</v>
      </c>
    </row>
    <row r="297" spans="1:4" x14ac:dyDescent="0.25">
      <c r="A297" s="65" t="s">
        <v>53</v>
      </c>
      <c r="B297" s="65" t="s">
        <v>513</v>
      </c>
      <c r="C297" s="65" t="s">
        <v>230</v>
      </c>
      <c r="D297" s="61">
        <v>14.5</v>
      </c>
    </row>
    <row r="298" spans="1:4" x14ac:dyDescent="0.25">
      <c r="A298" s="65" t="s">
        <v>53</v>
      </c>
      <c r="B298" s="65" t="s">
        <v>514</v>
      </c>
      <c r="C298" s="65" t="s">
        <v>232</v>
      </c>
      <c r="D298" s="61">
        <v>0</v>
      </c>
    </row>
    <row r="299" spans="1:4" x14ac:dyDescent="0.25">
      <c r="A299" s="65" t="s">
        <v>53</v>
      </c>
      <c r="B299" s="65" t="s">
        <v>515</v>
      </c>
      <c r="C299" s="65" t="s">
        <v>253</v>
      </c>
      <c r="D299" s="61">
        <v>0.75</v>
      </c>
    </row>
    <row r="300" spans="1:4" x14ac:dyDescent="0.25">
      <c r="A300" s="65" t="s">
        <v>53</v>
      </c>
      <c r="B300" s="65" t="s">
        <v>516</v>
      </c>
      <c r="C300" s="65" t="s">
        <v>253</v>
      </c>
      <c r="D300" s="61">
        <v>1</v>
      </c>
    </row>
    <row r="301" spans="1:4" x14ac:dyDescent="0.25">
      <c r="A301" s="65" t="s">
        <v>53</v>
      </c>
      <c r="B301" s="65" t="s">
        <v>517</v>
      </c>
      <c r="C301" s="65" t="s">
        <v>253</v>
      </c>
      <c r="D301" s="61">
        <v>1</v>
      </c>
    </row>
    <row r="302" spans="1:4" x14ac:dyDescent="0.25">
      <c r="A302" s="65" t="s">
        <v>53</v>
      </c>
      <c r="B302" s="65" t="s">
        <v>514</v>
      </c>
      <c r="C302" s="65" t="s">
        <v>253</v>
      </c>
      <c r="D302" s="61">
        <v>2</v>
      </c>
    </row>
    <row r="303" spans="1:4" x14ac:dyDescent="0.25">
      <c r="A303" s="65" t="s">
        <v>53</v>
      </c>
      <c r="B303" s="65" t="s">
        <v>518</v>
      </c>
      <c r="C303" s="65" t="s">
        <v>253</v>
      </c>
      <c r="D303" s="61">
        <v>0.5</v>
      </c>
    </row>
    <row r="304" spans="1:4" x14ac:dyDescent="0.25">
      <c r="A304" s="65" t="s">
        <v>53</v>
      </c>
      <c r="B304" s="65" t="s">
        <v>519</v>
      </c>
      <c r="C304" s="65" t="s">
        <v>253</v>
      </c>
      <c r="D304" s="61">
        <v>1</v>
      </c>
    </row>
    <row r="305" spans="1:4" x14ac:dyDescent="0.25">
      <c r="A305" s="65" t="s">
        <v>53</v>
      </c>
      <c r="B305" s="65" t="s">
        <v>520</v>
      </c>
      <c r="C305" s="65" t="s">
        <v>253</v>
      </c>
      <c r="D305" s="61">
        <v>0.5</v>
      </c>
    </row>
    <row r="306" spans="1:4" x14ac:dyDescent="0.25">
      <c r="A306" s="65" t="s">
        <v>53</v>
      </c>
      <c r="B306" s="65" t="s">
        <v>521</v>
      </c>
      <c r="C306" s="65" t="s">
        <v>259</v>
      </c>
      <c r="D306" s="61">
        <v>0</v>
      </c>
    </row>
    <row r="307" spans="1:4" x14ac:dyDescent="0.25">
      <c r="A307" s="65" t="s">
        <v>12</v>
      </c>
      <c r="B307" s="65" t="s">
        <v>522</v>
      </c>
      <c r="C307" s="65" t="s">
        <v>226</v>
      </c>
      <c r="D307" s="61">
        <v>72</v>
      </c>
    </row>
    <row r="308" spans="1:4" x14ac:dyDescent="0.25">
      <c r="A308" s="65" t="s">
        <v>12</v>
      </c>
      <c r="B308" s="65" t="s">
        <v>523</v>
      </c>
      <c r="C308" s="65" t="s">
        <v>226</v>
      </c>
      <c r="D308" s="61">
        <v>72</v>
      </c>
    </row>
    <row r="309" spans="1:4" x14ac:dyDescent="0.25">
      <c r="A309" s="65" t="s">
        <v>12</v>
      </c>
      <c r="B309" s="65" t="s">
        <v>524</v>
      </c>
      <c r="C309" s="65" t="s">
        <v>232</v>
      </c>
      <c r="D309" s="61">
        <v>5</v>
      </c>
    </row>
    <row r="310" spans="1:4" x14ac:dyDescent="0.25">
      <c r="A310" s="65" t="s">
        <v>13</v>
      </c>
      <c r="B310" s="65" t="s">
        <v>525</v>
      </c>
      <c r="C310" s="65" t="s">
        <v>226</v>
      </c>
      <c r="D310" s="61">
        <v>43</v>
      </c>
    </row>
    <row r="311" spans="1:4" x14ac:dyDescent="0.25">
      <c r="A311" s="65" t="s">
        <v>13</v>
      </c>
      <c r="B311" s="65" t="s">
        <v>526</v>
      </c>
      <c r="C311" s="65" t="s">
        <v>226</v>
      </c>
      <c r="D311" s="61">
        <v>37.5</v>
      </c>
    </row>
    <row r="312" spans="1:4" x14ac:dyDescent="0.25">
      <c r="A312" s="65" t="s">
        <v>13</v>
      </c>
      <c r="B312" s="65" t="s">
        <v>527</v>
      </c>
      <c r="C312" s="65" t="s">
        <v>226</v>
      </c>
      <c r="D312" s="61">
        <v>36</v>
      </c>
    </row>
    <row r="313" spans="1:4" x14ac:dyDescent="0.25">
      <c r="A313" s="65" t="s">
        <v>13</v>
      </c>
      <c r="B313" s="65" t="s">
        <v>528</v>
      </c>
      <c r="C313" s="65" t="s">
        <v>226</v>
      </c>
      <c r="D313" s="61">
        <v>27</v>
      </c>
    </row>
    <row r="314" spans="1:4" x14ac:dyDescent="0.25">
      <c r="A314" s="65" t="s">
        <v>13</v>
      </c>
      <c r="B314" s="65" t="s">
        <v>529</v>
      </c>
      <c r="C314" s="65" t="s">
        <v>226</v>
      </c>
      <c r="D314" s="61">
        <v>36</v>
      </c>
    </row>
    <row r="315" spans="1:4" x14ac:dyDescent="0.25">
      <c r="A315" s="65" t="s">
        <v>13</v>
      </c>
      <c r="B315" s="65" t="s">
        <v>530</v>
      </c>
      <c r="C315" s="65" t="s">
        <v>226</v>
      </c>
      <c r="D315" s="61">
        <v>48</v>
      </c>
    </row>
    <row r="316" spans="1:4" x14ac:dyDescent="0.25">
      <c r="A316" s="65" t="s">
        <v>13</v>
      </c>
      <c r="B316" s="65" t="s">
        <v>531</v>
      </c>
      <c r="C316" s="65" t="s">
        <v>253</v>
      </c>
      <c r="D316" s="61">
        <v>1</v>
      </c>
    </row>
    <row r="317" spans="1:4" x14ac:dyDescent="0.25">
      <c r="A317" s="65" t="s">
        <v>13</v>
      </c>
      <c r="B317" s="65" t="s">
        <v>532</v>
      </c>
      <c r="C317" s="65" t="s">
        <v>253</v>
      </c>
      <c r="D317" s="61">
        <v>1</v>
      </c>
    </row>
    <row r="318" spans="1:4" x14ac:dyDescent="0.25">
      <c r="A318" s="65" t="s">
        <v>13</v>
      </c>
      <c r="B318" s="65" t="s">
        <v>533</v>
      </c>
      <c r="C318" s="65" t="s">
        <v>259</v>
      </c>
      <c r="D318" s="61">
        <v>0</v>
      </c>
    </row>
    <row r="319" spans="1:4" x14ac:dyDescent="0.25">
      <c r="A319" s="65" t="s">
        <v>70</v>
      </c>
      <c r="B319" s="65" t="s">
        <v>534</v>
      </c>
      <c r="C319" s="65" t="s">
        <v>226</v>
      </c>
      <c r="D319" s="61">
        <v>24</v>
      </c>
    </row>
    <row r="320" spans="1:4" x14ac:dyDescent="0.25">
      <c r="A320" s="65" t="s">
        <v>70</v>
      </c>
      <c r="B320" s="65" t="s">
        <v>535</v>
      </c>
      <c r="C320" s="65" t="s">
        <v>226</v>
      </c>
      <c r="D320" s="61">
        <v>10</v>
      </c>
    </row>
    <row r="321" spans="1:4" x14ac:dyDescent="0.25">
      <c r="A321" s="65" t="s">
        <v>70</v>
      </c>
      <c r="B321" s="65" t="s">
        <v>536</v>
      </c>
      <c r="C321" s="65" t="s">
        <v>226</v>
      </c>
      <c r="D321" s="61">
        <v>15</v>
      </c>
    </row>
    <row r="322" spans="1:4" x14ac:dyDescent="0.25">
      <c r="A322" s="65" t="s">
        <v>70</v>
      </c>
      <c r="B322" s="65" t="s">
        <v>537</v>
      </c>
      <c r="C322" s="65" t="s">
        <v>226</v>
      </c>
      <c r="D322" s="61">
        <v>10</v>
      </c>
    </row>
    <row r="323" spans="1:4" x14ac:dyDescent="0.25">
      <c r="A323" s="65" t="s">
        <v>14</v>
      </c>
      <c r="B323" s="65" t="s">
        <v>538</v>
      </c>
      <c r="C323" s="65" t="s">
        <v>226</v>
      </c>
      <c r="D323" s="61">
        <v>50.5</v>
      </c>
    </row>
    <row r="324" spans="1:4" x14ac:dyDescent="0.25">
      <c r="A324" s="65" t="s">
        <v>14</v>
      </c>
      <c r="B324" s="65" t="s">
        <v>539</v>
      </c>
      <c r="C324" s="65" t="s">
        <v>226</v>
      </c>
      <c r="D324" s="61">
        <v>56.5</v>
      </c>
    </row>
    <row r="325" spans="1:4" x14ac:dyDescent="0.25">
      <c r="A325" s="65" t="s">
        <v>14</v>
      </c>
      <c r="B325" s="65" t="s">
        <v>540</v>
      </c>
      <c r="C325" s="65" t="s">
        <v>226</v>
      </c>
      <c r="D325" s="61">
        <v>53.5</v>
      </c>
    </row>
    <row r="326" spans="1:4" x14ac:dyDescent="0.25">
      <c r="A326" s="65" t="s">
        <v>14</v>
      </c>
      <c r="B326" s="65" t="s">
        <v>541</v>
      </c>
      <c r="C326" s="65" t="s">
        <v>226</v>
      </c>
      <c r="D326" s="61">
        <v>47.5</v>
      </c>
    </row>
    <row r="327" spans="1:4" x14ac:dyDescent="0.25">
      <c r="A327" s="65" t="s">
        <v>14</v>
      </c>
      <c r="B327" s="65" t="s">
        <v>542</v>
      </c>
      <c r="C327" s="65" t="s">
        <v>226</v>
      </c>
      <c r="D327" s="61">
        <v>56.5</v>
      </c>
    </row>
    <row r="328" spans="1:4" x14ac:dyDescent="0.25">
      <c r="A328" s="65" t="s">
        <v>14</v>
      </c>
      <c r="B328" s="65" t="s">
        <v>543</v>
      </c>
      <c r="C328" s="65" t="s">
        <v>240</v>
      </c>
      <c r="D328" s="61">
        <v>42.5</v>
      </c>
    </row>
    <row r="329" spans="1:4" x14ac:dyDescent="0.25">
      <c r="A329" s="65" t="s">
        <v>14</v>
      </c>
      <c r="B329" s="65" t="s">
        <v>544</v>
      </c>
      <c r="C329" s="65" t="s">
        <v>240</v>
      </c>
      <c r="D329" s="61">
        <v>35</v>
      </c>
    </row>
    <row r="330" spans="1:4" x14ac:dyDescent="0.25">
      <c r="A330" s="65" t="s">
        <v>14</v>
      </c>
      <c r="B330" s="65" t="s">
        <v>545</v>
      </c>
      <c r="C330" s="65" t="s">
        <v>240</v>
      </c>
      <c r="D330" s="61">
        <v>42.5</v>
      </c>
    </row>
    <row r="331" spans="1:4" x14ac:dyDescent="0.25">
      <c r="A331" s="65" t="s">
        <v>15</v>
      </c>
      <c r="B331" s="65" t="s">
        <v>546</v>
      </c>
      <c r="C331" s="65" t="s">
        <v>226</v>
      </c>
      <c r="D331" s="61">
        <v>58</v>
      </c>
    </row>
    <row r="332" spans="1:4" x14ac:dyDescent="0.25">
      <c r="A332" s="65" t="s">
        <v>15</v>
      </c>
      <c r="B332" s="65" t="s">
        <v>547</v>
      </c>
      <c r="C332" s="65" t="s">
        <v>226</v>
      </c>
      <c r="D332" s="61">
        <v>58</v>
      </c>
    </row>
    <row r="333" spans="1:4" x14ac:dyDescent="0.25">
      <c r="A333" s="65" t="s">
        <v>15</v>
      </c>
      <c r="B333" s="65" t="s">
        <v>548</v>
      </c>
      <c r="C333" s="65" t="s">
        <v>226</v>
      </c>
      <c r="D333" s="61">
        <v>22</v>
      </c>
    </row>
    <row r="334" spans="1:4" x14ac:dyDescent="0.25">
      <c r="A334" s="65" t="s">
        <v>15</v>
      </c>
      <c r="B334" s="65" t="s">
        <v>549</v>
      </c>
      <c r="C334" s="65" t="s">
        <v>226</v>
      </c>
      <c r="D334" s="61">
        <v>68</v>
      </c>
    </row>
    <row r="335" spans="1:4" x14ac:dyDescent="0.25">
      <c r="A335" s="65" t="s">
        <v>15</v>
      </c>
      <c r="B335" s="65" t="s">
        <v>550</v>
      </c>
      <c r="C335" s="65" t="s">
        <v>226</v>
      </c>
      <c r="D335" s="61">
        <v>20</v>
      </c>
    </row>
    <row r="336" spans="1:4" x14ac:dyDescent="0.25">
      <c r="A336" s="65" t="s">
        <v>15</v>
      </c>
      <c r="B336" s="65" t="s">
        <v>551</v>
      </c>
      <c r="C336" s="65" t="s">
        <v>286</v>
      </c>
      <c r="D336" s="61">
        <v>0</v>
      </c>
    </row>
    <row r="337" spans="1:4" x14ac:dyDescent="0.25">
      <c r="A337" s="65" t="s">
        <v>15</v>
      </c>
      <c r="B337" s="65" t="s">
        <v>552</v>
      </c>
      <c r="C337" s="65" t="s">
        <v>286</v>
      </c>
      <c r="D337" s="61">
        <v>0</v>
      </c>
    </row>
    <row r="338" spans="1:4" x14ac:dyDescent="0.25">
      <c r="A338" s="65" t="s">
        <v>15</v>
      </c>
      <c r="B338" s="65" t="s">
        <v>553</v>
      </c>
      <c r="C338" s="65" t="s">
        <v>286</v>
      </c>
      <c r="D338" s="61">
        <v>0</v>
      </c>
    </row>
    <row r="339" spans="1:4" x14ac:dyDescent="0.25">
      <c r="A339" s="65" t="s">
        <v>15</v>
      </c>
      <c r="B339" s="65" t="s">
        <v>554</v>
      </c>
      <c r="C339" s="65" t="s">
        <v>253</v>
      </c>
      <c r="D339" s="61">
        <v>2</v>
      </c>
    </row>
    <row r="340" spans="1:4" x14ac:dyDescent="0.25">
      <c r="A340" s="65" t="s">
        <v>15</v>
      </c>
      <c r="B340" s="65" t="s">
        <v>555</v>
      </c>
      <c r="C340" s="65" t="s">
        <v>259</v>
      </c>
      <c r="D340" s="61">
        <v>0</v>
      </c>
    </row>
    <row r="341" spans="1:4" x14ac:dyDescent="0.25">
      <c r="A341" s="65" t="s">
        <v>15</v>
      </c>
      <c r="B341" s="65" t="s">
        <v>556</v>
      </c>
      <c r="C341" s="65" t="s">
        <v>259</v>
      </c>
      <c r="D341" s="61">
        <v>0</v>
      </c>
    </row>
    <row r="342" spans="1:4" x14ac:dyDescent="0.25">
      <c r="A342" s="65" t="s">
        <v>217</v>
      </c>
      <c r="B342" s="65" t="s">
        <v>33</v>
      </c>
      <c r="C342" s="65" t="s">
        <v>226</v>
      </c>
      <c r="D342" s="61">
        <v>50</v>
      </c>
    </row>
    <row r="343" spans="1:4" x14ac:dyDescent="0.25">
      <c r="A343" s="65" t="s">
        <v>16</v>
      </c>
      <c r="B343" s="65" t="s">
        <v>557</v>
      </c>
      <c r="C343" s="65" t="s">
        <v>226</v>
      </c>
      <c r="D343" s="61">
        <v>42.5</v>
      </c>
    </row>
    <row r="344" spans="1:4" x14ac:dyDescent="0.25">
      <c r="A344" s="65" t="s">
        <v>16</v>
      </c>
      <c r="B344" s="65" t="s">
        <v>558</v>
      </c>
      <c r="C344" s="65" t="s">
        <v>226</v>
      </c>
      <c r="D344" s="61">
        <v>34.5</v>
      </c>
    </row>
    <row r="345" spans="1:4" x14ac:dyDescent="0.25">
      <c r="A345" s="65" t="s">
        <v>16</v>
      </c>
      <c r="B345" s="65" t="s">
        <v>559</v>
      </c>
      <c r="C345" s="65" t="s">
        <v>226</v>
      </c>
      <c r="D345" s="61">
        <v>34.5</v>
      </c>
    </row>
    <row r="346" spans="1:4" x14ac:dyDescent="0.25">
      <c r="A346" s="65" t="s">
        <v>16</v>
      </c>
      <c r="B346" s="65" t="s">
        <v>560</v>
      </c>
      <c r="C346" s="65" t="s">
        <v>226</v>
      </c>
      <c r="D346" s="61">
        <v>42.5</v>
      </c>
    </row>
    <row r="347" spans="1:4" x14ac:dyDescent="0.25">
      <c r="A347" s="65" t="s">
        <v>16</v>
      </c>
      <c r="B347" s="65" t="s">
        <v>561</v>
      </c>
      <c r="C347" s="65" t="s">
        <v>259</v>
      </c>
      <c r="D347" s="61">
        <v>3</v>
      </c>
    </row>
    <row r="348" spans="1:4" x14ac:dyDescent="0.25">
      <c r="A348" s="65" t="s">
        <v>17</v>
      </c>
      <c r="B348" s="65" t="s">
        <v>562</v>
      </c>
      <c r="C348" s="65" t="s">
        <v>226</v>
      </c>
      <c r="D348" s="61">
        <v>50</v>
      </c>
    </row>
    <row r="349" spans="1:4" x14ac:dyDescent="0.25">
      <c r="A349" s="65" t="s">
        <v>17</v>
      </c>
      <c r="B349" s="65" t="s">
        <v>563</v>
      </c>
      <c r="C349" s="65" t="s">
        <v>226</v>
      </c>
      <c r="D349" s="61">
        <v>50</v>
      </c>
    </row>
    <row r="350" spans="1:4" x14ac:dyDescent="0.25">
      <c r="A350" s="65" t="s">
        <v>17</v>
      </c>
      <c r="B350" s="65" t="s">
        <v>564</v>
      </c>
      <c r="C350" s="65" t="s">
        <v>226</v>
      </c>
      <c r="D350" s="61">
        <v>50</v>
      </c>
    </row>
    <row r="351" spans="1:4" x14ac:dyDescent="0.25">
      <c r="A351" s="65" t="s">
        <v>17</v>
      </c>
      <c r="B351" s="65" t="s">
        <v>223</v>
      </c>
      <c r="C351" s="65" t="s">
        <v>226</v>
      </c>
      <c r="D351" s="61">
        <v>36</v>
      </c>
    </row>
    <row r="352" spans="1:4" x14ac:dyDescent="0.25">
      <c r="A352" s="65" t="s">
        <v>17</v>
      </c>
      <c r="B352" s="65" t="s">
        <v>565</v>
      </c>
      <c r="C352" s="65" t="s">
        <v>226</v>
      </c>
      <c r="D352" s="61">
        <v>50</v>
      </c>
    </row>
    <row r="353" spans="1:4" x14ac:dyDescent="0.25">
      <c r="A353" s="65" t="s">
        <v>17</v>
      </c>
      <c r="B353" s="65" t="s">
        <v>566</v>
      </c>
      <c r="C353" s="65" t="s">
        <v>226</v>
      </c>
      <c r="D353" s="61">
        <v>40</v>
      </c>
    </row>
    <row r="354" spans="1:4" x14ac:dyDescent="0.25">
      <c r="A354" s="65" t="s">
        <v>17</v>
      </c>
      <c r="B354" s="65" t="s">
        <v>567</v>
      </c>
      <c r="C354" s="65" t="s">
        <v>230</v>
      </c>
      <c r="D354" s="61">
        <v>20</v>
      </c>
    </row>
    <row r="355" spans="1:4" x14ac:dyDescent="0.25">
      <c r="A355" s="65" t="s">
        <v>17</v>
      </c>
      <c r="B355" s="65" t="s">
        <v>568</v>
      </c>
      <c r="C355" s="65" t="s">
        <v>230</v>
      </c>
      <c r="D355" s="61">
        <v>20</v>
      </c>
    </row>
    <row r="356" spans="1:4" x14ac:dyDescent="0.25">
      <c r="A356" s="65" t="s">
        <v>18</v>
      </c>
      <c r="B356" s="65" t="s">
        <v>569</v>
      </c>
      <c r="C356" s="65" t="s">
        <v>226</v>
      </c>
      <c r="D356" s="61">
        <v>38.75</v>
      </c>
    </row>
    <row r="357" spans="1:4" x14ac:dyDescent="0.25">
      <c r="A357" s="65" t="s">
        <v>18</v>
      </c>
      <c r="B357" s="65" t="s">
        <v>570</v>
      </c>
      <c r="C357" s="65" t="s">
        <v>226</v>
      </c>
      <c r="D357" s="61">
        <v>46.75</v>
      </c>
    </row>
    <row r="358" spans="1:4" x14ac:dyDescent="0.25">
      <c r="A358" s="65" t="s">
        <v>18</v>
      </c>
      <c r="B358" s="65" t="s">
        <v>571</v>
      </c>
      <c r="C358" s="65" t="s">
        <v>226</v>
      </c>
      <c r="D358" s="61">
        <v>46.75</v>
      </c>
    </row>
    <row r="359" spans="1:4" x14ac:dyDescent="0.25">
      <c r="A359" s="65" t="s">
        <v>18</v>
      </c>
      <c r="B359" s="65" t="s">
        <v>572</v>
      </c>
      <c r="C359" s="65" t="s">
        <v>226</v>
      </c>
      <c r="D359" s="61">
        <v>46.75</v>
      </c>
    </row>
    <row r="360" spans="1:4" x14ac:dyDescent="0.25">
      <c r="A360" s="65" t="s">
        <v>19</v>
      </c>
      <c r="B360" s="65" t="s">
        <v>573</v>
      </c>
      <c r="C360" s="65" t="s">
        <v>226</v>
      </c>
      <c r="D360" s="61">
        <v>44</v>
      </c>
    </row>
    <row r="361" spans="1:4" x14ac:dyDescent="0.25">
      <c r="A361" s="65" t="s">
        <v>19</v>
      </c>
      <c r="B361" s="65" t="s">
        <v>574</v>
      </c>
      <c r="C361" s="65" t="s">
        <v>226</v>
      </c>
      <c r="D361" s="61">
        <v>60</v>
      </c>
    </row>
    <row r="362" spans="1:4" x14ac:dyDescent="0.25">
      <c r="A362" s="65" t="s">
        <v>19</v>
      </c>
      <c r="B362" s="65" t="s">
        <v>19</v>
      </c>
      <c r="C362" s="65" t="s">
        <v>226</v>
      </c>
      <c r="D362" s="61">
        <v>44</v>
      </c>
    </row>
    <row r="363" spans="1:4" x14ac:dyDescent="0.25">
      <c r="A363" s="65" t="s">
        <v>19</v>
      </c>
      <c r="B363" s="65" t="s">
        <v>575</v>
      </c>
      <c r="C363" s="65" t="s">
        <v>226</v>
      </c>
      <c r="D363" s="61">
        <v>44</v>
      </c>
    </row>
    <row r="364" spans="1:4" x14ac:dyDescent="0.25">
      <c r="A364" s="65" t="s">
        <v>19</v>
      </c>
      <c r="B364" s="65" t="s">
        <v>576</v>
      </c>
      <c r="C364" s="65" t="s">
        <v>226</v>
      </c>
      <c r="D364" s="61">
        <v>44</v>
      </c>
    </row>
    <row r="365" spans="1:4" x14ac:dyDescent="0.25">
      <c r="A365" s="65" t="s">
        <v>19</v>
      </c>
      <c r="B365" s="65" t="s">
        <v>577</v>
      </c>
      <c r="C365" s="65" t="s">
        <v>232</v>
      </c>
      <c r="D365" s="61">
        <v>0</v>
      </c>
    </row>
    <row r="366" spans="1:4" x14ac:dyDescent="0.25">
      <c r="A366" s="65" t="s">
        <v>19</v>
      </c>
      <c r="B366" s="65" t="s">
        <v>578</v>
      </c>
      <c r="C366" s="65" t="s">
        <v>259</v>
      </c>
      <c r="D366" s="61">
        <v>0</v>
      </c>
    </row>
    <row r="367" spans="1:4" x14ac:dyDescent="0.25">
      <c r="A367" s="65" t="s">
        <v>19</v>
      </c>
      <c r="B367" s="65" t="s">
        <v>579</v>
      </c>
      <c r="C367" s="65" t="s">
        <v>259</v>
      </c>
      <c r="D367" s="61">
        <v>0</v>
      </c>
    </row>
    <row r="368" spans="1:4" x14ac:dyDescent="0.25">
      <c r="A368" s="65" t="s">
        <v>20</v>
      </c>
      <c r="B368" s="65" t="s">
        <v>580</v>
      </c>
      <c r="C368" s="65" t="s">
        <v>247</v>
      </c>
      <c r="D368" s="61">
        <v>10</v>
      </c>
    </row>
    <row r="369" spans="1:4" x14ac:dyDescent="0.25">
      <c r="A369" s="65" t="s">
        <v>20</v>
      </c>
      <c r="B369" s="65" t="s">
        <v>581</v>
      </c>
      <c r="C369" s="65" t="s">
        <v>247</v>
      </c>
      <c r="D369" s="61">
        <v>10</v>
      </c>
    </row>
    <row r="370" spans="1:4" x14ac:dyDescent="0.25">
      <c r="A370" s="65" t="s">
        <v>20</v>
      </c>
      <c r="B370" s="65" t="s">
        <v>582</v>
      </c>
      <c r="C370" s="65" t="s">
        <v>226</v>
      </c>
      <c r="D370" s="61">
        <v>59</v>
      </c>
    </row>
    <row r="371" spans="1:4" x14ac:dyDescent="0.25">
      <c r="A371" s="65" t="s">
        <v>20</v>
      </c>
      <c r="B371" s="65" t="s">
        <v>583</v>
      </c>
      <c r="C371" s="65" t="s">
        <v>226</v>
      </c>
      <c r="D371" s="61">
        <v>45</v>
      </c>
    </row>
    <row r="372" spans="1:4" x14ac:dyDescent="0.25">
      <c r="A372" s="65" t="s">
        <v>20</v>
      </c>
      <c r="B372" s="65" t="s">
        <v>584</v>
      </c>
      <c r="C372" s="65" t="s">
        <v>226</v>
      </c>
      <c r="D372" s="61">
        <v>51</v>
      </c>
    </row>
    <row r="373" spans="1:4" x14ac:dyDescent="0.25">
      <c r="A373" s="65" t="s">
        <v>20</v>
      </c>
      <c r="B373" s="65" t="s">
        <v>585</v>
      </c>
      <c r="C373" s="65" t="s">
        <v>226</v>
      </c>
      <c r="D373" s="61">
        <v>51</v>
      </c>
    </row>
    <row r="374" spans="1:4" x14ac:dyDescent="0.25">
      <c r="A374" s="65" t="s">
        <v>20</v>
      </c>
      <c r="B374" s="65" t="s">
        <v>586</v>
      </c>
      <c r="C374" s="65" t="s">
        <v>226</v>
      </c>
      <c r="D374" s="61">
        <v>54</v>
      </c>
    </row>
    <row r="375" spans="1:4" x14ac:dyDescent="0.25">
      <c r="A375" s="65" t="s">
        <v>20</v>
      </c>
      <c r="B375" s="65" t="s">
        <v>587</v>
      </c>
      <c r="C375" s="65" t="s">
        <v>226</v>
      </c>
      <c r="D375" s="61">
        <v>51</v>
      </c>
    </row>
    <row r="376" spans="1:4" x14ac:dyDescent="0.25">
      <c r="A376" s="65" t="s">
        <v>20</v>
      </c>
      <c r="B376" s="65" t="s">
        <v>588</v>
      </c>
      <c r="C376" s="65" t="s">
        <v>226</v>
      </c>
      <c r="D376" s="61">
        <v>45</v>
      </c>
    </row>
    <row r="377" spans="1:4" x14ac:dyDescent="0.25">
      <c r="A377" s="65" t="s">
        <v>20</v>
      </c>
      <c r="B377" s="65" t="s">
        <v>589</v>
      </c>
      <c r="C377" s="65" t="s">
        <v>253</v>
      </c>
      <c r="D377" s="61">
        <v>0</v>
      </c>
    </row>
    <row r="378" spans="1:4" x14ac:dyDescent="0.25">
      <c r="A378" s="65" t="s">
        <v>20</v>
      </c>
      <c r="B378" s="65" t="s">
        <v>862</v>
      </c>
      <c r="C378" s="65" t="s">
        <v>253</v>
      </c>
      <c r="D378" s="61">
        <v>0</v>
      </c>
    </row>
    <row r="379" spans="1:4" x14ac:dyDescent="0.25">
      <c r="A379" s="65" t="s">
        <v>20</v>
      </c>
      <c r="B379" s="65" t="s">
        <v>590</v>
      </c>
      <c r="C379" s="65" t="s">
        <v>253</v>
      </c>
      <c r="D379" s="61">
        <v>0</v>
      </c>
    </row>
    <row r="380" spans="1:4" x14ac:dyDescent="0.25">
      <c r="A380" s="65" t="s">
        <v>20</v>
      </c>
      <c r="B380" s="65" t="s">
        <v>591</v>
      </c>
      <c r="C380" s="65" t="s">
        <v>259</v>
      </c>
      <c r="D380" s="61">
        <v>0</v>
      </c>
    </row>
    <row r="381" spans="1:4" x14ac:dyDescent="0.25">
      <c r="A381" s="65" t="s">
        <v>21</v>
      </c>
      <c r="B381" s="65" t="s">
        <v>592</v>
      </c>
      <c r="C381" s="65" t="s">
        <v>226</v>
      </c>
      <c r="D381" s="61">
        <v>58.5</v>
      </c>
    </row>
    <row r="382" spans="1:4" x14ac:dyDescent="0.25">
      <c r="A382" s="65" t="s">
        <v>21</v>
      </c>
      <c r="B382" s="65" t="s">
        <v>21</v>
      </c>
      <c r="C382" s="65" t="s">
        <v>226</v>
      </c>
      <c r="D382" s="61">
        <v>58.5</v>
      </c>
    </row>
    <row r="383" spans="1:4" x14ac:dyDescent="0.25">
      <c r="A383" s="65" t="s">
        <v>21</v>
      </c>
      <c r="B383" s="65" t="s">
        <v>593</v>
      </c>
      <c r="C383" s="65" t="s">
        <v>232</v>
      </c>
      <c r="D383" s="61">
        <v>1</v>
      </c>
    </row>
    <row r="384" spans="1:4" x14ac:dyDescent="0.25">
      <c r="A384" s="65" t="s">
        <v>21</v>
      </c>
      <c r="B384" s="65" t="s">
        <v>594</v>
      </c>
      <c r="C384" s="65" t="s">
        <v>240</v>
      </c>
      <c r="D384" s="61">
        <v>3</v>
      </c>
    </row>
    <row r="385" spans="1:4" x14ac:dyDescent="0.25">
      <c r="A385" s="65" t="s">
        <v>21</v>
      </c>
      <c r="B385" s="65" t="s">
        <v>595</v>
      </c>
      <c r="C385" s="65" t="s">
        <v>240</v>
      </c>
      <c r="D385" s="61">
        <v>2</v>
      </c>
    </row>
    <row r="386" spans="1:4" x14ac:dyDescent="0.25">
      <c r="A386" s="65" t="s">
        <v>21</v>
      </c>
      <c r="B386" s="65" t="s">
        <v>596</v>
      </c>
      <c r="C386" s="65" t="s">
        <v>240</v>
      </c>
      <c r="D386" s="61">
        <v>2</v>
      </c>
    </row>
    <row r="387" spans="1:4" x14ac:dyDescent="0.25">
      <c r="A387" s="65" t="s">
        <v>118</v>
      </c>
      <c r="B387" s="65" t="s">
        <v>597</v>
      </c>
      <c r="C387" s="65" t="s">
        <v>226</v>
      </c>
      <c r="D387" s="61">
        <v>64</v>
      </c>
    </row>
    <row r="388" spans="1:4" x14ac:dyDescent="0.25">
      <c r="A388" s="65" t="s">
        <v>118</v>
      </c>
      <c r="B388" s="65" t="s">
        <v>598</v>
      </c>
      <c r="C388" s="65" t="s">
        <v>226</v>
      </c>
      <c r="D388" s="61">
        <v>38</v>
      </c>
    </row>
    <row r="389" spans="1:4" x14ac:dyDescent="0.25">
      <c r="A389" s="65" t="s">
        <v>118</v>
      </c>
      <c r="B389" s="65" t="s">
        <v>599</v>
      </c>
      <c r="C389" s="65" t="s">
        <v>226</v>
      </c>
      <c r="D389" s="61">
        <v>66</v>
      </c>
    </row>
    <row r="390" spans="1:4" x14ac:dyDescent="0.25">
      <c r="A390" s="65" t="s">
        <v>118</v>
      </c>
      <c r="B390" s="65" t="s">
        <v>600</v>
      </c>
      <c r="C390" s="65" t="s">
        <v>226</v>
      </c>
      <c r="D390" s="61">
        <v>41</v>
      </c>
    </row>
    <row r="391" spans="1:4" x14ac:dyDescent="0.25">
      <c r="A391" s="65" t="s">
        <v>118</v>
      </c>
      <c r="B391" s="65" t="s">
        <v>601</v>
      </c>
      <c r="C391" s="65" t="s">
        <v>226</v>
      </c>
      <c r="D391" s="61">
        <v>66</v>
      </c>
    </row>
    <row r="392" spans="1:4" x14ac:dyDescent="0.25">
      <c r="A392" s="65" t="s">
        <v>22</v>
      </c>
      <c r="B392" s="65" t="s">
        <v>602</v>
      </c>
      <c r="C392" s="65" t="s">
        <v>247</v>
      </c>
      <c r="D392" s="61">
        <v>13.5</v>
      </c>
    </row>
    <row r="393" spans="1:4" x14ac:dyDescent="0.25">
      <c r="A393" s="65" t="s">
        <v>22</v>
      </c>
      <c r="B393" s="65" t="s">
        <v>603</v>
      </c>
      <c r="C393" s="65" t="s">
        <v>226</v>
      </c>
      <c r="D393" s="61">
        <v>33</v>
      </c>
    </row>
    <row r="394" spans="1:4" x14ac:dyDescent="0.25">
      <c r="A394" s="65" t="s">
        <v>22</v>
      </c>
      <c r="B394" s="65" t="s">
        <v>22</v>
      </c>
      <c r="C394" s="65" t="s">
        <v>226</v>
      </c>
      <c r="D394" s="61">
        <v>48</v>
      </c>
    </row>
    <row r="395" spans="1:4" x14ac:dyDescent="0.25">
      <c r="A395" s="65" t="s">
        <v>22</v>
      </c>
      <c r="B395" s="65" t="s">
        <v>604</v>
      </c>
      <c r="C395" s="65" t="s">
        <v>226</v>
      </c>
      <c r="D395" s="61">
        <v>45</v>
      </c>
    </row>
    <row r="396" spans="1:4" x14ac:dyDescent="0.25">
      <c r="A396" s="65" t="s">
        <v>22</v>
      </c>
      <c r="B396" s="65" t="s">
        <v>605</v>
      </c>
      <c r="C396" s="65" t="s">
        <v>226</v>
      </c>
      <c r="D396" s="61">
        <v>32</v>
      </c>
    </row>
    <row r="397" spans="1:4" x14ac:dyDescent="0.25">
      <c r="A397" s="65" t="s">
        <v>22</v>
      </c>
      <c r="B397" s="65" t="s">
        <v>606</v>
      </c>
      <c r="C397" s="65" t="s">
        <v>230</v>
      </c>
      <c r="D397" s="61">
        <v>8</v>
      </c>
    </row>
    <row r="398" spans="1:4" x14ac:dyDescent="0.25">
      <c r="A398" s="65" t="s">
        <v>22</v>
      </c>
      <c r="B398" s="65" t="s">
        <v>607</v>
      </c>
      <c r="C398" s="65" t="s">
        <v>253</v>
      </c>
      <c r="D398" s="61">
        <v>2</v>
      </c>
    </row>
    <row r="399" spans="1:4" x14ac:dyDescent="0.25">
      <c r="A399" s="65" t="s">
        <v>22</v>
      </c>
      <c r="B399" s="65" t="s">
        <v>608</v>
      </c>
      <c r="C399" s="65" t="s">
        <v>253</v>
      </c>
      <c r="D399" s="61">
        <v>1</v>
      </c>
    </row>
    <row r="400" spans="1:4" x14ac:dyDescent="0.25">
      <c r="A400" s="65" t="s">
        <v>22</v>
      </c>
      <c r="B400" s="65" t="s">
        <v>609</v>
      </c>
      <c r="C400" s="65" t="s">
        <v>253</v>
      </c>
      <c r="D400" s="61">
        <v>1</v>
      </c>
    </row>
    <row r="401" spans="1:4" x14ac:dyDescent="0.25">
      <c r="A401" s="65" t="s">
        <v>23</v>
      </c>
      <c r="B401" s="65" t="s">
        <v>610</v>
      </c>
      <c r="C401" s="65" t="s">
        <v>226</v>
      </c>
      <c r="D401" s="61">
        <v>44.25</v>
      </c>
    </row>
    <row r="402" spans="1:4" x14ac:dyDescent="0.25">
      <c r="A402" s="65" t="s">
        <v>23</v>
      </c>
      <c r="B402" s="65" t="s">
        <v>611</v>
      </c>
      <c r="C402" s="65" t="s">
        <v>226</v>
      </c>
      <c r="D402" s="61">
        <v>41.25</v>
      </c>
    </row>
    <row r="403" spans="1:4" x14ac:dyDescent="0.25">
      <c r="A403" s="65" t="s">
        <v>23</v>
      </c>
      <c r="B403" s="65" t="s">
        <v>612</v>
      </c>
      <c r="C403" s="65" t="s">
        <v>226</v>
      </c>
      <c r="D403" s="61">
        <v>41.25</v>
      </c>
    </row>
    <row r="404" spans="1:4" x14ac:dyDescent="0.25">
      <c r="A404" s="65" t="s">
        <v>23</v>
      </c>
      <c r="B404" s="65" t="s">
        <v>613</v>
      </c>
      <c r="C404" s="65" t="s">
        <v>226</v>
      </c>
      <c r="D404" s="61">
        <v>41.25</v>
      </c>
    </row>
    <row r="405" spans="1:4" x14ac:dyDescent="0.25">
      <c r="A405" s="65" t="s">
        <v>23</v>
      </c>
      <c r="B405" s="65" t="s">
        <v>614</v>
      </c>
      <c r="C405" s="65" t="s">
        <v>240</v>
      </c>
      <c r="D405" s="61">
        <v>9</v>
      </c>
    </row>
    <row r="406" spans="1:4" x14ac:dyDescent="0.25">
      <c r="A406" s="65" t="s">
        <v>24</v>
      </c>
      <c r="B406" s="65" t="s">
        <v>615</v>
      </c>
      <c r="C406" s="65" t="s">
        <v>247</v>
      </c>
      <c r="D406" s="61">
        <v>0</v>
      </c>
    </row>
    <row r="407" spans="1:4" x14ac:dyDescent="0.25">
      <c r="A407" s="65" t="s">
        <v>24</v>
      </c>
      <c r="B407" s="65" t="s">
        <v>616</v>
      </c>
      <c r="C407" s="65" t="s">
        <v>226</v>
      </c>
      <c r="D407" s="61">
        <v>62</v>
      </c>
    </row>
    <row r="408" spans="1:4" x14ac:dyDescent="0.25">
      <c r="A408" s="65" t="s">
        <v>24</v>
      </c>
      <c r="B408" s="65" t="s">
        <v>617</v>
      </c>
      <c r="C408" s="65" t="s">
        <v>226</v>
      </c>
      <c r="D408" s="61">
        <v>67</v>
      </c>
    </row>
    <row r="409" spans="1:4" x14ac:dyDescent="0.25">
      <c r="A409" s="65" t="s">
        <v>24</v>
      </c>
      <c r="B409" s="65" t="s">
        <v>618</v>
      </c>
      <c r="C409" s="65" t="s">
        <v>226</v>
      </c>
      <c r="D409" s="61">
        <v>59</v>
      </c>
    </row>
    <row r="410" spans="1:4" x14ac:dyDescent="0.25">
      <c r="A410" s="65" t="s">
        <v>24</v>
      </c>
      <c r="B410" s="65" t="s">
        <v>619</v>
      </c>
      <c r="C410" s="65" t="s">
        <v>226</v>
      </c>
      <c r="D410" s="61">
        <v>34</v>
      </c>
    </row>
    <row r="411" spans="1:4" x14ac:dyDescent="0.25">
      <c r="A411" s="65" t="s">
        <v>24</v>
      </c>
      <c r="B411" s="65" t="s">
        <v>620</v>
      </c>
      <c r="C411" s="65" t="s">
        <v>226</v>
      </c>
      <c r="D411" s="61">
        <v>55</v>
      </c>
    </row>
    <row r="412" spans="1:4" x14ac:dyDescent="0.25">
      <c r="A412" s="65" t="s">
        <v>24</v>
      </c>
      <c r="B412" s="65" t="s">
        <v>621</v>
      </c>
      <c r="C412" s="65" t="s">
        <v>226</v>
      </c>
      <c r="D412" s="61">
        <v>59</v>
      </c>
    </row>
    <row r="413" spans="1:4" x14ac:dyDescent="0.25">
      <c r="A413" s="65" t="s">
        <v>25</v>
      </c>
      <c r="B413" s="65" t="s">
        <v>622</v>
      </c>
      <c r="C413" s="65" t="s">
        <v>226</v>
      </c>
      <c r="D413" s="61">
        <v>39</v>
      </c>
    </row>
    <row r="414" spans="1:4" x14ac:dyDescent="0.25">
      <c r="A414" s="65" t="s">
        <v>25</v>
      </c>
      <c r="B414" s="65" t="s">
        <v>623</v>
      </c>
      <c r="C414" s="65" t="s">
        <v>226</v>
      </c>
      <c r="D414" s="61">
        <v>53.5</v>
      </c>
    </row>
    <row r="415" spans="1:4" x14ac:dyDescent="0.25">
      <c r="A415" s="65" t="s">
        <v>25</v>
      </c>
      <c r="B415" s="65" t="s">
        <v>624</v>
      </c>
      <c r="C415" s="65" t="s">
        <v>226</v>
      </c>
      <c r="D415" s="61">
        <v>53</v>
      </c>
    </row>
    <row r="416" spans="1:4" x14ac:dyDescent="0.25">
      <c r="A416" s="65" t="s">
        <v>25</v>
      </c>
      <c r="B416" s="65" t="s">
        <v>625</v>
      </c>
      <c r="C416" s="65" t="s">
        <v>226</v>
      </c>
      <c r="D416" s="61">
        <v>67</v>
      </c>
    </row>
    <row r="417" spans="1:4" x14ac:dyDescent="0.25">
      <c r="A417" s="65" t="s">
        <v>25</v>
      </c>
      <c r="B417" s="65" t="s">
        <v>626</v>
      </c>
      <c r="C417" s="65" t="s">
        <v>226</v>
      </c>
      <c r="D417" s="61">
        <v>53</v>
      </c>
    </row>
    <row r="418" spans="1:4" x14ac:dyDescent="0.25">
      <c r="A418" s="65" t="s">
        <v>25</v>
      </c>
      <c r="B418" s="65" t="s">
        <v>627</v>
      </c>
      <c r="C418" s="65" t="s">
        <v>259</v>
      </c>
      <c r="D418" s="61">
        <v>14</v>
      </c>
    </row>
    <row r="419" spans="1:4" x14ac:dyDescent="0.25">
      <c r="A419" s="65" t="s">
        <v>26</v>
      </c>
      <c r="B419" s="65" t="s">
        <v>628</v>
      </c>
      <c r="C419" s="65" t="s">
        <v>226</v>
      </c>
      <c r="D419" s="61">
        <v>50</v>
      </c>
    </row>
    <row r="420" spans="1:4" x14ac:dyDescent="0.25">
      <c r="A420" s="65" t="s">
        <v>26</v>
      </c>
      <c r="B420" s="65" t="s">
        <v>629</v>
      </c>
      <c r="C420" s="65" t="s">
        <v>226</v>
      </c>
      <c r="D420" s="61">
        <v>58</v>
      </c>
    </row>
    <row r="421" spans="1:4" x14ac:dyDescent="0.25">
      <c r="A421" s="65" t="s">
        <v>26</v>
      </c>
      <c r="B421" s="65" t="s">
        <v>630</v>
      </c>
      <c r="C421" s="65" t="s">
        <v>226</v>
      </c>
      <c r="D421" s="61">
        <v>54</v>
      </c>
    </row>
    <row r="422" spans="1:4" x14ac:dyDescent="0.25">
      <c r="A422" s="65" t="s">
        <v>26</v>
      </c>
      <c r="B422" s="65" t="s">
        <v>631</v>
      </c>
      <c r="C422" s="65" t="s">
        <v>226</v>
      </c>
      <c r="D422" s="61">
        <v>39</v>
      </c>
    </row>
    <row r="423" spans="1:4" x14ac:dyDescent="0.25">
      <c r="A423" s="65" t="s">
        <v>26</v>
      </c>
      <c r="B423" s="65" t="s">
        <v>632</v>
      </c>
      <c r="C423" s="65" t="s">
        <v>286</v>
      </c>
      <c r="D423" s="61">
        <v>0</v>
      </c>
    </row>
    <row r="424" spans="1:4" x14ac:dyDescent="0.25">
      <c r="A424" s="65" t="s">
        <v>26</v>
      </c>
      <c r="B424" s="65" t="s">
        <v>633</v>
      </c>
      <c r="C424" s="65" t="s">
        <v>253</v>
      </c>
      <c r="D424" s="61">
        <v>1</v>
      </c>
    </row>
    <row r="425" spans="1:4" x14ac:dyDescent="0.25">
      <c r="A425" s="65" t="s">
        <v>26</v>
      </c>
      <c r="B425" s="65" t="s">
        <v>634</v>
      </c>
      <c r="C425" s="65" t="s">
        <v>253</v>
      </c>
      <c r="D425" s="61">
        <v>1</v>
      </c>
    </row>
    <row r="426" spans="1:4" x14ac:dyDescent="0.25">
      <c r="A426" s="65" t="s">
        <v>26</v>
      </c>
      <c r="B426" s="65" t="s">
        <v>635</v>
      </c>
      <c r="C426" s="65" t="s">
        <v>253</v>
      </c>
      <c r="D426" s="61">
        <v>1</v>
      </c>
    </row>
    <row r="427" spans="1:4" x14ac:dyDescent="0.25">
      <c r="A427" s="65" t="s">
        <v>26</v>
      </c>
      <c r="B427" s="65" t="s">
        <v>636</v>
      </c>
      <c r="C427" s="65" t="s">
        <v>253</v>
      </c>
      <c r="D427" s="61">
        <v>1</v>
      </c>
    </row>
    <row r="428" spans="1:4" x14ac:dyDescent="0.25">
      <c r="A428" s="65" t="s">
        <v>26</v>
      </c>
      <c r="B428" s="65" t="s">
        <v>628</v>
      </c>
      <c r="C428" s="65" t="s">
        <v>253</v>
      </c>
      <c r="D428" s="61">
        <v>1</v>
      </c>
    </row>
    <row r="429" spans="1:4" x14ac:dyDescent="0.25">
      <c r="A429" s="65" t="s">
        <v>26</v>
      </c>
      <c r="B429" s="65" t="s">
        <v>637</v>
      </c>
      <c r="C429" s="65" t="s">
        <v>253</v>
      </c>
      <c r="D429" s="61">
        <v>1</v>
      </c>
    </row>
    <row r="430" spans="1:4" x14ac:dyDescent="0.25">
      <c r="A430" s="65" t="s">
        <v>26</v>
      </c>
      <c r="B430" s="65" t="s">
        <v>638</v>
      </c>
      <c r="C430" s="65" t="s">
        <v>253</v>
      </c>
      <c r="D430" s="61">
        <v>1</v>
      </c>
    </row>
    <row r="431" spans="1:4" x14ac:dyDescent="0.25">
      <c r="A431" s="65" t="s">
        <v>26</v>
      </c>
      <c r="B431" s="65" t="s">
        <v>639</v>
      </c>
      <c r="C431" s="65" t="s">
        <v>253</v>
      </c>
      <c r="D431" s="61">
        <v>1</v>
      </c>
    </row>
    <row r="432" spans="1:4" x14ac:dyDescent="0.25">
      <c r="A432" s="65" t="s">
        <v>26</v>
      </c>
      <c r="B432" s="65" t="s">
        <v>640</v>
      </c>
      <c r="C432" s="65" t="s">
        <v>253</v>
      </c>
      <c r="D432" s="61">
        <v>2</v>
      </c>
    </row>
    <row r="433" spans="1:4" x14ac:dyDescent="0.25">
      <c r="A433" s="65" t="s">
        <v>26</v>
      </c>
      <c r="B433" s="65" t="s">
        <v>641</v>
      </c>
      <c r="C433" s="65" t="s">
        <v>253</v>
      </c>
      <c r="D433" s="61">
        <v>1</v>
      </c>
    </row>
    <row r="434" spans="1:4" x14ac:dyDescent="0.25">
      <c r="A434" s="65" t="s">
        <v>26</v>
      </c>
      <c r="B434" s="65" t="s">
        <v>642</v>
      </c>
      <c r="C434" s="65" t="s">
        <v>253</v>
      </c>
      <c r="D434" s="61">
        <v>1</v>
      </c>
    </row>
    <row r="435" spans="1:4" x14ac:dyDescent="0.25">
      <c r="A435" s="65" t="s">
        <v>26</v>
      </c>
      <c r="B435" s="65" t="s">
        <v>643</v>
      </c>
      <c r="C435" s="65" t="s">
        <v>253</v>
      </c>
      <c r="D435" s="61">
        <v>2</v>
      </c>
    </row>
    <row r="436" spans="1:4" x14ac:dyDescent="0.25">
      <c r="A436" s="65" t="s">
        <v>26</v>
      </c>
      <c r="B436" s="65" t="s">
        <v>644</v>
      </c>
      <c r="C436" s="65" t="s">
        <v>253</v>
      </c>
      <c r="D436" s="61">
        <v>1</v>
      </c>
    </row>
    <row r="437" spans="1:4" x14ac:dyDescent="0.25">
      <c r="A437" s="65" t="s">
        <v>26</v>
      </c>
      <c r="B437" s="65" t="s">
        <v>645</v>
      </c>
      <c r="C437" s="65" t="s">
        <v>259</v>
      </c>
      <c r="D437" s="61">
        <v>0</v>
      </c>
    </row>
    <row r="438" spans="1:4" x14ac:dyDescent="0.25">
      <c r="A438" s="65" t="s">
        <v>27</v>
      </c>
      <c r="B438" s="65" t="s">
        <v>646</v>
      </c>
      <c r="C438" s="65" t="s">
        <v>226</v>
      </c>
      <c r="D438" s="61">
        <v>44</v>
      </c>
    </row>
    <row r="439" spans="1:4" x14ac:dyDescent="0.25">
      <c r="A439" s="65" t="s">
        <v>27</v>
      </c>
      <c r="B439" s="65" t="s">
        <v>647</v>
      </c>
      <c r="C439" s="65" t="s">
        <v>226</v>
      </c>
      <c r="D439" s="61">
        <v>42</v>
      </c>
    </row>
    <row r="440" spans="1:4" x14ac:dyDescent="0.25">
      <c r="A440" s="65" t="s">
        <v>27</v>
      </c>
      <c r="B440" s="65" t="s">
        <v>648</v>
      </c>
      <c r="C440" s="65" t="s">
        <v>226</v>
      </c>
      <c r="D440" s="61">
        <v>42</v>
      </c>
    </row>
    <row r="441" spans="1:4" x14ac:dyDescent="0.25">
      <c r="A441" s="65" t="s">
        <v>27</v>
      </c>
      <c r="B441" s="65" t="s">
        <v>649</v>
      </c>
      <c r="C441" s="65" t="s">
        <v>275</v>
      </c>
      <c r="D441" s="61">
        <v>0</v>
      </c>
    </row>
    <row r="442" spans="1:4" x14ac:dyDescent="0.25">
      <c r="A442" s="65" t="s">
        <v>27</v>
      </c>
      <c r="B442" s="65" t="s">
        <v>650</v>
      </c>
      <c r="C442" s="65" t="s">
        <v>277</v>
      </c>
      <c r="D442" s="61">
        <v>2</v>
      </c>
    </row>
    <row r="443" spans="1:4" x14ac:dyDescent="0.25">
      <c r="A443" s="65" t="s">
        <v>27</v>
      </c>
      <c r="B443" s="65" t="s">
        <v>651</v>
      </c>
      <c r="C443" s="65" t="s">
        <v>277</v>
      </c>
      <c r="D443" s="61">
        <v>3</v>
      </c>
    </row>
    <row r="444" spans="1:4" x14ac:dyDescent="0.25">
      <c r="A444" s="65" t="s">
        <v>27</v>
      </c>
      <c r="B444" s="65" t="s">
        <v>652</v>
      </c>
      <c r="C444" s="65" t="s">
        <v>277</v>
      </c>
      <c r="D444" s="61">
        <v>1</v>
      </c>
    </row>
    <row r="445" spans="1:4" x14ac:dyDescent="0.25">
      <c r="A445" s="65" t="s">
        <v>27</v>
      </c>
      <c r="B445" s="65" t="s">
        <v>653</v>
      </c>
      <c r="C445" s="65" t="s">
        <v>277</v>
      </c>
      <c r="D445" s="61">
        <v>1</v>
      </c>
    </row>
    <row r="446" spans="1:4" x14ac:dyDescent="0.25">
      <c r="A446" s="65" t="s">
        <v>27</v>
      </c>
      <c r="B446" s="65" t="s">
        <v>654</v>
      </c>
      <c r="C446" s="65" t="s">
        <v>277</v>
      </c>
      <c r="D446" s="61">
        <v>1</v>
      </c>
    </row>
    <row r="447" spans="1:4" x14ac:dyDescent="0.25">
      <c r="A447" s="65" t="s">
        <v>27</v>
      </c>
      <c r="B447" s="65" t="s">
        <v>655</v>
      </c>
      <c r="C447" s="65" t="s">
        <v>277</v>
      </c>
      <c r="D447" s="61">
        <v>3</v>
      </c>
    </row>
    <row r="448" spans="1:4" x14ac:dyDescent="0.25">
      <c r="A448" s="65" t="s">
        <v>27</v>
      </c>
      <c r="B448" s="65" t="s">
        <v>656</v>
      </c>
      <c r="C448" s="65" t="s">
        <v>277</v>
      </c>
      <c r="D448" s="61">
        <v>1</v>
      </c>
    </row>
    <row r="449" spans="1:4" x14ac:dyDescent="0.25">
      <c r="A449" s="65" t="s">
        <v>27</v>
      </c>
      <c r="B449" s="65" t="s">
        <v>657</v>
      </c>
      <c r="C449" s="65" t="s">
        <v>277</v>
      </c>
      <c r="D449" s="61">
        <v>1</v>
      </c>
    </row>
    <row r="450" spans="1:4" x14ac:dyDescent="0.25">
      <c r="A450" s="65" t="s">
        <v>75</v>
      </c>
      <c r="B450" s="65" t="s">
        <v>658</v>
      </c>
      <c r="C450" s="65" t="s">
        <v>247</v>
      </c>
      <c r="D450" s="61">
        <v>0</v>
      </c>
    </row>
    <row r="451" spans="1:4" x14ac:dyDescent="0.25">
      <c r="A451" s="65" t="s">
        <v>75</v>
      </c>
      <c r="B451" s="65" t="s">
        <v>659</v>
      </c>
      <c r="C451" s="65" t="s">
        <v>247</v>
      </c>
      <c r="D451" s="61">
        <v>0</v>
      </c>
    </row>
    <row r="452" spans="1:4" x14ac:dyDescent="0.25">
      <c r="A452" s="65" t="s">
        <v>75</v>
      </c>
      <c r="B452" s="65" t="s">
        <v>660</v>
      </c>
      <c r="C452" s="65" t="s">
        <v>247</v>
      </c>
      <c r="D452" s="61">
        <v>0</v>
      </c>
    </row>
    <row r="453" spans="1:4" x14ac:dyDescent="0.25">
      <c r="A453" s="65" t="s">
        <v>75</v>
      </c>
      <c r="B453" s="65" t="s">
        <v>661</v>
      </c>
      <c r="C453" s="65" t="s">
        <v>226</v>
      </c>
      <c r="D453" s="61">
        <v>39</v>
      </c>
    </row>
    <row r="454" spans="1:4" x14ac:dyDescent="0.25">
      <c r="A454" s="65" t="s">
        <v>75</v>
      </c>
      <c r="B454" s="65" t="s">
        <v>662</v>
      </c>
      <c r="C454" s="65" t="s">
        <v>226</v>
      </c>
      <c r="D454" s="61">
        <v>53.5</v>
      </c>
    </row>
    <row r="455" spans="1:4" x14ac:dyDescent="0.25">
      <c r="A455" s="65" t="s">
        <v>75</v>
      </c>
      <c r="B455" s="65" t="s">
        <v>663</v>
      </c>
      <c r="C455" s="65" t="s">
        <v>226</v>
      </c>
      <c r="D455" s="61">
        <v>39</v>
      </c>
    </row>
    <row r="456" spans="1:4" x14ac:dyDescent="0.25">
      <c r="A456" s="65" t="s">
        <v>75</v>
      </c>
      <c r="B456" s="65" t="s">
        <v>664</v>
      </c>
      <c r="C456" s="65" t="s">
        <v>226</v>
      </c>
      <c r="D456" s="61">
        <v>39</v>
      </c>
    </row>
    <row r="457" spans="1:4" x14ac:dyDescent="0.25">
      <c r="A457" s="65" t="s">
        <v>75</v>
      </c>
      <c r="B457" s="65" t="s">
        <v>665</v>
      </c>
      <c r="C457" s="65" t="s">
        <v>226</v>
      </c>
      <c r="D457" s="61">
        <v>13</v>
      </c>
    </row>
    <row r="458" spans="1:4" x14ac:dyDescent="0.25">
      <c r="A458" s="65" t="s">
        <v>75</v>
      </c>
      <c r="B458" s="65" t="s">
        <v>666</v>
      </c>
      <c r="C458" s="65" t="s">
        <v>226</v>
      </c>
      <c r="D458" s="61">
        <v>63</v>
      </c>
    </row>
    <row r="459" spans="1:4" x14ac:dyDescent="0.25">
      <c r="A459" s="65" t="s">
        <v>75</v>
      </c>
      <c r="B459" s="65" t="s">
        <v>667</v>
      </c>
      <c r="C459" s="65" t="s">
        <v>226</v>
      </c>
      <c r="D459" s="61">
        <v>39</v>
      </c>
    </row>
    <row r="460" spans="1:4" x14ac:dyDescent="0.25">
      <c r="A460" s="65" t="s">
        <v>75</v>
      </c>
      <c r="B460" s="65" t="s">
        <v>668</v>
      </c>
      <c r="C460" s="65" t="s">
        <v>226</v>
      </c>
      <c r="D460" s="61">
        <v>47.5</v>
      </c>
    </row>
    <row r="461" spans="1:4" x14ac:dyDescent="0.25">
      <c r="A461" s="65" t="s">
        <v>75</v>
      </c>
      <c r="B461" s="65" t="s">
        <v>669</v>
      </c>
      <c r="C461" s="65" t="s">
        <v>226</v>
      </c>
      <c r="D461" s="61">
        <v>13</v>
      </c>
    </row>
    <row r="462" spans="1:4" x14ac:dyDescent="0.25">
      <c r="A462" s="65" t="s">
        <v>75</v>
      </c>
      <c r="B462" s="65" t="s">
        <v>670</v>
      </c>
      <c r="C462" s="65" t="s">
        <v>226</v>
      </c>
      <c r="D462" s="61">
        <v>42</v>
      </c>
    </row>
    <row r="463" spans="1:4" x14ac:dyDescent="0.25">
      <c r="A463" s="65" t="s">
        <v>75</v>
      </c>
      <c r="B463" s="65" t="s">
        <v>671</v>
      </c>
      <c r="C463" s="65" t="s">
        <v>230</v>
      </c>
      <c r="D463" s="61">
        <v>39</v>
      </c>
    </row>
    <row r="464" spans="1:4" x14ac:dyDescent="0.25">
      <c r="A464" s="65" t="s">
        <v>75</v>
      </c>
      <c r="B464" s="65" t="s">
        <v>672</v>
      </c>
      <c r="C464" s="65" t="s">
        <v>230</v>
      </c>
      <c r="D464" s="61">
        <v>8</v>
      </c>
    </row>
    <row r="465" spans="1:4" x14ac:dyDescent="0.25">
      <c r="A465" s="65" t="s">
        <v>75</v>
      </c>
      <c r="B465" s="65" t="s">
        <v>673</v>
      </c>
      <c r="C465" s="65" t="s">
        <v>230</v>
      </c>
      <c r="D465" s="61">
        <v>39</v>
      </c>
    </row>
    <row r="466" spans="1:4" x14ac:dyDescent="0.25">
      <c r="A466" s="65" t="s">
        <v>75</v>
      </c>
      <c r="B466" s="65" t="s">
        <v>674</v>
      </c>
      <c r="C466" s="65" t="s">
        <v>230</v>
      </c>
      <c r="D466" s="61">
        <v>13.5</v>
      </c>
    </row>
    <row r="467" spans="1:4" x14ac:dyDescent="0.25">
      <c r="A467" s="65" t="s">
        <v>75</v>
      </c>
      <c r="B467" s="65" t="s">
        <v>675</v>
      </c>
      <c r="C467" s="65" t="s">
        <v>230</v>
      </c>
      <c r="D467" s="61">
        <v>13</v>
      </c>
    </row>
    <row r="468" spans="1:4" x14ac:dyDescent="0.25">
      <c r="A468" s="65" t="s">
        <v>75</v>
      </c>
      <c r="B468" s="65" t="s">
        <v>676</v>
      </c>
      <c r="C468" s="65" t="s">
        <v>230</v>
      </c>
      <c r="D468" s="61">
        <v>13</v>
      </c>
    </row>
    <row r="469" spans="1:4" x14ac:dyDescent="0.25">
      <c r="A469" s="65" t="s">
        <v>75</v>
      </c>
      <c r="B469" s="65" t="s">
        <v>677</v>
      </c>
      <c r="C469" s="65" t="s">
        <v>275</v>
      </c>
      <c r="D469" s="61">
        <v>0</v>
      </c>
    </row>
    <row r="470" spans="1:4" x14ac:dyDescent="0.25">
      <c r="A470" s="65" t="s">
        <v>75</v>
      </c>
      <c r="B470" s="65" t="s">
        <v>678</v>
      </c>
      <c r="C470" s="65" t="s">
        <v>275</v>
      </c>
      <c r="D470" s="61">
        <v>0</v>
      </c>
    </row>
    <row r="471" spans="1:4" x14ac:dyDescent="0.25">
      <c r="A471" s="65" t="s">
        <v>75</v>
      </c>
      <c r="B471" s="65" t="s">
        <v>679</v>
      </c>
      <c r="C471" s="65" t="s">
        <v>277</v>
      </c>
      <c r="D471" s="61">
        <v>6</v>
      </c>
    </row>
    <row r="472" spans="1:4" x14ac:dyDescent="0.25">
      <c r="A472" s="65" t="s">
        <v>75</v>
      </c>
      <c r="B472" s="65" t="s">
        <v>680</v>
      </c>
      <c r="C472" s="65" t="s">
        <v>277</v>
      </c>
      <c r="D472" s="61">
        <v>1.5</v>
      </c>
    </row>
    <row r="473" spans="1:4" x14ac:dyDescent="0.25">
      <c r="A473" s="65" t="s">
        <v>75</v>
      </c>
      <c r="B473" s="65" t="s">
        <v>680</v>
      </c>
      <c r="C473" s="65" t="s">
        <v>277</v>
      </c>
      <c r="D473" s="61">
        <v>4</v>
      </c>
    </row>
    <row r="474" spans="1:4" x14ac:dyDescent="0.25">
      <c r="A474" s="65" t="s">
        <v>75</v>
      </c>
      <c r="B474" s="65" t="s">
        <v>681</v>
      </c>
      <c r="C474" s="65" t="s">
        <v>277</v>
      </c>
      <c r="D474" s="61">
        <v>4</v>
      </c>
    </row>
    <row r="475" spans="1:4" x14ac:dyDescent="0.25">
      <c r="A475" s="65" t="s">
        <v>75</v>
      </c>
      <c r="B475" s="65" t="s">
        <v>682</v>
      </c>
      <c r="C475" s="65" t="s">
        <v>277</v>
      </c>
      <c r="D475" s="61">
        <v>1</v>
      </c>
    </row>
    <row r="476" spans="1:4" x14ac:dyDescent="0.25">
      <c r="A476" s="65" t="s">
        <v>75</v>
      </c>
      <c r="B476" s="65" t="s">
        <v>683</v>
      </c>
      <c r="C476" s="65" t="s">
        <v>277</v>
      </c>
      <c r="D476" s="61">
        <v>3</v>
      </c>
    </row>
    <row r="477" spans="1:4" x14ac:dyDescent="0.25">
      <c r="A477" s="65" t="s">
        <v>75</v>
      </c>
      <c r="B477" s="65" t="s">
        <v>684</v>
      </c>
      <c r="C477" s="65" t="s">
        <v>277</v>
      </c>
      <c r="D477" s="61">
        <v>3</v>
      </c>
    </row>
    <row r="478" spans="1:4" x14ac:dyDescent="0.25">
      <c r="A478" s="65" t="s">
        <v>75</v>
      </c>
      <c r="B478" s="65" t="s">
        <v>685</v>
      </c>
      <c r="C478" s="65" t="s">
        <v>277</v>
      </c>
      <c r="D478" s="61">
        <v>3</v>
      </c>
    </row>
    <row r="479" spans="1:4" x14ac:dyDescent="0.25">
      <c r="A479" s="65" t="s">
        <v>75</v>
      </c>
      <c r="B479" s="65" t="s">
        <v>686</v>
      </c>
      <c r="C479" s="65" t="s">
        <v>277</v>
      </c>
      <c r="D479" s="61">
        <v>3</v>
      </c>
    </row>
    <row r="480" spans="1:4" x14ac:dyDescent="0.25">
      <c r="A480" s="65" t="s">
        <v>75</v>
      </c>
      <c r="B480" s="65" t="s">
        <v>687</v>
      </c>
      <c r="C480" s="65" t="s">
        <v>277</v>
      </c>
      <c r="D480" s="61">
        <v>5</v>
      </c>
    </row>
    <row r="481" spans="1:4" x14ac:dyDescent="0.25">
      <c r="A481" s="65" t="s">
        <v>75</v>
      </c>
      <c r="B481" s="65" t="s">
        <v>688</v>
      </c>
      <c r="C481" s="65" t="s">
        <v>277</v>
      </c>
      <c r="D481" s="61">
        <v>1</v>
      </c>
    </row>
    <row r="482" spans="1:4" x14ac:dyDescent="0.25">
      <c r="A482" s="65" t="s">
        <v>75</v>
      </c>
      <c r="B482" s="65" t="s">
        <v>689</v>
      </c>
      <c r="C482" s="65" t="s">
        <v>277</v>
      </c>
      <c r="D482" s="61">
        <v>1</v>
      </c>
    </row>
    <row r="483" spans="1:4" x14ac:dyDescent="0.25">
      <c r="A483" s="65" t="s">
        <v>75</v>
      </c>
      <c r="B483" s="65" t="s">
        <v>690</v>
      </c>
      <c r="C483" s="65" t="s">
        <v>277</v>
      </c>
      <c r="D483" s="61">
        <v>1</v>
      </c>
    </row>
    <row r="484" spans="1:4" x14ac:dyDescent="0.25">
      <c r="A484" s="65" t="s">
        <v>75</v>
      </c>
      <c r="B484" s="65" t="s">
        <v>691</v>
      </c>
      <c r="C484" s="65" t="s">
        <v>277</v>
      </c>
      <c r="D484" s="61">
        <v>1</v>
      </c>
    </row>
    <row r="485" spans="1:4" x14ac:dyDescent="0.25">
      <c r="A485" s="65" t="s">
        <v>75</v>
      </c>
      <c r="B485" s="65" t="s">
        <v>692</v>
      </c>
      <c r="C485" s="65" t="s">
        <v>277</v>
      </c>
      <c r="D485" s="61">
        <v>1</v>
      </c>
    </row>
    <row r="486" spans="1:4" x14ac:dyDescent="0.25">
      <c r="A486" s="65" t="s">
        <v>75</v>
      </c>
      <c r="B486" s="65" t="s">
        <v>693</v>
      </c>
      <c r="C486" s="65" t="s">
        <v>277</v>
      </c>
      <c r="D486" s="61">
        <v>7.5</v>
      </c>
    </row>
    <row r="487" spans="1:4" x14ac:dyDescent="0.25">
      <c r="A487" s="65" t="s">
        <v>75</v>
      </c>
      <c r="B487" s="65" t="s">
        <v>694</v>
      </c>
      <c r="C487" s="65" t="s">
        <v>277</v>
      </c>
      <c r="D487" s="61">
        <v>2</v>
      </c>
    </row>
    <row r="488" spans="1:4" x14ac:dyDescent="0.25">
      <c r="A488" s="65" t="s">
        <v>75</v>
      </c>
      <c r="B488" s="65" t="s">
        <v>695</v>
      </c>
      <c r="C488" s="65" t="s">
        <v>277</v>
      </c>
      <c r="D488" s="61">
        <v>3</v>
      </c>
    </row>
    <row r="489" spans="1:4" x14ac:dyDescent="0.25">
      <c r="A489" s="65" t="s">
        <v>75</v>
      </c>
      <c r="B489" s="65" t="s">
        <v>696</v>
      </c>
      <c r="C489" s="65" t="s">
        <v>277</v>
      </c>
      <c r="D489" s="61">
        <v>1</v>
      </c>
    </row>
    <row r="490" spans="1:4" x14ac:dyDescent="0.25">
      <c r="A490" s="65" t="s">
        <v>75</v>
      </c>
      <c r="B490" s="65" t="s">
        <v>697</v>
      </c>
      <c r="C490" s="65" t="s">
        <v>277</v>
      </c>
      <c r="D490" s="61">
        <v>3</v>
      </c>
    </row>
    <row r="491" spans="1:4" x14ac:dyDescent="0.25">
      <c r="A491" s="65" t="s">
        <v>75</v>
      </c>
      <c r="B491" s="65" t="s">
        <v>697</v>
      </c>
      <c r="C491" s="65" t="s">
        <v>277</v>
      </c>
      <c r="D491" s="61">
        <v>1.25</v>
      </c>
    </row>
    <row r="492" spans="1:4" x14ac:dyDescent="0.25">
      <c r="A492" s="65" t="s">
        <v>28</v>
      </c>
      <c r="B492" s="65" t="s">
        <v>698</v>
      </c>
      <c r="C492" s="65" t="s">
        <v>226</v>
      </c>
      <c r="D492" s="61">
        <v>56</v>
      </c>
    </row>
    <row r="493" spans="1:4" x14ac:dyDescent="0.25">
      <c r="A493" s="65" t="s">
        <v>28</v>
      </c>
      <c r="B493" s="65" t="s">
        <v>699</v>
      </c>
      <c r="C493" s="65" t="s">
        <v>226</v>
      </c>
      <c r="D493" s="61">
        <v>40</v>
      </c>
    </row>
    <row r="494" spans="1:4" x14ac:dyDescent="0.25">
      <c r="A494" s="65" t="s">
        <v>28</v>
      </c>
      <c r="B494" s="65" t="s">
        <v>700</v>
      </c>
      <c r="C494" s="65" t="s">
        <v>226</v>
      </c>
      <c r="D494" s="61">
        <v>24</v>
      </c>
    </row>
    <row r="495" spans="1:4" x14ac:dyDescent="0.25">
      <c r="A495" s="65" t="s">
        <v>28</v>
      </c>
      <c r="B495" s="65" t="s">
        <v>701</v>
      </c>
      <c r="C495" s="65" t="s">
        <v>226</v>
      </c>
      <c r="D495" s="61">
        <v>48</v>
      </c>
    </row>
    <row r="496" spans="1:4" x14ac:dyDescent="0.25">
      <c r="A496" s="65" t="s">
        <v>28</v>
      </c>
      <c r="B496" s="65" t="s">
        <v>702</v>
      </c>
      <c r="C496" s="65" t="s">
        <v>226</v>
      </c>
      <c r="D496" s="61">
        <v>62</v>
      </c>
    </row>
    <row r="497" spans="1:4" x14ac:dyDescent="0.25">
      <c r="A497" s="65" t="s">
        <v>29</v>
      </c>
      <c r="B497" s="65" t="s">
        <v>703</v>
      </c>
      <c r="C497" s="65" t="s">
        <v>226</v>
      </c>
      <c r="D497" s="61">
        <v>58</v>
      </c>
    </row>
    <row r="498" spans="1:4" x14ac:dyDescent="0.25">
      <c r="A498" s="65" t="s">
        <v>29</v>
      </c>
      <c r="B498" s="65" t="s">
        <v>704</v>
      </c>
      <c r="C498" s="65" t="s">
        <v>226</v>
      </c>
      <c r="D498" s="61">
        <v>43</v>
      </c>
    </row>
    <row r="499" spans="1:4" x14ac:dyDescent="0.25">
      <c r="A499" s="65" t="s">
        <v>29</v>
      </c>
      <c r="B499" s="65" t="s">
        <v>705</v>
      </c>
      <c r="C499" s="65" t="s">
        <v>226</v>
      </c>
      <c r="D499" s="61">
        <v>44</v>
      </c>
    </row>
    <row r="500" spans="1:4" x14ac:dyDescent="0.25">
      <c r="A500" s="65" t="s">
        <v>29</v>
      </c>
      <c r="B500" s="65" t="s">
        <v>706</v>
      </c>
      <c r="C500" s="65" t="s">
        <v>226</v>
      </c>
      <c r="D500" s="61">
        <v>58</v>
      </c>
    </row>
    <row r="501" spans="1:4" x14ac:dyDescent="0.25">
      <c r="A501" s="65" t="s">
        <v>29</v>
      </c>
      <c r="B501" s="65" t="s">
        <v>707</v>
      </c>
      <c r="C501" s="65" t="s">
        <v>226</v>
      </c>
      <c r="D501" s="61">
        <v>35</v>
      </c>
    </row>
    <row r="502" spans="1:4" x14ac:dyDescent="0.25">
      <c r="A502" s="65" t="s">
        <v>29</v>
      </c>
      <c r="B502" s="65" t="s">
        <v>708</v>
      </c>
      <c r="C502" s="65" t="s">
        <v>240</v>
      </c>
      <c r="D502" s="61">
        <v>9</v>
      </c>
    </row>
    <row r="503" spans="1:4" x14ac:dyDescent="0.25">
      <c r="A503" s="65" t="s">
        <v>30</v>
      </c>
      <c r="B503" s="65" t="s">
        <v>709</v>
      </c>
      <c r="C503" s="65" t="s">
        <v>226</v>
      </c>
      <c r="D503" s="61">
        <v>14</v>
      </c>
    </row>
    <row r="504" spans="1:4" x14ac:dyDescent="0.25">
      <c r="A504" s="65" t="s">
        <v>30</v>
      </c>
      <c r="B504" s="65" t="s">
        <v>30</v>
      </c>
      <c r="C504" s="65" t="s">
        <v>226</v>
      </c>
      <c r="D504" s="61">
        <v>41</v>
      </c>
    </row>
    <row r="505" spans="1:4" x14ac:dyDescent="0.25">
      <c r="A505" s="65" t="s">
        <v>30</v>
      </c>
      <c r="B505" s="65" t="s">
        <v>710</v>
      </c>
      <c r="C505" s="65" t="s">
        <v>275</v>
      </c>
      <c r="D505" s="61">
        <v>0</v>
      </c>
    </row>
    <row r="506" spans="1:4" x14ac:dyDescent="0.25">
      <c r="A506" s="65" t="s">
        <v>30</v>
      </c>
      <c r="B506" s="65" t="s">
        <v>711</v>
      </c>
      <c r="C506" s="65" t="s">
        <v>277</v>
      </c>
      <c r="D506" s="61">
        <v>0.25</v>
      </c>
    </row>
    <row r="507" spans="1:4" x14ac:dyDescent="0.25">
      <c r="A507" s="65" t="s">
        <v>30</v>
      </c>
      <c r="B507" s="65" t="s">
        <v>712</v>
      </c>
      <c r="C507" s="65" t="s">
        <v>277</v>
      </c>
      <c r="D507" s="61">
        <v>0.75</v>
      </c>
    </row>
    <row r="508" spans="1:4" x14ac:dyDescent="0.25">
      <c r="A508" s="65" t="s">
        <v>30</v>
      </c>
      <c r="B508" s="65" t="s">
        <v>713</v>
      </c>
      <c r="C508" s="65" t="s">
        <v>277</v>
      </c>
      <c r="D508" s="61">
        <v>0.25</v>
      </c>
    </row>
    <row r="509" spans="1:4" x14ac:dyDescent="0.25">
      <c r="A509" s="65" t="s">
        <v>30</v>
      </c>
      <c r="B509" s="65" t="s">
        <v>714</v>
      </c>
      <c r="C509" s="65" t="s">
        <v>277</v>
      </c>
      <c r="D509" s="61">
        <v>0.25</v>
      </c>
    </row>
    <row r="510" spans="1:4" x14ac:dyDescent="0.25">
      <c r="A510" s="65" t="s">
        <v>30</v>
      </c>
      <c r="B510" s="65" t="s">
        <v>715</v>
      </c>
      <c r="C510" s="65" t="s">
        <v>277</v>
      </c>
      <c r="D510" s="61">
        <v>0.75</v>
      </c>
    </row>
    <row r="511" spans="1:4" x14ac:dyDescent="0.25">
      <c r="A511" s="65" t="s">
        <v>30</v>
      </c>
      <c r="B511" s="65" t="s">
        <v>716</v>
      </c>
      <c r="C511" s="65" t="s">
        <v>277</v>
      </c>
      <c r="D511" s="61">
        <v>0.25</v>
      </c>
    </row>
    <row r="512" spans="1:4" x14ac:dyDescent="0.25">
      <c r="A512" s="65" t="s">
        <v>30</v>
      </c>
      <c r="B512" s="65" t="s">
        <v>717</v>
      </c>
      <c r="C512" s="65" t="s">
        <v>277</v>
      </c>
      <c r="D512" s="61">
        <v>0.75</v>
      </c>
    </row>
    <row r="513" spans="1:4" x14ac:dyDescent="0.25">
      <c r="A513" s="65" t="s">
        <v>30</v>
      </c>
      <c r="B513" s="65" t="s">
        <v>718</v>
      </c>
      <c r="C513" s="65" t="s">
        <v>277</v>
      </c>
      <c r="D513" s="61">
        <v>0.25</v>
      </c>
    </row>
    <row r="514" spans="1:4" x14ac:dyDescent="0.25">
      <c r="A514" s="65" t="s">
        <v>30</v>
      </c>
      <c r="B514" s="65" t="s">
        <v>719</v>
      </c>
      <c r="C514" s="65" t="s">
        <v>277</v>
      </c>
      <c r="D514" s="61">
        <v>0.5</v>
      </c>
    </row>
    <row r="515" spans="1:4" x14ac:dyDescent="0.25">
      <c r="A515" s="65" t="s">
        <v>30</v>
      </c>
      <c r="B515" s="65" t="s">
        <v>720</v>
      </c>
      <c r="C515" s="65" t="s">
        <v>277</v>
      </c>
      <c r="D515" s="61">
        <v>0.5</v>
      </c>
    </row>
    <row r="516" spans="1:4" x14ac:dyDescent="0.25">
      <c r="A516" s="65" t="s">
        <v>30</v>
      </c>
      <c r="B516" s="65" t="s">
        <v>721</v>
      </c>
      <c r="C516" s="65" t="s">
        <v>277</v>
      </c>
      <c r="D516" s="61">
        <v>0.5</v>
      </c>
    </row>
    <row r="517" spans="1:4" x14ac:dyDescent="0.25">
      <c r="A517" s="65" t="s">
        <v>30</v>
      </c>
      <c r="B517" s="65" t="s">
        <v>722</v>
      </c>
      <c r="C517" s="65" t="s">
        <v>277</v>
      </c>
      <c r="D517" s="61">
        <v>0.5</v>
      </c>
    </row>
    <row r="518" spans="1:4" x14ac:dyDescent="0.25">
      <c r="A518" s="65" t="s">
        <v>30</v>
      </c>
      <c r="B518" s="65" t="s">
        <v>723</v>
      </c>
      <c r="C518" s="65" t="s">
        <v>277</v>
      </c>
      <c r="D518" s="61">
        <v>1.25</v>
      </c>
    </row>
    <row r="519" spans="1:4" x14ac:dyDescent="0.25">
      <c r="A519" s="65" t="s">
        <v>30</v>
      </c>
      <c r="B519" s="65" t="s">
        <v>724</v>
      </c>
      <c r="C519" s="65" t="s">
        <v>277</v>
      </c>
      <c r="D519" s="61">
        <v>0.5</v>
      </c>
    </row>
    <row r="520" spans="1:4" x14ac:dyDescent="0.25">
      <c r="A520" s="65" t="s">
        <v>30</v>
      </c>
      <c r="B520" s="65" t="s">
        <v>725</v>
      </c>
      <c r="C520" s="65" t="s">
        <v>277</v>
      </c>
      <c r="D520" s="61">
        <v>0.25</v>
      </c>
    </row>
    <row r="521" spans="1:4" x14ac:dyDescent="0.25">
      <c r="A521" s="65" t="s">
        <v>30</v>
      </c>
      <c r="B521" s="65" t="s">
        <v>726</v>
      </c>
      <c r="C521" s="65" t="s">
        <v>277</v>
      </c>
      <c r="D521" s="61">
        <v>0.25</v>
      </c>
    </row>
    <row r="522" spans="1:4" x14ac:dyDescent="0.25">
      <c r="A522" s="65" t="s">
        <v>30</v>
      </c>
      <c r="B522" s="65" t="s">
        <v>727</v>
      </c>
      <c r="C522" s="65" t="s">
        <v>277</v>
      </c>
      <c r="D522" s="61">
        <v>0.25</v>
      </c>
    </row>
    <row r="523" spans="1:4" x14ac:dyDescent="0.25">
      <c r="A523" s="65" t="s">
        <v>30</v>
      </c>
      <c r="B523" s="65" t="s">
        <v>728</v>
      </c>
      <c r="C523" s="65" t="s">
        <v>277</v>
      </c>
      <c r="D523" s="61">
        <v>1.25</v>
      </c>
    </row>
    <row r="524" spans="1:4" x14ac:dyDescent="0.25">
      <c r="A524" s="65" t="s">
        <v>30</v>
      </c>
      <c r="B524" s="65" t="s">
        <v>729</v>
      </c>
      <c r="C524" s="65" t="s">
        <v>277</v>
      </c>
      <c r="D524" s="61">
        <v>0.25</v>
      </c>
    </row>
    <row r="525" spans="1:4" x14ac:dyDescent="0.25">
      <c r="A525" s="65" t="s">
        <v>31</v>
      </c>
      <c r="B525" s="65" t="s">
        <v>730</v>
      </c>
      <c r="C525" s="65" t="s">
        <v>226</v>
      </c>
      <c r="D525" s="61">
        <v>37.5</v>
      </c>
    </row>
    <row r="526" spans="1:4" x14ac:dyDescent="0.25">
      <c r="A526" s="65" t="s">
        <v>31</v>
      </c>
      <c r="B526" s="65" t="s">
        <v>731</v>
      </c>
      <c r="C526" s="65" t="s">
        <v>226</v>
      </c>
      <c r="D526" s="61">
        <v>40.5</v>
      </c>
    </row>
    <row r="527" spans="1:4" x14ac:dyDescent="0.25">
      <c r="A527" s="65" t="s">
        <v>732</v>
      </c>
      <c r="B527" s="65" t="s">
        <v>733</v>
      </c>
      <c r="C527" s="65" t="s">
        <v>226</v>
      </c>
      <c r="D527" s="61">
        <v>40</v>
      </c>
    </row>
    <row r="528" spans="1:4" x14ac:dyDescent="0.25">
      <c r="A528" s="65" t="s">
        <v>73</v>
      </c>
      <c r="B528" s="65" t="s">
        <v>734</v>
      </c>
      <c r="C528" s="65" t="s">
        <v>226</v>
      </c>
      <c r="D528" s="61">
        <v>47</v>
      </c>
    </row>
    <row r="529" spans="1:4" x14ac:dyDescent="0.25">
      <c r="A529" s="65" t="s">
        <v>73</v>
      </c>
      <c r="B529" s="65" t="s">
        <v>735</v>
      </c>
      <c r="C529" s="65" t="s">
        <v>232</v>
      </c>
      <c r="D529" s="61">
        <v>0</v>
      </c>
    </row>
    <row r="530" spans="1:4" x14ac:dyDescent="0.25">
      <c r="A530" s="65" t="s">
        <v>73</v>
      </c>
      <c r="B530" s="65" t="s">
        <v>736</v>
      </c>
      <c r="C530" s="65" t="s">
        <v>253</v>
      </c>
      <c r="D530" s="61">
        <v>1</v>
      </c>
    </row>
    <row r="531" spans="1:4" x14ac:dyDescent="0.25">
      <c r="A531" s="65" t="s">
        <v>73</v>
      </c>
      <c r="B531" s="65" t="s">
        <v>737</v>
      </c>
      <c r="C531" s="65" t="s">
        <v>253</v>
      </c>
      <c r="D531" s="61">
        <v>2</v>
      </c>
    </row>
    <row r="532" spans="1:4" x14ac:dyDescent="0.25">
      <c r="A532" s="65" t="s">
        <v>73</v>
      </c>
      <c r="B532" s="65" t="s">
        <v>738</v>
      </c>
      <c r="C532" s="65" t="s">
        <v>259</v>
      </c>
      <c r="D532" s="61">
        <v>0</v>
      </c>
    </row>
    <row r="533" spans="1:4" x14ac:dyDescent="0.25">
      <c r="A533" s="65" t="s">
        <v>32</v>
      </c>
      <c r="B533" s="65" t="s">
        <v>739</v>
      </c>
      <c r="C533" s="65" t="s">
        <v>224</v>
      </c>
      <c r="D533" s="61">
        <v>0</v>
      </c>
    </row>
    <row r="534" spans="1:4" x14ac:dyDescent="0.25">
      <c r="A534" s="65" t="s">
        <v>32</v>
      </c>
      <c r="B534" s="65" t="s">
        <v>740</v>
      </c>
      <c r="C534" s="65" t="s">
        <v>226</v>
      </c>
      <c r="D534" s="61">
        <v>20</v>
      </c>
    </row>
    <row r="535" spans="1:4" x14ac:dyDescent="0.25">
      <c r="A535" s="65" t="s">
        <v>32</v>
      </c>
      <c r="B535" s="65" t="s">
        <v>741</v>
      </c>
      <c r="C535" s="65" t="s">
        <v>226</v>
      </c>
      <c r="D535" s="61">
        <v>34</v>
      </c>
    </row>
    <row r="536" spans="1:4" x14ac:dyDescent="0.25">
      <c r="A536" s="65" t="s">
        <v>32</v>
      </c>
      <c r="B536" s="65" t="s">
        <v>742</v>
      </c>
      <c r="C536" s="65" t="s">
        <v>226</v>
      </c>
      <c r="D536" s="61">
        <v>21</v>
      </c>
    </row>
    <row r="537" spans="1:4" x14ac:dyDescent="0.25">
      <c r="A537" s="65" t="s">
        <v>32</v>
      </c>
      <c r="B537" s="65" t="s">
        <v>743</v>
      </c>
      <c r="C537" s="65" t="s">
        <v>226</v>
      </c>
      <c r="D537" s="61">
        <v>54.5</v>
      </c>
    </row>
    <row r="538" spans="1:4" x14ac:dyDescent="0.25">
      <c r="A538" s="65" t="s">
        <v>32</v>
      </c>
      <c r="B538" s="65" t="s">
        <v>744</v>
      </c>
      <c r="C538" s="65" t="s">
        <v>226</v>
      </c>
      <c r="D538" s="61">
        <v>21.5</v>
      </c>
    </row>
    <row r="539" spans="1:4" x14ac:dyDescent="0.25">
      <c r="A539" s="65" t="s">
        <v>32</v>
      </c>
      <c r="B539" s="65" t="s">
        <v>745</v>
      </c>
      <c r="C539" s="65" t="s">
        <v>226</v>
      </c>
      <c r="D539" s="61">
        <v>34</v>
      </c>
    </row>
    <row r="540" spans="1:4" x14ac:dyDescent="0.25">
      <c r="A540" s="65" t="s">
        <v>32</v>
      </c>
      <c r="B540" s="65" t="s">
        <v>746</v>
      </c>
      <c r="C540" s="65" t="s">
        <v>253</v>
      </c>
      <c r="D540" s="61">
        <v>1</v>
      </c>
    </row>
    <row r="541" spans="1:4" x14ac:dyDescent="0.25">
      <c r="A541" s="65" t="s">
        <v>32</v>
      </c>
      <c r="B541" s="65" t="s">
        <v>747</v>
      </c>
      <c r="C541" s="65" t="s">
        <v>253</v>
      </c>
      <c r="D541" s="61">
        <v>1.5</v>
      </c>
    </row>
    <row r="542" spans="1:4" x14ac:dyDescent="0.25">
      <c r="A542" s="65" t="s">
        <v>32</v>
      </c>
      <c r="B542" s="65" t="s">
        <v>748</v>
      </c>
      <c r="C542" s="65" t="s">
        <v>253</v>
      </c>
      <c r="D542" s="61">
        <v>3</v>
      </c>
    </row>
    <row r="543" spans="1:4" x14ac:dyDescent="0.25">
      <c r="A543" s="65" t="s">
        <v>32</v>
      </c>
      <c r="B543" s="65" t="s">
        <v>749</v>
      </c>
      <c r="C543" s="65" t="s">
        <v>259</v>
      </c>
      <c r="D543" s="61">
        <v>0</v>
      </c>
    </row>
    <row r="544" spans="1:4" x14ac:dyDescent="0.25">
      <c r="A544" s="65" t="s">
        <v>54</v>
      </c>
      <c r="B544" s="65" t="s">
        <v>750</v>
      </c>
      <c r="C544" s="65" t="s">
        <v>259</v>
      </c>
      <c r="D544" s="61">
        <v>0</v>
      </c>
    </row>
    <row r="545" spans="1:4" x14ac:dyDescent="0.25">
      <c r="A545" s="65" t="s">
        <v>857</v>
      </c>
      <c r="B545" s="65" t="s">
        <v>751</v>
      </c>
      <c r="C545" s="65" t="s">
        <v>226</v>
      </c>
      <c r="D545" s="61">
        <v>48</v>
      </c>
    </row>
    <row r="546" spans="1:4" x14ac:dyDescent="0.25">
      <c r="A546" s="65" t="s">
        <v>857</v>
      </c>
      <c r="B546" s="65" t="s">
        <v>752</v>
      </c>
      <c r="C546" s="65" t="s">
        <v>226</v>
      </c>
      <c r="D546" s="61">
        <v>67</v>
      </c>
    </row>
    <row r="547" spans="1:4" x14ac:dyDescent="0.25">
      <c r="A547" s="65" t="s">
        <v>857</v>
      </c>
      <c r="B547" s="65" t="s">
        <v>753</v>
      </c>
      <c r="C547" s="65" t="s">
        <v>226</v>
      </c>
      <c r="D547" s="61">
        <v>59</v>
      </c>
    </row>
    <row r="548" spans="1:4" x14ac:dyDescent="0.25">
      <c r="A548" s="65" t="s">
        <v>857</v>
      </c>
      <c r="B548" s="65" t="s">
        <v>754</v>
      </c>
      <c r="C548" s="65" t="s">
        <v>230</v>
      </c>
      <c r="D548" s="61">
        <v>34</v>
      </c>
    </row>
    <row r="549" spans="1:4" x14ac:dyDescent="0.25">
      <c r="A549" s="65" t="s">
        <v>858</v>
      </c>
      <c r="B549" s="65" t="s">
        <v>755</v>
      </c>
      <c r="C549" s="65" t="s">
        <v>226</v>
      </c>
      <c r="D549" s="61">
        <v>35.5</v>
      </c>
    </row>
    <row r="550" spans="1:4" x14ac:dyDescent="0.25">
      <c r="A550" s="65" t="s">
        <v>858</v>
      </c>
      <c r="B550" s="65" t="s">
        <v>756</v>
      </c>
      <c r="C550" s="65" t="s">
        <v>226</v>
      </c>
      <c r="D550" s="61">
        <v>61</v>
      </c>
    </row>
    <row r="551" spans="1:4" x14ac:dyDescent="0.25">
      <c r="A551" s="65" t="s">
        <v>858</v>
      </c>
      <c r="B551" s="65" t="s">
        <v>757</v>
      </c>
      <c r="C551" s="65" t="s">
        <v>226</v>
      </c>
      <c r="D551" s="61">
        <v>54.5</v>
      </c>
    </row>
    <row r="552" spans="1:4" x14ac:dyDescent="0.25">
      <c r="A552" s="65" t="s">
        <v>858</v>
      </c>
      <c r="B552" s="65" t="s">
        <v>758</v>
      </c>
      <c r="C552" s="65" t="s">
        <v>226</v>
      </c>
      <c r="D552" s="61">
        <v>45.5</v>
      </c>
    </row>
    <row r="553" spans="1:4" x14ac:dyDescent="0.25">
      <c r="A553" s="65" t="s">
        <v>36</v>
      </c>
      <c r="B553" s="65" t="s">
        <v>767</v>
      </c>
      <c r="C553" s="65" t="s">
        <v>259</v>
      </c>
      <c r="D553" s="61">
        <v>1</v>
      </c>
    </row>
    <row r="554" spans="1:4" x14ac:dyDescent="0.25">
      <c r="A554" s="65" t="s">
        <v>871</v>
      </c>
      <c r="B554" s="65" t="s">
        <v>762</v>
      </c>
      <c r="C554" s="65" t="s">
        <v>226</v>
      </c>
      <c r="D554" s="61">
        <v>46</v>
      </c>
    </row>
    <row r="555" spans="1:4" x14ac:dyDescent="0.25">
      <c r="A555" s="65" t="s">
        <v>870</v>
      </c>
      <c r="B555" s="65" t="s">
        <v>759</v>
      </c>
      <c r="C555" s="65" t="s">
        <v>226</v>
      </c>
      <c r="D555" s="61">
        <v>15</v>
      </c>
    </row>
    <row r="556" spans="1:4" x14ac:dyDescent="0.25">
      <c r="A556" s="65" t="s">
        <v>870</v>
      </c>
      <c r="B556" s="65" t="s">
        <v>760</v>
      </c>
      <c r="C556" s="65" t="s">
        <v>226</v>
      </c>
      <c r="D556" s="61">
        <v>3</v>
      </c>
    </row>
    <row r="557" spans="1:4" x14ac:dyDescent="0.25">
      <c r="A557" s="65" t="s">
        <v>870</v>
      </c>
      <c r="B557" s="65" t="s">
        <v>761</v>
      </c>
      <c r="C557" s="65" t="s">
        <v>226</v>
      </c>
      <c r="D557" s="61">
        <v>3</v>
      </c>
    </row>
    <row r="558" spans="1:4" x14ac:dyDescent="0.25">
      <c r="A558" s="65" t="s">
        <v>870</v>
      </c>
      <c r="B558" s="65" t="s">
        <v>763</v>
      </c>
      <c r="C558" s="65" t="s">
        <v>226</v>
      </c>
      <c r="D558" s="61">
        <v>9.5</v>
      </c>
    </row>
    <row r="559" spans="1:4" x14ac:dyDescent="0.25">
      <c r="A559" s="65" t="s">
        <v>870</v>
      </c>
      <c r="B559" s="65" t="s">
        <v>764</v>
      </c>
      <c r="C559" s="65" t="s">
        <v>232</v>
      </c>
      <c r="D559" s="61">
        <v>0</v>
      </c>
    </row>
    <row r="560" spans="1:4" x14ac:dyDescent="0.25">
      <c r="A560" s="65" t="s">
        <v>870</v>
      </c>
      <c r="B560" s="65" t="s">
        <v>765</v>
      </c>
      <c r="C560" s="65" t="s">
        <v>232</v>
      </c>
      <c r="D560" s="61">
        <v>0</v>
      </c>
    </row>
    <row r="561" spans="1:4" x14ac:dyDescent="0.25">
      <c r="A561" s="65" t="s">
        <v>870</v>
      </c>
      <c r="B561" s="65" t="s">
        <v>766</v>
      </c>
      <c r="C561" s="65" t="s">
        <v>232</v>
      </c>
      <c r="D561" s="61">
        <v>0</v>
      </c>
    </row>
    <row r="562" spans="1:4" x14ac:dyDescent="0.25">
      <c r="A562" s="65" t="s">
        <v>34</v>
      </c>
      <c r="B562" s="65" t="s">
        <v>768</v>
      </c>
      <c r="C562" s="65" t="s">
        <v>247</v>
      </c>
      <c r="D562" s="61">
        <v>0</v>
      </c>
    </row>
    <row r="563" spans="1:4" x14ac:dyDescent="0.25">
      <c r="A563" s="65" t="s">
        <v>34</v>
      </c>
      <c r="B563" s="65" t="s">
        <v>769</v>
      </c>
      <c r="C563" s="65" t="s">
        <v>226</v>
      </c>
      <c r="D563" s="61">
        <v>60</v>
      </c>
    </row>
    <row r="564" spans="1:4" x14ac:dyDescent="0.25">
      <c r="A564" s="65" t="s">
        <v>34</v>
      </c>
      <c r="B564" s="65" t="s">
        <v>770</v>
      </c>
      <c r="C564" s="65" t="s">
        <v>226</v>
      </c>
      <c r="D564" s="61">
        <v>48</v>
      </c>
    </row>
    <row r="565" spans="1:4" x14ac:dyDescent="0.25">
      <c r="A565" s="65" t="s">
        <v>34</v>
      </c>
      <c r="B565" s="65" t="s">
        <v>771</v>
      </c>
      <c r="C565" s="65" t="s">
        <v>226</v>
      </c>
      <c r="D565" s="61">
        <v>62.5</v>
      </c>
    </row>
    <row r="566" spans="1:4" x14ac:dyDescent="0.25">
      <c r="A566" s="65" t="s">
        <v>34</v>
      </c>
      <c r="B566" s="65" t="s">
        <v>772</v>
      </c>
      <c r="C566" s="65" t="s">
        <v>226</v>
      </c>
      <c r="D566" s="61">
        <v>40</v>
      </c>
    </row>
    <row r="567" spans="1:4" x14ac:dyDescent="0.25">
      <c r="A567" s="65" t="s">
        <v>34</v>
      </c>
      <c r="B567" s="65" t="s">
        <v>773</v>
      </c>
      <c r="C567" s="65" t="s">
        <v>226</v>
      </c>
      <c r="D567" s="61">
        <v>48</v>
      </c>
    </row>
    <row r="568" spans="1:4" x14ac:dyDescent="0.25">
      <c r="A568" s="65" t="s">
        <v>34</v>
      </c>
      <c r="B568" s="65" t="s">
        <v>774</v>
      </c>
      <c r="C568" s="65" t="s">
        <v>226</v>
      </c>
      <c r="D568" s="61">
        <v>37.5</v>
      </c>
    </row>
    <row r="569" spans="1:4" x14ac:dyDescent="0.25">
      <c r="A569" s="65" t="s">
        <v>34</v>
      </c>
      <c r="B569" s="65" t="s">
        <v>775</v>
      </c>
      <c r="C569" s="65" t="s">
        <v>226</v>
      </c>
      <c r="D569" s="61">
        <v>58</v>
      </c>
    </row>
    <row r="570" spans="1:4" x14ac:dyDescent="0.25">
      <c r="A570" s="65" t="s">
        <v>34</v>
      </c>
      <c r="B570" s="65" t="s">
        <v>774</v>
      </c>
      <c r="C570" s="65" t="s">
        <v>232</v>
      </c>
      <c r="D570" s="61">
        <v>0</v>
      </c>
    </row>
    <row r="571" spans="1:4" x14ac:dyDescent="0.25">
      <c r="A571" s="65" t="s">
        <v>34</v>
      </c>
      <c r="B571" s="65" t="s">
        <v>776</v>
      </c>
      <c r="C571" s="65" t="s">
        <v>253</v>
      </c>
      <c r="D571" s="61">
        <v>0</v>
      </c>
    </row>
    <row r="572" spans="1:4" x14ac:dyDescent="0.25">
      <c r="A572" s="65" t="s">
        <v>34</v>
      </c>
      <c r="B572" s="65" t="s">
        <v>777</v>
      </c>
      <c r="C572" s="65" t="s">
        <v>253</v>
      </c>
      <c r="D572" s="61">
        <v>0</v>
      </c>
    </row>
    <row r="573" spans="1:4" x14ac:dyDescent="0.25">
      <c r="A573" s="65" t="s">
        <v>34</v>
      </c>
      <c r="B573" s="65" t="s">
        <v>778</v>
      </c>
      <c r="C573" s="65" t="s">
        <v>253</v>
      </c>
      <c r="D573" s="61">
        <v>0</v>
      </c>
    </row>
    <row r="574" spans="1:4" x14ac:dyDescent="0.25">
      <c r="A574" s="65" t="s">
        <v>34</v>
      </c>
      <c r="B574" s="65" t="s">
        <v>779</v>
      </c>
      <c r="C574" s="65" t="s">
        <v>253</v>
      </c>
      <c r="D574" s="61">
        <v>0</v>
      </c>
    </row>
    <row r="575" spans="1:4" x14ac:dyDescent="0.25">
      <c r="A575" s="65" t="s">
        <v>34</v>
      </c>
      <c r="B575" s="65" t="s">
        <v>780</v>
      </c>
      <c r="C575" s="65" t="s">
        <v>259</v>
      </c>
      <c r="D575" s="61">
        <v>0</v>
      </c>
    </row>
    <row r="576" spans="1:4" x14ac:dyDescent="0.25">
      <c r="A576" s="65" t="s">
        <v>34</v>
      </c>
      <c r="B576" s="65" t="s">
        <v>781</v>
      </c>
      <c r="C576" s="65" t="s">
        <v>259</v>
      </c>
      <c r="D576" s="61">
        <v>0</v>
      </c>
    </row>
    <row r="577" spans="1:4" x14ac:dyDescent="0.25">
      <c r="A577" s="65" t="s">
        <v>35</v>
      </c>
      <c r="B577" s="65" t="s">
        <v>782</v>
      </c>
      <c r="C577" s="65" t="s">
        <v>226</v>
      </c>
      <c r="D577" s="61">
        <v>53</v>
      </c>
    </row>
    <row r="578" spans="1:4" x14ac:dyDescent="0.25">
      <c r="A578" s="65" t="s">
        <v>35</v>
      </c>
      <c r="B578" s="65" t="s">
        <v>783</v>
      </c>
      <c r="C578" s="65" t="s">
        <v>230</v>
      </c>
      <c r="D578" s="61">
        <v>53</v>
      </c>
    </row>
    <row r="579" spans="1:4" x14ac:dyDescent="0.25">
      <c r="A579" s="65" t="s">
        <v>35</v>
      </c>
      <c r="B579" s="65" t="s">
        <v>784</v>
      </c>
      <c r="C579" s="65" t="s">
        <v>230</v>
      </c>
      <c r="D579" s="61">
        <v>41</v>
      </c>
    </row>
    <row r="580" spans="1:4" x14ac:dyDescent="0.25">
      <c r="A580" s="65" t="s">
        <v>35</v>
      </c>
      <c r="B580" s="65" t="s">
        <v>785</v>
      </c>
      <c r="C580" s="65" t="s">
        <v>230</v>
      </c>
      <c r="D580" s="61">
        <v>53</v>
      </c>
    </row>
    <row r="581" spans="1:4" x14ac:dyDescent="0.25">
      <c r="A581" s="65" t="s">
        <v>35</v>
      </c>
      <c r="B581" s="65" t="s">
        <v>786</v>
      </c>
      <c r="C581" s="65" t="s">
        <v>230</v>
      </c>
      <c r="D581" s="61">
        <v>55</v>
      </c>
    </row>
    <row r="582" spans="1:4" x14ac:dyDescent="0.25">
      <c r="A582" s="65" t="s">
        <v>35</v>
      </c>
      <c r="B582" s="65" t="s">
        <v>787</v>
      </c>
      <c r="C582" s="65" t="s">
        <v>259</v>
      </c>
      <c r="D582" s="61">
        <v>14</v>
      </c>
    </row>
    <row r="583" spans="1:4" x14ac:dyDescent="0.25">
      <c r="A583" s="65" t="s">
        <v>55</v>
      </c>
      <c r="B583" s="65" t="s">
        <v>796</v>
      </c>
      <c r="C583" s="65" t="s">
        <v>275</v>
      </c>
      <c r="D583" s="61">
        <v>0</v>
      </c>
    </row>
    <row r="584" spans="1:4" x14ac:dyDescent="0.25">
      <c r="A584" s="65" t="s">
        <v>55</v>
      </c>
      <c r="B584" s="65" t="s">
        <v>808</v>
      </c>
      <c r="C584" s="65" t="s">
        <v>259</v>
      </c>
      <c r="D584" s="61">
        <v>15</v>
      </c>
    </row>
    <row r="585" spans="1:4" x14ac:dyDescent="0.25">
      <c r="A585" s="65" t="s">
        <v>859</v>
      </c>
      <c r="B585" s="65" t="s">
        <v>802</v>
      </c>
      <c r="C585" s="65" t="s">
        <v>277</v>
      </c>
      <c r="D585" s="61">
        <v>3</v>
      </c>
    </row>
    <row r="586" spans="1:4" x14ac:dyDescent="0.25">
      <c r="A586" s="65" t="s">
        <v>859</v>
      </c>
      <c r="B586" s="65" t="s">
        <v>794</v>
      </c>
      <c r="C586" s="65" t="s">
        <v>226</v>
      </c>
      <c r="D586" s="61">
        <v>50</v>
      </c>
    </row>
    <row r="587" spans="1:4" x14ac:dyDescent="0.25">
      <c r="A587" s="65" t="s">
        <v>859</v>
      </c>
      <c r="B587" s="65" t="s">
        <v>795</v>
      </c>
      <c r="C587" s="65" t="s">
        <v>226</v>
      </c>
      <c r="D587" s="61">
        <v>67</v>
      </c>
    </row>
    <row r="588" spans="1:4" x14ac:dyDescent="0.25">
      <c r="A588" s="65" t="s">
        <v>859</v>
      </c>
      <c r="B588" s="65" t="s">
        <v>809</v>
      </c>
      <c r="C588" s="65" t="s">
        <v>226</v>
      </c>
      <c r="D588" s="61">
        <v>68</v>
      </c>
    </row>
    <row r="589" spans="1:4" x14ac:dyDescent="0.25">
      <c r="A589" s="65" t="s">
        <v>860</v>
      </c>
      <c r="B589" s="65" t="s">
        <v>790</v>
      </c>
      <c r="C589" s="65" t="s">
        <v>247</v>
      </c>
      <c r="D589" s="61">
        <v>6</v>
      </c>
    </row>
    <row r="590" spans="1:4" x14ac:dyDescent="0.25">
      <c r="A590" s="65" t="s">
        <v>860</v>
      </c>
      <c r="B590" s="65" t="s">
        <v>797</v>
      </c>
      <c r="C590" s="65" t="s">
        <v>277</v>
      </c>
      <c r="D590" s="61">
        <v>2</v>
      </c>
    </row>
    <row r="591" spans="1:4" x14ac:dyDescent="0.25">
      <c r="A591" s="65" t="s">
        <v>860</v>
      </c>
      <c r="B591" s="65" t="s">
        <v>798</v>
      </c>
      <c r="C591" s="65" t="s">
        <v>277</v>
      </c>
      <c r="D591" s="61">
        <v>2</v>
      </c>
    </row>
    <row r="592" spans="1:4" x14ac:dyDescent="0.25">
      <c r="A592" s="65" t="s">
        <v>860</v>
      </c>
      <c r="B592" s="65" t="s">
        <v>799</v>
      </c>
      <c r="C592" s="65" t="s">
        <v>277</v>
      </c>
      <c r="D592" s="61">
        <v>4</v>
      </c>
    </row>
    <row r="593" spans="1:4" x14ac:dyDescent="0.25">
      <c r="A593" s="65" t="s">
        <v>860</v>
      </c>
      <c r="B593" s="65" t="s">
        <v>790</v>
      </c>
      <c r="C593" s="65" t="s">
        <v>277</v>
      </c>
      <c r="D593" s="61">
        <v>2</v>
      </c>
    </row>
    <row r="594" spans="1:4" x14ac:dyDescent="0.25">
      <c r="A594" s="65" t="s">
        <v>860</v>
      </c>
      <c r="B594" s="65" t="s">
        <v>803</v>
      </c>
      <c r="C594" s="65" t="s">
        <v>277</v>
      </c>
      <c r="D594" s="61">
        <v>2</v>
      </c>
    </row>
    <row r="595" spans="1:4" x14ac:dyDescent="0.25">
      <c r="A595" s="65" t="s">
        <v>860</v>
      </c>
      <c r="B595" s="65" t="s">
        <v>804</v>
      </c>
      <c r="C595" s="65" t="s">
        <v>277</v>
      </c>
      <c r="D595" s="61">
        <v>2</v>
      </c>
    </row>
    <row r="596" spans="1:4" x14ac:dyDescent="0.25">
      <c r="A596" s="65" t="s">
        <v>860</v>
      </c>
      <c r="B596" s="65" t="s">
        <v>805</v>
      </c>
      <c r="C596" s="65" t="s">
        <v>277</v>
      </c>
      <c r="D596" s="61">
        <v>2</v>
      </c>
    </row>
    <row r="597" spans="1:4" x14ac:dyDescent="0.25">
      <c r="A597" s="65" t="s">
        <v>860</v>
      </c>
      <c r="B597" s="65" t="s">
        <v>806</v>
      </c>
      <c r="C597" s="65" t="s">
        <v>277</v>
      </c>
      <c r="D597" s="61">
        <v>2</v>
      </c>
    </row>
    <row r="598" spans="1:4" x14ac:dyDescent="0.25">
      <c r="A598" s="65" t="s">
        <v>860</v>
      </c>
      <c r="B598" s="65" t="s">
        <v>807</v>
      </c>
      <c r="C598" s="65" t="s">
        <v>277</v>
      </c>
      <c r="D598" s="61">
        <v>2</v>
      </c>
    </row>
    <row r="599" spans="1:4" x14ac:dyDescent="0.25">
      <c r="A599" s="65" t="s">
        <v>860</v>
      </c>
      <c r="B599" s="65" t="s">
        <v>810</v>
      </c>
      <c r="C599" s="65" t="s">
        <v>226</v>
      </c>
      <c r="D599" s="61">
        <v>56</v>
      </c>
    </row>
    <row r="600" spans="1:4" x14ac:dyDescent="0.25">
      <c r="A600" s="65" t="s">
        <v>860</v>
      </c>
      <c r="B600" s="65" t="s">
        <v>811</v>
      </c>
      <c r="C600" s="65" t="s">
        <v>226</v>
      </c>
      <c r="D600" s="61">
        <v>68</v>
      </c>
    </row>
    <row r="601" spans="1:4" x14ac:dyDescent="0.25">
      <c r="A601" s="65" t="s">
        <v>861</v>
      </c>
      <c r="B601" s="65" t="s">
        <v>788</v>
      </c>
      <c r="C601" s="65" t="s">
        <v>247</v>
      </c>
      <c r="D601" s="61">
        <v>4</v>
      </c>
    </row>
    <row r="602" spans="1:4" x14ac:dyDescent="0.25">
      <c r="A602" s="65" t="s">
        <v>861</v>
      </c>
      <c r="B602" s="65" t="s">
        <v>789</v>
      </c>
      <c r="C602" s="65" t="s">
        <v>247</v>
      </c>
      <c r="D602" s="61">
        <v>15</v>
      </c>
    </row>
    <row r="603" spans="1:4" x14ac:dyDescent="0.25">
      <c r="A603" s="65" t="s">
        <v>861</v>
      </c>
      <c r="B603" s="65" t="s">
        <v>791</v>
      </c>
      <c r="C603" s="65" t="s">
        <v>247</v>
      </c>
      <c r="D603" s="61">
        <v>25</v>
      </c>
    </row>
    <row r="604" spans="1:4" x14ac:dyDescent="0.25">
      <c r="A604" s="65" t="s">
        <v>861</v>
      </c>
      <c r="B604" s="65" t="s">
        <v>800</v>
      </c>
      <c r="C604" s="65" t="s">
        <v>277</v>
      </c>
      <c r="D604" s="61">
        <v>2</v>
      </c>
    </row>
    <row r="605" spans="1:4" x14ac:dyDescent="0.25">
      <c r="A605" s="65" t="s">
        <v>861</v>
      </c>
      <c r="B605" s="65" t="s">
        <v>801</v>
      </c>
      <c r="C605" s="65" t="s">
        <v>277</v>
      </c>
      <c r="D605" s="61">
        <v>2</v>
      </c>
    </row>
    <row r="606" spans="1:4" x14ac:dyDescent="0.25">
      <c r="A606" s="65" t="s">
        <v>861</v>
      </c>
      <c r="B606" s="65" t="s">
        <v>792</v>
      </c>
      <c r="C606" s="65" t="s">
        <v>226</v>
      </c>
      <c r="D606" s="61">
        <v>65</v>
      </c>
    </row>
    <row r="607" spans="1:4" x14ac:dyDescent="0.25">
      <c r="A607" s="65" t="s">
        <v>861</v>
      </c>
      <c r="B607" s="65" t="s">
        <v>793</v>
      </c>
      <c r="C607" s="65" t="s">
        <v>226</v>
      </c>
      <c r="D607" s="61">
        <v>69</v>
      </c>
    </row>
    <row r="608" spans="1:4" x14ac:dyDescent="0.25">
      <c r="A608" s="65" t="s">
        <v>861</v>
      </c>
      <c r="B608" s="65" t="s">
        <v>812</v>
      </c>
      <c r="C608" s="65" t="s">
        <v>226</v>
      </c>
      <c r="D608" s="61">
        <v>50</v>
      </c>
    </row>
    <row r="609" spans="1:4" x14ac:dyDescent="0.25">
      <c r="A609" s="65" t="s">
        <v>861</v>
      </c>
      <c r="B609" s="65" t="s">
        <v>813</v>
      </c>
      <c r="C609" s="65" t="s">
        <v>226</v>
      </c>
      <c r="D609" s="61">
        <v>61</v>
      </c>
    </row>
    <row r="610" spans="1:4" x14ac:dyDescent="0.25">
      <c r="A610" s="65" t="s">
        <v>861</v>
      </c>
      <c r="B610" s="65" t="s">
        <v>814</v>
      </c>
      <c r="C610" s="65" t="s">
        <v>226</v>
      </c>
      <c r="D610" s="61">
        <v>46</v>
      </c>
    </row>
    <row r="611" spans="1:4" x14ac:dyDescent="0.25">
      <c r="A611" s="65" t="s">
        <v>71</v>
      </c>
      <c r="B611" s="65" t="s">
        <v>815</v>
      </c>
      <c r="C611" s="65" t="s">
        <v>247</v>
      </c>
      <c r="D611" s="61">
        <v>3</v>
      </c>
    </row>
    <row r="612" spans="1:4" x14ac:dyDescent="0.25">
      <c r="A612" s="65" t="s">
        <v>71</v>
      </c>
      <c r="B612" s="65" t="s">
        <v>816</v>
      </c>
      <c r="C612" s="65" t="s">
        <v>224</v>
      </c>
      <c r="D612" s="61">
        <v>0</v>
      </c>
    </row>
    <row r="613" spans="1:4" x14ac:dyDescent="0.25">
      <c r="A613" s="65" t="s">
        <v>71</v>
      </c>
      <c r="B613" s="65" t="s">
        <v>817</v>
      </c>
      <c r="C613" s="65" t="s">
        <v>230</v>
      </c>
      <c r="D613" s="61">
        <v>28</v>
      </c>
    </row>
    <row r="614" spans="1:4" x14ac:dyDescent="0.25">
      <c r="A614" s="65" t="s">
        <v>71</v>
      </c>
      <c r="B614" s="65" t="s">
        <v>818</v>
      </c>
      <c r="C614" s="65" t="s">
        <v>232</v>
      </c>
      <c r="D614" s="61">
        <v>0</v>
      </c>
    </row>
    <row r="615" spans="1:4" x14ac:dyDescent="0.25">
      <c r="A615" s="65" t="s">
        <v>71</v>
      </c>
      <c r="B615" s="65" t="s">
        <v>819</v>
      </c>
      <c r="C615" s="65" t="s">
        <v>232</v>
      </c>
      <c r="D615" s="61">
        <v>0</v>
      </c>
    </row>
    <row r="616" spans="1:4" x14ac:dyDescent="0.25">
      <c r="A616" s="65" t="s">
        <v>71</v>
      </c>
      <c r="B616" s="65" t="s">
        <v>820</v>
      </c>
      <c r="C616" s="65" t="s">
        <v>232</v>
      </c>
      <c r="D616" s="61">
        <v>0</v>
      </c>
    </row>
    <row r="617" spans="1:4" x14ac:dyDescent="0.25">
      <c r="A617" s="65" t="s">
        <v>71</v>
      </c>
      <c r="B617" s="65" t="s">
        <v>821</v>
      </c>
      <c r="C617" s="65" t="s">
        <v>240</v>
      </c>
      <c r="D617" s="61">
        <v>3</v>
      </c>
    </row>
    <row r="618" spans="1:4" x14ac:dyDescent="0.25">
      <c r="A618" s="65" t="s">
        <v>71</v>
      </c>
      <c r="B618" s="65" t="s">
        <v>822</v>
      </c>
      <c r="C618" s="65" t="s">
        <v>253</v>
      </c>
      <c r="D618" s="61">
        <v>3</v>
      </c>
    </row>
    <row r="619" spans="1:4" x14ac:dyDescent="0.25">
      <c r="A619" s="65" t="s">
        <v>71</v>
      </c>
      <c r="B619" s="65" t="s">
        <v>823</v>
      </c>
      <c r="C619" s="65" t="s">
        <v>253</v>
      </c>
      <c r="D619" s="61">
        <v>2.5</v>
      </c>
    </row>
    <row r="620" spans="1:4" x14ac:dyDescent="0.25">
      <c r="A620" s="65" t="s">
        <v>71</v>
      </c>
      <c r="B620" s="65" t="s">
        <v>824</v>
      </c>
      <c r="C620" s="65" t="s">
        <v>253</v>
      </c>
      <c r="D620" s="61">
        <v>2.5</v>
      </c>
    </row>
    <row r="621" spans="1:4" x14ac:dyDescent="0.25">
      <c r="A621" s="65" t="s">
        <v>71</v>
      </c>
      <c r="B621" s="65" t="s">
        <v>825</v>
      </c>
      <c r="C621" s="65" t="s">
        <v>253</v>
      </c>
      <c r="D621" s="61">
        <v>1.75</v>
      </c>
    </row>
    <row r="622" spans="1:4" x14ac:dyDescent="0.25">
      <c r="A622" s="65" t="s">
        <v>71</v>
      </c>
      <c r="B622" s="65" t="s">
        <v>826</v>
      </c>
      <c r="C622" s="65" t="s">
        <v>253</v>
      </c>
      <c r="D622" s="61">
        <v>3.25</v>
      </c>
    </row>
    <row r="623" spans="1:4" x14ac:dyDescent="0.25">
      <c r="A623" s="65" t="s">
        <v>71</v>
      </c>
      <c r="B623" s="65" t="s">
        <v>827</v>
      </c>
      <c r="C623" s="65" t="s">
        <v>259</v>
      </c>
      <c r="D623" s="61">
        <v>0</v>
      </c>
    </row>
    <row r="624" spans="1:4" x14ac:dyDescent="0.25">
      <c r="A624" s="65" t="s">
        <v>194</v>
      </c>
      <c r="B624" s="65" t="s">
        <v>847</v>
      </c>
      <c r="C624" s="65" t="s">
        <v>259</v>
      </c>
      <c r="D624" s="61">
        <v>35</v>
      </c>
    </row>
    <row r="625" spans="1:4" x14ac:dyDescent="0.25">
      <c r="A625" s="65" t="s">
        <v>872</v>
      </c>
      <c r="B625" s="65" t="s">
        <v>831</v>
      </c>
      <c r="C625" s="65" t="s">
        <v>226</v>
      </c>
      <c r="D625" s="61">
        <v>48</v>
      </c>
    </row>
    <row r="626" spans="1:4" x14ac:dyDescent="0.25">
      <c r="A626" s="65" t="s">
        <v>872</v>
      </c>
      <c r="B626" s="65" t="s">
        <v>833</v>
      </c>
      <c r="C626" s="65" t="s">
        <v>226</v>
      </c>
      <c r="D626" s="61">
        <v>48</v>
      </c>
    </row>
    <row r="627" spans="1:4" x14ac:dyDescent="0.25">
      <c r="A627" s="65" t="s">
        <v>872</v>
      </c>
      <c r="B627" s="65" t="s">
        <v>834</v>
      </c>
      <c r="C627" s="65" t="s">
        <v>226</v>
      </c>
      <c r="D627" s="61">
        <v>32.5</v>
      </c>
    </row>
    <row r="628" spans="1:4" x14ac:dyDescent="0.25">
      <c r="A628" s="65" t="s">
        <v>872</v>
      </c>
      <c r="B628" s="65" t="s">
        <v>836</v>
      </c>
      <c r="C628" s="65" t="s">
        <v>226</v>
      </c>
      <c r="D628" s="61">
        <v>48</v>
      </c>
    </row>
    <row r="629" spans="1:4" x14ac:dyDescent="0.25">
      <c r="A629" s="65" t="s">
        <v>872</v>
      </c>
      <c r="B629" s="65" t="s">
        <v>838</v>
      </c>
      <c r="C629" s="65" t="s">
        <v>226</v>
      </c>
      <c r="D629" s="61">
        <v>57</v>
      </c>
    </row>
    <row r="630" spans="1:4" x14ac:dyDescent="0.25">
      <c r="A630" s="65" t="s">
        <v>872</v>
      </c>
      <c r="B630" s="65" t="s">
        <v>843</v>
      </c>
      <c r="C630" s="65" t="s">
        <v>226</v>
      </c>
      <c r="D630" s="61">
        <v>57</v>
      </c>
    </row>
    <row r="631" spans="1:4" x14ac:dyDescent="0.25">
      <c r="A631" s="65" t="s">
        <v>874</v>
      </c>
      <c r="B631" s="65" t="s">
        <v>835</v>
      </c>
      <c r="C631" s="65" t="s">
        <v>226</v>
      </c>
      <c r="D631" s="61">
        <v>64.5</v>
      </c>
    </row>
    <row r="632" spans="1:4" x14ac:dyDescent="0.25">
      <c r="A632" s="65" t="s">
        <v>874</v>
      </c>
      <c r="B632" s="65" t="s">
        <v>842</v>
      </c>
      <c r="C632" s="65" t="s">
        <v>226</v>
      </c>
      <c r="D632" s="61">
        <v>69</v>
      </c>
    </row>
    <row r="633" spans="1:4" x14ac:dyDescent="0.25">
      <c r="A633" s="65" t="s">
        <v>873</v>
      </c>
      <c r="B633" s="65" t="s">
        <v>828</v>
      </c>
      <c r="C633" s="65" t="s">
        <v>247</v>
      </c>
      <c r="D633" s="61">
        <v>0</v>
      </c>
    </row>
    <row r="634" spans="1:4" x14ac:dyDescent="0.25">
      <c r="A634" s="65" t="s">
        <v>873</v>
      </c>
      <c r="B634" s="65" t="s">
        <v>829</v>
      </c>
      <c r="C634" s="65" t="s">
        <v>247</v>
      </c>
      <c r="D634" s="61">
        <v>0</v>
      </c>
    </row>
    <row r="635" spans="1:4" x14ac:dyDescent="0.25">
      <c r="A635" s="65" t="s">
        <v>873</v>
      </c>
      <c r="B635" s="65" t="s">
        <v>830</v>
      </c>
      <c r="C635" s="65" t="s">
        <v>247</v>
      </c>
      <c r="D635" s="61">
        <v>0</v>
      </c>
    </row>
    <row r="636" spans="1:4" x14ac:dyDescent="0.25">
      <c r="A636" s="65" t="s">
        <v>873</v>
      </c>
      <c r="B636" s="65" t="s">
        <v>832</v>
      </c>
      <c r="C636" s="65" t="s">
        <v>226</v>
      </c>
      <c r="D636" s="61">
        <v>48</v>
      </c>
    </row>
    <row r="637" spans="1:4" x14ac:dyDescent="0.25">
      <c r="A637" s="65" t="s">
        <v>873</v>
      </c>
      <c r="B637" s="65" t="s">
        <v>837</v>
      </c>
      <c r="C637" s="65" t="s">
        <v>226</v>
      </c>
      <c r="D637" s="61">
        <v>47</v>
      </c>
    </row>
    <row r="638" spans="1:4" x14ac:dyDescent="0.25">
      <c r="A638" s="65" t="s">
        <v>873</v>
      </c>
      <c r="B638" s="65" t="s">
        <v>839</v>
      </c>
      <c r="C638" s="65" t="s">
        <v>226</v>
      </c>
      <c r="D638" s="61">
        <v>51</v>
      </c>
    </row>
    <row r="639" spans="1:4" x14ac:dyDescent="0.25">
      <c r="A639" s="65" t="s">
        <v>873</v>
      </c>
      <c r="B639" s="65" t="s">
        <v>840</v>
      </c>
      <c r="C639" s="65" t="s">
        <v>226</v>
      </c>
      <c r="D639" s="61">
        <v>35</v>
      </c>
    </row>
    <row r="640" spans="1:4" x14ac:dyDescent="0.25">
      <c r="A640" s="65" t="s">
        <v>873</v>
      </c>
      <c r="B640" s="65" t="s">
        <v>841</v>
      </c>
      <c r="C640" s="65" t="s">
        <v>226</v>
      </c>
      <c r="D640" s="61">
        <v>48</v>
      </c>
    </row>
    <row r="641" spans="1:4" x14ac:dyDescent="0.25">
      <c r="A641" s="65" t="s">
        <v>873</v>
      </c>
      <c r="B641" s="65" t="s">
        <v>844</v>
      </c>
      <c r="C641" s="65" t="s">
        <v>226</v>
      </c>
      <c r="D641" s="61">
        <v>47</v>
      </c>
    </row>
    <row r="642" spans="1:4" x14ac:dyDescent="0.25">
      <c r="A642" s="65" t="s">
        <v>873</v>
      </c>
      <c r="B642" s="65" t="s">
        <v>845</v>
      </c>
      <c r="C642" s="65" t="s">
        <v>253</v>
      </c>
      <c r="D642" s="61"/>
    </row>
    <row r="643" spans="1:4" x14ac:dyDescent="0.25">
      <c r="A643" s="65" t="s">
        <v>873</v>
      </c>
      <c r="B643" s="65" t="s">
        <v>846</v>
      </c>
      <c r="C643" s="65" t="s">
        <v>253</v>
      </c>
      <c r="D643" s="61"/>
    </row>
    <row r="644" spans="1:4" x14ac:dyDescent="0.25">
      <c r="A644" s="62"/>
      <c r="B644" s="62"/>
      <c r="C644" s="62"/>
      <c r="D644" s="62"/>
    </row>
  </sheetData>
  <autoFilter ref="A4:D643" xr:uid="{168F0725-C05B-471E-9947-4D0444DB3A78}">
    <sortState xmlns:xlrd2="http://schemas.microsoft.com/office/spreadsheetml/2017/richdata2" ref="A5:D643">
      <sortCondition ref="A4:A643"/>
    </sortState>
  </autoFilter>
  <dataValidations count="1">
    <dataValidation type="list" allowBlank="1" showInputMessage="1" showErrorMessage="1" sqref="C343:C345 C348" xr:uid="{0AE1FF21-856E-4DC1-ABE6-93B7E5DCEDAA}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2024-25</vt:lpstr>
      <vt:lpstr>2023-24</vt:lpstr>
      <vt:lpstr>2022-23</vt:lpstr>
      <vt:lpstr>Service Points June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Phillips</dc:creator>
  <cp:lastModifiedBy>Ian Phillips</cp:lastModifiedBy>
  <cp:lastPrinted>2021-10-19T00:09:48Z</cp:lastPrinted>
  <dcterms:created xsi:type="dcterms:W3CDTF">2016-08-12T02:49:04Z</dcterms:created>
  <dcterms:modified xsi:type="dcterms:W3CDTF">2025-11-09T20:09:02Z</dcterms:modified>
</cp:coreProperties>
</file>