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https://statelibrarynsw.sharepoint.com/sites/PLSDC/PLS/Grants  Subsidies/Grants &amp; Subsidies/Statistics 1989+/Statistics_2024-25/2024-25_Statistics_Publication/"/>
    </mc:Choice>
  </mc:AlternateContent>
  <xr:revisionPtr revIDLastSave="0" documentId="8_{5826C1E0-E473-4856-A224-7E8A0077DAA7}" xr6:coauthVersionLast="47" xr6:coauthVersionMax="47" xr10:uidLastSave="{00000000-0000-0000-0000-000000000000}"/>
  <bookViews>
    <workbookView xWindow="-120" yWindow="-120" windowWidth="29040" windowHeight="15720" tabRatio="946" firstSheet="51" activeTab="48" xr2:uid="{00000000-000D-0000-FFFF-FFFF00000000}"/>
  </bookViews>
  <sheets>
    <sheet name="Contents" sheetId="111" r:id="rId1"/>
    <sheet name="Expenditure &amp; Subsidy - Summary" sheetId="1" r:id="rId2"/>
    <sheet name="Expenditure &amp; Subsidy " sheetId="2" r:id="rId3"/>
    <sheet name="Voted Expenditure &amp; Subsidy " sheetId="6" r:id="rId4"/>
    <sheet name="Expenditure &amp; Subsidy-Summaries" sheetId="11" r:id="rId5"/>
    <sheet name="Exp &amp; Subsidy by Library " sheetId="12" r:id="rId6"/>
    <sheet name="Exp on Library Material " sheetId="88" r:id="rId7"/>
    <sheet name="Circulation" sheetId="15" r:id="rId8"/>
    <sheet name="Circulation by Format " sheetId="16" r:id="rId9"/>
    <sheet name="Circulation by Books Category " sheetId="18" r:id="rId10"/>
    <sheet name="Circulation of Non-Book " sheetId="20" r:id="rId11"/>
    <sheet name="Circ-Separate Collections " sheetId="81" r:id="rId12"/>
    <sheet name="Circulation by Council" sheetId="100" r:id="rId13"/>
    <sheet name="Total Stock " sheetId="26" r:id="rId14"/>
    <sheet name="Total Bookstock " sheetId="28" r:id="rId15"/>
    <sheet name="Total Non-Book" sheetId="30" r:id="rId16"/>
    <sheet name="Total Serials " sheetId="34" r:id="rId17"/>
    <sheet name="Separate Collections " sheetId="36" r:id="rId18"/>
    <sheet name="Acquisitions &amp; Discards" sheetId="38" r:id="rId19"/>
    <sheet name="Service Pts &amp; Hours Open " sheetId="42" r:id="rId20"/>
    <sheet name="Registered Members " sheetId="40" r:id="rId21"/>
    <sheet name="Resident &amp; Non-Resident Members" sheetId="101" r:id="rId22"/>
    <sheet name="Staff " sheetId="44" r:id="rId23"/>
    <sheet name="Regional &amp; Joint Lib Services" sheetId="46" r:id="rId24"/>
    <sheet name="Summary of Comparative Stats" sheetId="49" r:id="rId25"/>
    <sheet name="Population" sheetId="51" r:id="rId26"/>
    <sheet name="Total Expenditure" sheetId="52" r:id="rId27"/>
    <sheet name="Expenditure per capita" sheetId="53" r:id="rId28"/>
    <sheet name="Exp on Salaries per capita" sheetId="54" r:id="rId29"/>
    <sheet name="Exp on Lib Mat per capita" sheetId="55" r:id="rId30"/>
    <sheet name="Library Material " sheetId="56" r:id="rId31"/>
    <sheet name="Library Material per capita" sheetId="57" r:id="rId32"/>
    <sheet name="Average Cost of Lib Mat" sheetId="58" r:id="rId33"/>
    <sheet name="Age of Lib Material" sheetId="59" r:id="rId34"/>
    <sheet name="Adult Fiction" sheetId="60" r:id="rId35"/>
    <sheet name="Adult Periodical Titles" sheetId="61" r:id="rId36"/>
    <sheet name="Acquisitions" sheetId="62" r:id="rId37"/>
    <sheet name="Acquisitions per capita" sheetId="63" r:id="rId38"/>
    <sheet name="Discards as % of Acquisitions" sheetId="64" r:id="rId39"/>
    <sheet name="Discards as % of Total Stock" sheetId="65" r:id="rId40"/>
    <sheet name="Circulation of Lib Material" sheetId="66" r:id="rId41"/>
    <sheet name="Circulation per capita" sheetId="67" r:id="rId42"/>
    <sheet name="Turnover of Stock" sheetId="68" r:id="rId43"/>
    <sheet name="Circulation per Staff Member" sheetId="69" r:id="rId44"/>
    <sheet name="Total Staff" sheetId="70" r:id="rId45"/>
    <sheet name="Population per Staff Member" sheetId="71" r:id="rId46"/>
    <sheet name="Total Qualified Staff" sheetId="96" r:id="rId47"/>
    <sheet name="Population per Qualified Staff" sheetId="73" r:id="rId48"/>
    <sheet name="Document Delivery" sheetId="74" r:id="rId49"/>
    <sheet name="Library Visits" sheetId="76" r:id="rId50"/>
    <sheet name="Internet Public Access " sheetId="78" r:id="rId51"/>
    <sheet name="Info &amp; Customer Requests " sheetId="84" r:id="rId52"/>
    <sheet name="Library Programs " sheetId="97" r:id="rId53"/>
    <sheet name="Online Library Programs " sheetId="104" r:id="rId54"/>
    <sheet name="Lib Program Audience " sheetId="106" r:id="rId55"/>
    <sheet name="Lib Program Types &amp; Attendance" sheetId="110" r:id="rId56"/>
    <sheet name="Website Visits" sheetId="99" r:id="rId57"/>
    <sheet name="Digitised Collections" sheetId="102" r:id="rId58"/>
  </sheets>
  <definedNames>
    <definedName name="_xlnm.Print_Area" localSheetId="32">'Average Cost of Lib Mat'!$A$1:$F$55</definedName>
    <definedName name="_xlnm.Print_Area" localSheetId="7">Circulation!$A$1:$F$50</definedName>
    <definedName name="_xlnm.Print_Area" localSheetId="9">'Circulation by Books Category '!$A$1:$J$50</definedName>
    <definedName name="_xlnm.Print_Area" localSheetId="12">'Circulation by Council'!$A$1:$N$50</definedName>
    <definedName name="_xlnm.Print_Area" localSheetId="8">'Circulation by Format '!$A$1:$E$50</definedName>
    <definedName name="_xlnm.Print_Area" localSheetId="10">'Circulation of Non-Book '!$A$1:$F$50</definedName>
    <definedName name="_xlnm.Print_Area" localSheetId="5">'Exp &amp; Subsidy by Library '!$A$1:$G$53</definedName>
    <definedName name="_xlnm.Print_Area" localSheetId="29">'Exp on Lib Mat per capita'!$A$1:$F$54</definedName>
    <definedName name="_xlnm.Print_Area" localSheetId="6">'Exp on Library Material '!$A$1:$H$50</definedName>
    <definedName name="_xlnm.Print_Area" localSheetId="28">'Exp on Salaries per capita'!$A$1:$F$53</definedName>
    <definedName name="_xlnm.Print_Area" localSheetId="2">'Expenditure &amp; Subsidy '!$A$1:$J$56</definedName>
    <definedName name="_xlnm.Print_Area" localSheetId="4">'Expenditure &amp; Subsidy-Summaries'!$A$1:$G$46</definedName>
    <definedName name="_xlnm.Print_Area" localSheetId="50">'Internet Public Access '!$A$1:$E$51</definedName>
    <definedName name="_xlnm.Print_Area" localSheetId="25">Population!$A$1:$G$54</definedName>
    <definedName name="_xlnm.Print_Area" localSheetId="21">'Resident &amp; Non-Resident Members'!$A$1:$K$51</definedName>
    <definedName name="_xlnm.Print_Area" localSheetId="46">'Total Qualified Staff'!$A$1:$G$54</definedName>
    <definedName name="_xlnm.Print_Area" localSheetId="3">'Voted Expenditure &amp; Subsidy '!$A$1:$H$56</definedName>
    <definedName name="_xlnm.Print_Titles" localSheetId="41">'Circulation per capita'!$1:$1</definedName>
    <definedName name="_xlnm.Print_Titles" localSheetId="38">'Discards as % of Acquisitions'!$1:$1</definedName>
    <definedName name="_xlnm.Print_Titles" localSheetId="6">'Exp on Library Material '!$1:$1</definedName>
    <definedName name="_xlnm.Print_Titles" localSheetId="28">'Exp on Salaries per capita'!$1:$1</definedName>
    <definedName name="_xlnm.Print_Titles" localSheetId="1">'Expenditure &amp; Subsidy - Summary'!$1:$1</definedName>
    <definedName name="_xlnm.Print_Titles" localSheetId="3">'Voted Expenditure &amp; Subsidy 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69" l="1"/>
  <c r="C96" i="69"/>
  <c r="C96" i="71"/>
  <c r="C95" i="71"/>
  <c r="C97" i="70"/>
  <c r="C96" i="70"/>
  <c r="C95" i="70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39" i="44"/>
  <c r="H40" i="44"/>
  <c r="H41" i="44"/>
  <c r="H42" i="44"/>
  <c r="H43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H57" i="44"/>
  <c r="H58" i="44"/>
  <c r="H59" i="44"/>
  <c r="H60" i="44"/>
  <c r="H61" i="44"/>
  <c r="H62" i="44"/>
  <c r="H63" i="44"/>
  <c r="H64" i="44"/>
  <c r="H65" i="44"/>
  <c r="H66" i="44"/>
  <c r="H67" i="44"/>
  <c r="H68" i="44"/>
  <c r="H69" i="44"/>
  <c r="H70" i="44"/>
  <c r="H71" i="44"/>
  <c r="H72" i="44"/>
  <c r="H73" i="44"/>
  <c r="H74" i="44"/>
  <c r="H75" i="44"/>
  <c r="H76" i="44"/>
  <c r="H77" i="44"/>
  <c r="H78" i="44"/>
  <c r="H79" i="44"/>
  <c r="H80" i="44"/>
  <c r="H81" i="44"/>
  <c r="H82" i="44"/>
  <c r="H83" i="44"/>
  <c r="H84" i="44"/>
  <c r="H85" i="44"/>
  <c r="H86" i="44"/>
  <c r="H87" i="44"/>
  <c r="H88" i="44"/>
  <c r="H89" i="44"/>
  <c r="H90" i="44"/>
  <c r="H91" i="44"/>
  <c r="H92" i="44"/>
  <c r="H4" i="44"/>
  <c r="C96" i="44"/>
  <c r="D96" i="44"/>
  <c r="E96" i="44"/>
  <c r="F96" i="44"/>
  <c r="G96" i="44"/>
  <c r="H96" i="44"/>
  <c r="B96" i="44"/>
  <c r="C95" i="44"/>
  <c r="D95" i="44"/>
  <c r="E95" i="44"/>
  <c r="F95" i="44"/>
  <c r="G95" i="44"/>
  <c r="H95" i="44"/>
  <c r="B95" i="44"/>
  <c r="C94" i="44"/>
  <c r="D94" i="44"/>
  <c r="E94" i="44"/>
  <c r="F94" i="44"/>
  <c r="G94" i="44"/>
  <c r="H94" i="44"/>
  <c r="B94" i="44"/>
  <c r="C97" i="54"/>
  <c r="C96" i="54"/>
  <c r="C100" i="58"/>
  <c r="C99" i="58"/>
  <c r="C97" i="55"/>
  <c r="C96" i="55"/>
  <c r="C96" i="88"/>
  <c r="D96" i="88"/>
  <c r="E96" i="88"/>
  <c r="F96" i="88"/>
  <c r="G96" i="88"/>
  <c r="H96" i="88"/>
  <c r="B96" i="88"/>
  <c r="C95" i="88"/>
  <c r="D95" i="88"/>
  <c r="E95" i="88"/>
  <c r="F95" i="88"/>
  <c r="G95" i="88"/>
  <c r="H95" i="88"/>
  <c r="B95" i="88"/>
  <c r="C94" i="88"/>
  <c r="D94" i="88"/>
  <c r="E94" i="88"/>
  <c r="F94" i="88"/>
  <c r="G94" i="88"/>
  <c r="H94" i="88"/>
  <c r="B94" i="88"/>
  <c r="C97" i="12"/>
  <c r="E97" i="12"/>
  <c r="G97" i="12"/>
  <c r="C96" i="12"/>
  <c r="D96" i="12"/>
  <c r="E96" i="12"/>
  <c r="F96" i="12"/>
  <c r="G96" i="12"/>
  <c r="B97" i="12"/>
  <c r="B96" i="12"/>
  <c r="B95" i="12"/>
  <c r="C95" i="12"/>
  <c r="D95" i="12"/>
  <c r="E95" i="12"/>
  <c r="F95" i="12"/>
  <c r="G95" i="12"/>
  <c r="D134" i="2"/>
  <c r="F134" i="2"/>
  <c r="H134" i="2"/>
  <c r="J134" i="2"/>
  <c r="C134" i="2"/>
  <c r="C95" i="84"/>
  <c r="B95" i="84"/>
  <c r="C143" i="6"/>
  <c r="F143" i="6"/>
  <c r="G143" i="6"/>
  <c r="H143" i="6"/>
  <c r="C142" i="6"/>
  <c r="F142" i="6"/>
  <c r="G142" i="6"/>
  <c r="H142" i="6"/>
  <c r="C141" i="6"/>
  <c r="F141" i="6"/>
  <c r="G141" i="6"/>
  <c r="H141" i="6"/>
  <c r="C140" i="6"/>
  <c r="F140" i="6"/>
  <c r="G140" i="6"/>
  <c r="H140" i="6"/>
  <c r="C136" i="6"/>
  <c r="F136" i="6"/>
  <c r="G136" i="6"/>
  <c r="H136" i="6"/>
  <c r="I5" i="55" a="1"/>
  <c r="E53" i="6"/>
  <c r="L94" i="96"/>
  <c r="O51" i="55"/>
  <c r="O50" i="55"/>
  <c r="O49" i="55"/>
  <c r="N5" i="55" a="1"/>
  <c r="N5" i="55"/>
  <c r="P6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P34" i="55"/>
  <c r="P35" i="55"/>
  <c r="P36" i="55"/>
  <c r="P37" i="55"/>
  <c r="P38" i="55"/>
  <c r="P39" i="55"/>
  <c r="P40" i="55"/>
  <c r="P41" i="55"/>
  <c r="P42" i="55"/>
  <c r="P43" i="55"/>
  <c r="P44" i="55"/>
  <c r="P45" i="55"/>
  <c r="P46" i="55"/>
  <c r="P47" i="55"/>
  <c r="N51" i="55"/>
  <c r="N50" i="55"/>
  <c r="N49" i="55"/>
  <c r="P5" i="55"/>
  <c r="P50" i="55" s="1"/>
  <c r="P49" i="55" l="1"/>
  <c r="K7" i="55"/>
  <c r="K15" i="55"/>
  <c r="K30" i="55"/>
  <c r="K31" i="55"/>
  <c r="K39" i="55"/>
  <c r="K47" i="55"/>
  <c r="K8" i="55"/>
  <c r="K16" i="55"/>
  <c r="K23" i="55"/>
  <c r="K32" i="55"/>
  <c r="K40" i="55"/>
  <c r="K48" i="55"/>
  <c r="K9" i="55"/>
  <c r="K17" i="55"/>
  <c r="K24" i="55"/>
  <c r="K33" i="55"/>
  <c r="K41" i="55"/>
  <c r="K49" i="55"/>
  <c r="K10" i="55"/>
  <c r="K18" i="55"/>
  <c r="K25" i="55"/>
  <c r="K34" i="55"/>
  <c r="K42" i="55"/>
  <c r="K50" i="55"/>
  <c r="I5" i="55"/>
  <c r="K5" i="55" s="1"/>
  <c r="K20" i="55"/>
  <c r="K27" i="55"/>
  <c r="K36" i="55"/>
  <c r="K44" i="55"/>
  <c r="K11" i="55"/>
  <c r="K19" i="55"/>
  <c r="K26" i="55"/>
  <c r="K35" i="55"/>
  <c r="K43" i="55"/>
  <c r="K51" i="55"/>
  <c r="K12" i="55"/>
  <c r="K13" i="55"/>
  <c r="K21" i="55"/>
  <c r="K28" i="55"/>
  <c r="K37" i="55"/>
  <c r="K45" i="55"/>
  <c r="K6" i="55"/>
  <c r="K14" i="55"/>
  <c r="K22" i="55"/>
  <c r="K29" i="55"/>
  <c r="K38" i="55"/>
  <c r="K46" i="55"/>
  <c r="E11" i="6"/>
  <c r="E20" i="6"/>
  <c r="E44" i="6"/>
  <c r="E14" i="6"/>
  <c r="E22" i="6"/>
  <c r="E30" i="6"/>
  <c r="E38" i="6"/>
  <c r="E46" i="6"/>
  <c r="E27" i="6"/>
  <c r="E12" i="6"/>
  <c r="E28" i="6"/>
  <c r="E52" i="6"/>
  <c r="E7" i="6"/>
  <c r="E15" i="6"/>
  <c r="E23" i="6"/>
  <c r="E31" i="6"/>
  <c r="E39" i="6"/>
  <c r="E47" i="6"/>
  <c r="E19" i="6"/>
  <c r="E8" i="6"/>
  <c r="E16" i="6"/>
  <c r="E24" i="6"/>
  <c r="E32" i="6"/>
  <c r="E40" i="6"/>
  <c r="E48" i="6"/>
  <c r="E9" i="6"/>
  <c r="E17" i="6"/>
  <c r="E25" i="6"/>
  <c r="E33" i="6"/>
  <c r="E41" i="6"/>
  <c r="E49" i="6"/>
  <c r="E43" i="6"/>
  <c r="E10" i="6"/>
  <c r="E18" i="6"/>
  <c r="E26" i="6"/>
  <c r="E34" i="6"/>
  <c r="E42" i="6"/>
  <c r="E50" i="6"/>
  <c r="E51" i="6"/>
  <c r="E35" i="6"/>
  <c r="E36" i="6"/>
  <c r="E13" i="6"/>
  <c r="E21" i="6"/>
  <c r="E29" i="6"/>
  <c r="E37" i="6"/>
  <c r="E45" i="6"/>
  <c r="B143" i="6" l="1"/>
  <c r="B142" i="6"/>
  <c r="B141" i="6"/>
  <c r="B140" i="6"/>
  <c r="B136" i="6"/>
  <c r="E6" i="6"/>
  <c r="E143" i="6" l="1"/>
  <c r="E142" i="6"/>
  <c r="E141" i="6"/>
  <c r="E14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<sst xmlns="http://schemas.openxmlformats.org/spreadsheetml/2006/main" count="5950" uniqueCount="698">
  <si>
    <r>
      <t>Contents</t>
    </r>
    <r>
      <rPr>
        <sz val="24"/>
        <rFont val="Arial"/>
        <family val="2"/>
      </rPr>
      <t> </t>
    </r>
  </si>
  <si>
    <r>
      <t>Table</t>
    </r>
    <r>
      <rPr>
        <sz val="12"/>
        <rFont val="Arial"/>
        <family val="2"/>
      </rPr>
      <t> </t>
    </r>
  </si>
  <si>
    <t>1 </t>
  </si>
  <si>
    <t>Expenditure and Subsidy: By Councils </t>
  </si>
  <si>
    <t>Summary</t>
  </si>
  <si>
    <t>Expenditure and Subsidy</t>
  </si>
  <si>
    <t>1a</t>
  </si>
  <si>
    <t>Voted Expenditure, Subsidy and Local Priority Grant</t>
  </si>
  <si>
    <t>1b</t>
  </si>
  <si>
    <t>Expenditure and Subsidy: By Councils — Summary</t>
  </si>
  <si>
    <t>1c</t>
  </si>
  <si>
    <t>Expenditure and Subsidy: By Library Service</t>
  </si>
  <si>
    <t>1d</t>
  </si>
  <si>
    <t>Expenditure on Library Material: By Library Service</t>
  </si>
  <si>
    <t>Circulation</t>
  </si>
  <si>
    <t>2a</t>
  </si>
  <si>
    <t>Circulation Breakdown by Format</t>
  </si>
  <si>
    <t>2b</t>
  </si>
  <si>
    <t>Circulation: Books by Category</t>
  </si>
  <si>
    <t>2c</t>
  </si>
  <si>
    <t>Circulation of Non-Book Material</t>
  </si>
  <si>
    <t>2d</t>
  </si>
  <si>
    <t>Circulation of Separate Collections</t>
  </si>
  <si>
    <t>2e</t>
  </si>
  <si>
    <t>Circulation by Council</t>
  </si>
  <si>
    <t>Total Stock</t>
  </si>
  <si>
    <t>3a</t>
  </si>
  <si>
    <t>Total Book Stock</t>
  </si>
  <si>
    <t>3b</t>
  </si>
  <si>
    <t>Total of Non-Book Material</t>
  </si>
  <si>
    <t>3c</t>
  </si>
  <si>
    <t>Total Serials</t>
  </si>
  <si>
    <t>3d</t>
  </si>
  <si>
    <t>Separate Collections</t>
  </si>
  <si>
    <t>3e</t>
  </si>
  <si>
    <t>Acquisitions and Discards</t>
  </si>
  <si>
    <t>Registered Members</t>
  </si>
  <si>
    <t>4a</t>
  </si>
  <si>
    <t>Resident and Non-Resident Members by Council</t>
  </si>
  <si>
    <t>Service Points and Hours of Opening</t>
  </si>
  <si>
    <t>Full-time and Part-time Library Staff</t>
  </si>
  <si>
    <t>Regional and Joint Library Services</t>
  </si>
  <si>
    <t>Summary of Comparative Statistics</t>
  </si>
  <si>
    <t>Population</t>
  </si>
  <si>
    <t>Total Expenditure</t>
  </si>
  <si>
    <t>10a</t>
  </si>
  <si>
    <t>Expenditure Per Capita</t>
  </si>
  <si>
    <t>10b</t>
  </si>
  <si>
    <t>Expenditure on Salaries Per Capita</t>
  </si>
  <si>
    <t>10c</t>
  </si>
  <si>
    <t>Expenditure on Library Material Per Capita</t>
  </si>
  <si>
    <t>Library Material</t>
  </si>
  <si>
    <t>11a</t>
  </si>
  <si>
    <t>Library Material Per Capita</t>
  </si>
  <si>
    <t>11b</t>
  </si>
  <si>
    <t>Average Cost of Library Material</t>
  </si>
  <si>
    <t>11c</t>
  </si>
  <si>
    <t>Age of Library Material</t>
  </si>
  <si>
    <t>Adult Fiction</t>
  </si>
  <si>
    <t>Adult Periodical Titles</t>
  </si>
  <si>
    <t>Acquisitions</t>
  </si>
  <si>
    <t>14a</t>
  </si>
  <si>
    <t>Acquisitions Per Capita</t>
  </si>
  <si>
    <t>Discards as % of Acquisitions</t>
  </si>
  <si>
    <t>15a</t>
  </si>
  <si>
    <t>Discards as % of Total Stock</t>
  </si>
  <si>
    <t>Circulation of Library Materials</t>
  </si>
  <si>
    <t>16a</t>
  </si>
  <si>
    <t>Circulation Per Capita</t>
  </si>
  <si>
    <t>16b</t>
  </si>
  <si>
    <t>Turnover of Stock</t>
  </si>
  <si>
    <t>16c</t>
  </si>
  <si>
    <t>Circulation Per Staff Member</t>
  </si>
  <si>
    <t>17 </t>
  </si>
  <si>
    <t>Total Staff  </t>
  </si>
  <si>
    <t>17a </t>
  </si>
  <si>
    <t>Population Per Staff Member </t>
  </si>
  <si>
    <t>17b </t>
  </si>
  <si>
    <t>Total Qualified Staff </t>
  </si>
  <si>
    <t>17c </t>
  </si>
  <si>
    <t>Population Per Qualified Staff Member </t>
  </si>
  <si>
    <t>Document Delivery</t>
  </si>
  <si>
    <t>Library Visits</t>
  </si>
  <si>
    <t>Internet Access for the Public</t>
  </si>
  <si>
    <t>Total Information and Customer Service Requests</t>
  </si>
  <si>
    <t>Library Programs</t>
  </si>
  <si>
    <t>22a</t>
  </si>
  <si>
    <t>Online Library Programs</t>
  </si>
  <si>
    <t>22b</t>
  </si>
  <si>
    <t>Library Program Target Audience and Attendance</t>
  </si>
  <si>
    <t>22c</t>
  </si>
  <si>
    <t>Library Program Types and Attendance</t>
  </si>
  <si>
    <t>Website Visits</t>
  </si>
  <si>
    <t>Digitised Collections</t>
  </si>
  <si>
    <t>TABLE 1 - EXPENDITURE AND SUBSIDY</t>
  </si>
  <si>
    <t>SUMMARY</t>
  </si>
  <si>
    <t>Population 2024</t>
  </si>
  <si>
    <t>Expenditure 2024–25 *</t>
  </si>
  <si>
    <t>per capita</t>
  </si>
  <si>
    <t>Total Funding 2024–25^</t>
  </si>
  <si>
    <t>Expenditure Voted 2025–26 **</t>
  </si>
  <si>
    <t>Total Funding 2025–26^</t>
  </si>
  <si>
    <t>$</t>
  </si>
  <si>
    <t>NSW TOTAL</t>
  </si>
  <si>
    <t>NSW Average</t>
  </si>
  <si>
    <t>NSW Median</t>
  </si>
  <si>
    <t>NSW Max</t>
  </si>
  <si>
    <t>NSW Min</t>
  </si>
  <si>
    <t xml:space="preserve">* Expenditure 2024–25 includes capital and recurrent expenditure as well as all State Government monies. </t>
  </si>
  <si>
    <t>** Expenditure Voted 2025–26 excludes State Government monies.</t>
  </si>
  <si>
    <t>^ Total Funding for 2024–25 and 2025–26 includes Subsidy and Local Priority Grant.</t>
  </si>
  <si>
    <t>Councils are grouped into categories according to the Australian Classification of Local Government</t>
  </si>
  <si>
    <t>ACLG Abrev.</t>
  </si>
  <si>
    <t>Operating Expenditure</t>
  </si>
  <si>
    <t>Capital Expenditure</t>
  </si>
  <si>
    <t>Total Expenditure 2024–25</t>
  </si>
  <si>
    <t xml:space="preserve">Total Funding 2024–25* </t>
  </si>
  <si>
    <t>URM</t>
  </si>
  <si>
    <t>Albury</t>
  </si>
  <si>
    <t>URS</t>
  </si>
  <si>
    <t xml:space="preserve">Armidale Regional </t>
  </si>
  <si>
    <t>Ballina</t>
  </si>
  <si>
    <t>RAM</t>
  </si>
  <si>
    <t>Balranald</t>
  </si>
  <si>
    <t>Bathurst</t>
  </si>
  <si>
    <t>UDV</t>
  </si>
  <si>
    <t>Bayside</t>
  </si>
  <si>
    <t>Bega Valley</t>
  </si>
  <si>
    <t>RAV</t>
  </si>
  <si>
    <t>Bellingen</t>
  </si>
  <si>
    <t>***</t>
  </si>
  <si>
    <t>RAL</t>
  </si>
  <si>
    <t>Berrigan</t>
  </si>
  <si>
    <t>Blacktown</t>
  </si>
  <si>
    <t xml:space="preserve">Bland </t>
  </si>
  <si>
    <t>Blayney</t>
  </si>
  <si>
    <t>UFL</t>
  </si>
  <si>
    <t>Blue Mountains</t>
  </si>
  <si>
    <t>Bogan</t>
  </si>
  <si>
    <t>Bourke</t>
  </si>
  <si>
    <t>RAS</t>
  </si>
  <si>
    <t>Brewarrina</t>
  </si>
  <si>
    <t>Broken Hill</t>
  </si>
  <si>
    <t>UDM</t>
  </si>
  <si>
    <t>Burwood</t>
  </si>
  <si>
    <t>Byron</t>
  </si>
  <si>
    <t>Cabonne</t>
  </si>
  <si>
    <t>UFV</t>
  </si>
  <si>
    <t>Camden</t>
  </si>
  <si>
    <t>Campbelltown</t>
  </si>
  <si>
    <t>UDL</t>
  </si>
  <si>
    <t>Canada Bay</t>
  </si>
  <si>
    <t>Canterbury-Bankstown</t>
  </si>
  <si>
    <t>Carrathool</t>
  </si>
  <si>
    <t>Central Coast</t>
  </si>
  <si>
    <t>Cessnock</t>
  </si>
  <si>
    <t>Clarence Valley</t>
  </si>
  <si>
    <t>RTL</t>
  </si>
  <si>
    <t>Cobar</t>
  </si>
  <si>
    <t>URL</t>
  </si>
  <si>
    <t>Coffs Harbour</t>
  </si>
  <si>
    <t>Coolamon</t>
  </si>
  <si>
    <t>Coonamble</t>
  </si>
  <si>
    <t>Cootamundra-Gundagai</t>
  </si>
  <si>
    <t>Cowra</t>
  </si>
  <si>
    <t>Cumberland</t>
  </si>
  <si>
    <t>Dubbo Regional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</si>
  <si>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</si>
  <si>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</si>
  <si>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</si>
  <si>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</si>
  <si>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</si>
  <si>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</si>
  <si>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</si>
  <si>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</si>
  <si>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Glen Innes Severn **</t>
  </si>
  <si>
    <t>Goulburn Mulwaree</t>
  </si>
  <si>
    <t>Greater Hume</t>
  </si>
  <si>
    <t>Griffith</t>
  </si>
  <si>
    <t>Gunnedah</t>
  </si>
  <si>
    <t>Gwydir</t>
  </si>
  <si>
    <t>UFM</t>
  </si>
  <si>
    <t>Hawkesbury</t>
  </si>
  <si>
    <t>Hay</t>
  </si>
  <si>
    <t>Hills, The **</t>
  </si>
  <si>
    <t>Hilltops</t>
  </si>
  <si>
    <t>Hornsby</t>
  </si>
  <si>
    <t>UDS</t>
  </si>
  <si>
    <t>Hunters Hill</t>
  </si>
  <si>
    <t>Inner West **</t>
  </si>
  <si>
    <t>Inverell</t>
  </si>
  <si>
    <t>Junee</t>
  </si>
  <si>
    <t>Kempsey</t>
  </si>
  <si>
    <t>Kiama</t>
  </si>
  <si>
    <t>Ku-ring-gai</t>
  </si>
  <si>
    <t>Kyogle</t>
  </si>
  <si>
    <t>Lachlan</t>
  </si>
  <si>
    <t>URV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</si>
  <si>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</si>
  <si>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</si>
  <si>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</si>
  <si>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</si>
  <si>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</si>
  <si>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</si>
  <si>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</si>
  <si>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</si>
  <si>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</si>
  <si>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MidCoast</t>
  </si>
  <si>
    <t>Mid-Western</t>
  </si>
  <si>
    <t>Moree Plains</t>
  </si>
  <si>
    <t>Mosman</t>
  </si>
  <si>
    <t>Murray River ##</t>
  </si>
  <si>
    <t>Murrumbidgee</t>
  </si>
  <si>
    <t>Muswellbrook</t>
  </si>
  <si>
    <t>Nambucca Valley</t>
  </si>
  <si>
    <t>Narrabri</t>
  </si>
  <si>
    <t>Narrandera</t>
  </si>
  <si>
    <t>Narromine</t>
  </si>
  <si>
    <t>Newcastle</t>
  </si>
  <si>
    <t>North Sydney</t>
  </si>
  <si>
    <t>Northern Beaches</t>
  </si>
  <si>
    <t xml:space="preserve">Oberon </t>
  </si>
  <si>
    <t>Orange</t>
  </si>
  <si>
    <t>Parkes</t>
  </si>
  <si>
    <t xml:space="preserve">Parramatta </t>
  </si>
  <si>
    <t>Penrith</t>
  </si>
  <si>
    <t>Port Macquarie-Hastings</t>
  </si>
  <si>
    <t>Port Stephens</t>
  </si>
  <si>
    <t>Queanbeyan-Palerang</t>
  </si>
  <si>
    <t>Randwick</t>
  </si>
  <si>
    <t>Richmond Valley</t>
  </si>
  <si>
    <t>Ryde **</t>
  </si>
  <si>
    <t>Shellharbour</t>
  </si>
  <si>
    <t>Shoalhaven</t>
  </si>
  <si>
    <t>Singleton</t>
  </si>
  <si>
    <t xml:space="preserve">URS </t>
  </si>
  <si>
    <t>Snowy Monaro</t>
  </si>
  <si>
    <t>Snowy Valleys</t>
  </si>
  <si>
    <t>Strathfield</t>
  </si>
  <si>
    <t>Sutherland</t>
  </si>
  <si>
    <t>UCC</t>
  </si>
  <si>
    <t xml:space="preserve">Sydney  </t>
  </si>
  <si>
    <t xml:space="preserve">Tamworth </t>
  </si>
  <si>
    <t>Temora</t>
  </si>
  <si>
    <t>Tenterfield</t>
  </si>
  <si>
    <t>Tweed</t>
  </si>
  <si>
    <t>Upper Hunter</t>
  </si>
  <si>
    <t>Upper Lachlan</t>
  </si>
  <si>
    <t>Uralla</t>
  </si>
  <si>
    <t>Wagga Wagga</t>
  </si>
  <si>
    <t>Walcha</t>
  </si>
  <si>
    <t>Walgett</t>
  </si>
  <si>
    <t>Warren</t>
  </si>
  <si>
    <t>Warrumbungle</t>
  </si>
  <si>
    <t>Waverley</t>
  </si>
  <si>
    <t>Weddin</t>
  </si>
  <si>
    <t>Wentworth</t>
  </si>
  <si>
    <t>Willoughby</t>
  </si>
  <si>
    <t>Wingecarribee</t>
  </si>
  <si>
    <t xml:space="preserve">Wollondilly </t>
  </si>
  <si>
    <t>Wollongong</t>
  </si>
  <si>
    <t>Woollahra</t>
  </si>
  <si>
    <t>Yass Valley **</t>
  </si>
  <si>
    <t>Total</t>
  </si>
  <si>
    <t>* Breakdown of total funding available in 2023–24 PLS Statistics</t>
  </si>
  <si>
    <t>** Council does not capitalise library book collection</t>
  </si>
  <si>
    <t xml:space="preserve">*** Includes building expenses  </t>
  </si>
  <si>
    <t xml:space="preserve">## Murray River Council has a cooperative arrangement for the delivery of library services to residents with Swan Hill Regional Library (Vic). </t>
  </si>
  <si>
    <t>Average</t>
  </si>
  <si>
    <t>Median</t>
  </si>
  <si>
    <t>Max</t>
  </si>
  <si>
    <t>Min</t>
  </si>
  <si>
    <t>TABLE 1a - VOTED EXPENDITURE, SUBSIDY AND LOCAL PRIORITY GRANT</t>
  </si>
  <si>
    <t>Voted expenditure is for the period July 2025 to June 2026</t>
  </si>
  <si>
    <t>Total Expenditure Voted 2025–26</t>
  </si>
  <si>
    <t>Subsidy 2025–26</t>
  </si>
  <si>
    <t>Local Priority Grant 2025–26</t>
  </si>
  <si>
    <t>Total Funding 2025–26</t>
  </si>
  <si>
    <t>Armidale Regional</t>
  </si>
  <si>
    <t xml:space="preserve">Broken Hill </t>
  </si>
  <si>
    <t>Glen Innes Severn</t>
  </si>
  <si>
    <t xml:space="preserve">Hills, The </t>
  </si>
  <si>
    <t>Inner West</t>
  </si>
  <si>
    <t>Oberon</t>
  </si>
  <si>
    <t>Ryde</t>
  </si>
  <si>
    <t>Wollondilly</t>
  </si>
  <si>
    <t>Yass Valley</t>
  </si>
  <si>
    <t>TABLE 1b - EXPENDITURE AND SUBSIDY: BY COUNCILS</t>
  </si>
  <si>
    <t>Councils are grouped into categories developed by the NSW Local Government Grants Commission</t>
  </si>
  <si>
    <t>Total Funding 2025–26 *</t>
  </si>
  <si>
    <t>URBAN</t>
  </si>
  <si>
    <t>Cat. UCC: Capital City</t>
  </si>
  <si>
    <t>Cat. UDS, UDM, UDL, UDV: Metropolitan Developed</t>
  </si>
  <si>
    <t>Cat. URS, URM, URL, URV: Regional Town/City</t>
  </si>
  <si>
    <t>Cat. UFS, UFM, UFL, UFV: Fringe</t>
  </si>
  <si>
    <t>RURAL</t>
  </si>
  <si>
    <t>Cat. RAS, RAM, RAL, RAV: Agricultural</t>
  </si>
  <si>
    <t>Cat. RTX, RTS, RTM, RTL: Remote</t>
  </si>
  <si>
    <t>* Includes Subsidy, Local Priority Grant and Additional funds where applicable.</t>
  </si>
  <si>
    <t>TABLE 1c - EXPENDITURE AND SUBSIDY: BY LIBRARY SERVICE</t>
  </si>
  <si>
    <t>Voted Expenditure 2025–26</t>
  </si>
  <si>
    <t>Total Funding 2025–2026*</t>
  </si>
  <si>
    <t xml:space="preserve">   $</t>
  </si>
  <si>
    <t xml:space="preserve">  $</t>
  </si>
  <si>
    <t xml:space="preserve">Bathurst </t>
  </si>
  <si>
    <t>Big Sky</t>
  </si>
  <si>
    <t xml:space="preserve">Blacktown  </t>
  </si>
  <si>
    <t xml:space="preserve">Blue Mountains  </t>
  </si>
  <si>
    <t xml:space="preserve">Broken Hill  </t>
  </si>
  <si>
    <t xml:space="preserve">Campbelltown  </t>
  </si>
  <si>
    <t xml:space="preserve">Canterbury-Bankstown  </t>
  </si>
  <si>
    <t xml:space="preserve">Central Northern  </t>
  </si>
  <si>
    <t>Central West</t>
  </si>
  <si>
    <t xml:space="preserve">Cessnock  </t>
  </si>
  <si>
    <t xml:space="preserve">Clarence </t>
  </si>
  <si>
    <t xml:space="preserve">Goulburn Mulwaree </t>
  </si>
  <si>
    <t>Grenfell</t>
  </si>
  <si>
    <t>Hills, The</t>
  </si>
  <si>
    <t>Ku-Ring-Gai</t>
  </si>
  <si>
    <t>Macquarie</t>
  </si>
  <si>
    <t>North Western</t>
  </si>
  <si>
    <t>Queanbeyan Palerang</t>
  </si>
  <si>
    <t>Richmond-Tweed</t>
  </si>
  <si>
    <t>Richmond-Upper Clarence</t>
  </si>
  <si>
    <t xml:space="preserve">Riverina </t>
  </si>
  <si>
    <t xml:space="preserve">Sydney </t>
  </si>
  <si>
    <t>Upper Hunter Shire</t>
  </si>
  <si>
    <t>Western Riverina</t>
  </si>
  <si>
    <t xml:space="preserve">Yass Valley </t>
  </si>
  <si>
    <t>NSW Total</t>
  </si>
  <si>
    <t>* Includes Subsidy and Local Priority Grant payments.</t>
  </si>
  <si>
    <t>TABLE 1d - EXPENDITURE ON LIBRARY MATERIAL: BY LIBRARY SERVICE</t>
  </si>
  <si>
    <t>Library Materials-Print Resources (Capital)</t>
  </si>
  <si>
    <t>Library Materials-Non-Print Resources (Capital)</t>
  </si>
  <si>
    <t>Periodicals, newspaper, journal &amp; magazine expenses</t>
  </si>
  <si>
    <t>Non-Book Resources</t>
  </si>
  <si>
    <t>Licensed Access to Electronic Resources - Databases</t>
  </si>
  <si>
    <t>Licensed Access to Electronic Resources - Ebook &amp; downloadable audio books</t>
  </si>
  <si>
    <t xml:space="preserve">Glen Innes Severn </t>
  </si>
  <si>
    <t>Kempsey **</t>
  </si>
  <si>
    <t>## Murray River Council has a cooperative arrangement for the delivery of library services to residents with Swan Hill Regional Library (Vic).</t>
  </si>
  <si>
    <t>Murray River contributes $20,000 book usage fee to Swan Hill Library. This is not included in their print resources expenditure.</t>
  </si>
  <si>
    <t xml:space="preserve"> </t>
  </si>
  <si>
    <t>** Contribution to Mid-North Coast Co-op from operating expenses $216,394 for book resources</t>
  </si>
  <si>
    <t>TABLE 2 - CIRCULATION 2024–25</t>
  </si>
  <si>
    <t>Total circulation for the period July 2024 to June 2025</t>
  </si>
  <si>
    <t xml:space="preserve">Albury </t>
  </si>
  <si>
    <t>Central Northern</t>
  </si>
  <si>
    <t>Clarence</t>
  </si>
  <si>
    <t>Murray River</t>
  </si>
  <si>
    <t>Riverina</t>
  </si>
  <si>
    <t>Sydney</t>
  </si>
  <si>
    <t>TABLE 2a - CIRCULATION BREAKDOWN BY FORMAT 2024–25</t>
  </si>
  <si>
    <t>Books (incl. E Book Stock)</t>
  </si>
  <si>
    <t>Non-Books (incl. E Audio Downloads &amp; Digital Music)</t>
  </si>
  <si>
    <t>Serials (incl. E Journal Downloads)</t>
  </si>
  <si>
    <t>Separate Collections  (incl. Online Collections - E Books, Digital Music, E Audio &amp; E Journals)</t>
  </si>
  <si>
    <t>Nambucca</t>
  </si>
  <si>
    <t>TABLE 2b - CIRCULATION: BOOKS BY CATEGORY 2024–25</t>
  </si>
  <si>
    <t xml:space="preserve">Adult Non Fiction </t>
  </si>
  <si>
    <t xml:space="preserve">Adult Fiction </t>
  </si>
  <si>
    <t xml:space="preserve">Young Adult Non Fiction </t>
  </si>
  <si>
    <t xml:space="preserve">Young Adult Fiction </t>
  </si>
  <si>
    <t xml:space="preserve">Junior Non Fiction </t>
  </si>
  <si>
    <t xml:space="preserve">Junior Fiction </t>
  </si>
  <si>
    <t xml:space="preserve">Picture Easy Non Fiction </t>
  </si>
  <si>
    <t xml:space="preserve">Picture Easy Fiction </t>
  </si>
  <si>
    <t xml:space="preserve">E Books </t>
  </si>
  <si>
    <t>TABLE 2c - CIRCULATION OF NON-BOOK MATERIALS 2024–25</t>
  </si>
  <si>
    <t>Audio Books: Spoken Word CD's, mp3 and Cassettes</t>
  </si>
  <si>
    <t>E Audio Book Downloads</t>
  </si>
  <si>
    <t>Language  Learning Kits</t>
  </si>
  <si>
    <t>Music Recordings</t>
  </si>
  <si>
    <t>Digital Music Downloads</t>
  </si>
  <si>
    <t>DVDs, Video &amp; Film</t>
  </si>
  <si>
    <t>Toys and Games</t>
  </si>
  <si>
    <t xml:space="preserve">Other Non Book </t>
  </si>
  <si>
    <t>TABLE 2d - CIRCULATION OF SEPARATE COLLECTIONS 2024–25</t>
  </si>
  <si>
    <t xml:space="preserve">ESL Literacy </t>
  </si>
  <si>
    <t xml:space="preserve">Large Print </t>
  </si>
  <si>
    <t>Community Languages</t>
  </si>
  <si>
    <t xml:space="preserve">Family History </t>
  </si>
  <si>
    <t xml:space="preserve">Local Studies </t>
  </si>
  <si>
    <t xml:space="preserve">Home Library Service </t>
  </si>
  <si>
    <t xml:space="preserve">Graphic Novels </t>
  </si>
  <si>
    <t>Online Collections *</t>
  </si>
  <si>
    <t>* Online Collections include E Books, Digital Music, E Audio &amp; E Journals</t>
  </si>
  <si>
    <t>TABLE 2e - CIRCULATION BY COUNCIL 2024–25</t>
  </si>
  <si>
    <t>(as previously reported by Department of Local Government)</t>
  </si>
  <si>
    <t>TABLE 3 - TOTAL STOCK 2024–25</t>
  </si>
  <si>
    <t>Total stock for the period July 2024 to June 2025</t>
  </si>
  <si>
    <t xml:space="preserve">Lending </t>
  </si>
  <si>
    <t xml:space="preserve">Non Lending </t>
  </si>
  <si>
    <t xml:space="preserve">Total </t>
  </si>
  <si>
    <t>TABLE 3a - TOTAL BOOK STOCK 2024–25</t>
  </si>
  <si>
    <t xml:space="preserve"> Adult Non Fiction </t>
  </si>
  <si>
    <t xml:space="preserve"> Adult Fiction </t>
  </si>
  <si>
    <t xml:space="preserve"> Young Adult Non Fiction </t>
  </si>
  <si>
    <t xml:space="preserve"> Young Adult Fiction </t>
  </si>
  <si>
    <t xml:space="preserve"> Picture Easy Fiction </t>
  </si>
  <si>
    <t xml:space="preserve">E Books* </t>
  </si>
  <si>
    <t>*The number of 'E Books as part of a consortia' is calculated by dividing E Book titles within the consortia by the number of consortia members.</t>
  </si>
  <si>
    <t xml:space="preserve">*In previous years NSW.net statistics were included in these figures. </t>
  </si>
  <si>
    <t>TABLE 3b - TOTAL OF NON-BOOK MATERIAL 2024–25</t>
  </si>
  <si>
    <t>Audio Books: spoken word CD's, mp3 and Cassettes</t>
  </si>
  <si>
    <t>E Audio Books</t>
  </si>
  <si>
    <t>Language Learning Kits</t>
  </si>
  <si>
    <t>Pictures Including Photographs</t>
  </si>
  <si>
    <t>DVDs, Video and Film *</t>
  </si>
  <si>
    <t xml:space="preserve"> Toys and Games</t>
  </si>
  <si>
    <t xml:space="preserve"> Other Items</t>
  </si>
  <si>
    <t>Total Non Book Materials</t>
  </si>
  <si>
    <t xml:space="preserve">* In previous years NSW.net statistics were included in these figures. </t>
  </si>
  <si>
    <t>TABLE 3c - TOTAL SERIALS 2024–25</t>
  </si>
  <si>
    <t>Adult Periodicals</t>
  </si>
  <si>
    <t>YA Periodicals</t>
  </si>
  <si>
    <t>Junior Periodicals</t>
  </si>
  <si>
    <t>Total Periodicals</t>
  </si>
  <si>
    <t>Total Newspapers</t>
  </si>
  <si>
    <t>Total Online Serials *</t>
  </si>
  <si>
    <t>Note: This table provides data on the no. of serial subscriptions only.</t>
  </si>
  <si>
    <t>TABLE 3d - SEPARATE COLLECTIONS 2024–25</t>
  </si>
  <si>
    <t>Reference</t>
  </si>
  <si>
    <t>ESL/Literacy</t>
  </si>
  <si>
    <t>Large Print</t>
  </si>
  <si>
    <t>Family History</t>
  </si>
  <si>
    <t xml:space="preserve"> Local Studies</t>
  </si>
  <si>
    <t xml:space="preserve"> Home Library Service</t>
  </si>
  <si>
    <t>Graphic Novels</t>
  </si>
  <si>
    <t xml:space="preserve">Online Collections**  </t>
  </si>
  <si>
    <t xml:space="preserve">** Online Collections includes  E Books, Digital Music, E Audio &amp; E Journals. In previous years NSW.net statistics were included in these figures. </t>
  </si>
  <si>
    <t>TABLE 3e - ACQUISITIONS AND DISCARDS 2024–25</t>
  </si>
  <si>
    <t>Purchases</t>
  </si>
  <si>
    <t xml:space="preserve"> Donations</t>
  </si>
  <si>
    <t>Total Items Acquired</t>
  </si>
  <si>
    <t>Total Items Discarded</t>
  </si>
  <si>
    <t>TABLE 5 - SERVICE POINTS AND HOURS OF OPENING 2024–25</t>
  </si>
  <si>
    <t>No. of Libraries (central &amp; branches)</t>
  </si>
  <si>
    <t xml:space="preserve">Libraries opening hours per week  (central &amp; branches) </t>
  </si>
  <si>
    <t>Mobile Libraries*</t>
  </si>
  <si>
    <t>Mobile Library opening hours per week*</t>
  </si>
  <si>
    <t>Libraries (central &amp; branches) and Mobile hours per week</t>
  </si>
  <si>
    <t>Administration/Specialist Service Points</t>
  </si>
  <si>
    <t>Admin./Specialist Service Points hours per week</t>
  </si>
  <si>
    <t>Deposit Stations</t>
  </si>
  <si>
    <t>Deposit Stations hours per week</t>
  </si>
  <si>
    <t>Other Service Outlets</t>
  </si>
  <si>
    <t>Other Service Outlets hours per week</t>
  </si>
  <si>
    <t>Total Admin./Specialist Service Points, Deposit Stations &amp; Other Service Outlets hours per week</t>
  </si>
  <si>
    <t>Woollahra **</t>
  </si>
  <si>
    <t>** Paddington Branch Library is a joint library service of Sydney and Woollahra, in this table branch and hours are counted in Woollahra</t>
  </si>
  <si>
    <t>* Median and Average figure only includes library services who have a mobile library</t>
  </si>
  <si>
    <t>Note: Median and Average figure only includes library services who have a deposit station or service point</t>
  </si>
  <si>
    <t>TABLE 4 - REGISTERED MEMBERS 2024–25</t>
  </si>
  <si>
    <t>Total members for the period July 2024 to June 2025</t>
  </si>
  <si>
    <t xml:space="preserve"> Adult (over 65)</t>
  </si>
  <si>
    <t xml:space="preserve"> Adult (under 65)</t>
  </si>
  <si>
    <t xml:space="preserve">Young Adult </t>
  </si>
  <si>
    <t xml:space="preserve"> Junior </t>
  </si>
  <si>
    <t xml:space="preserve"> Community Groups/Institutions </t>
  </si>
  <si>
    <t xml:space="preserve"> Other </t>
  </si>
  <si>
    <t>Total Registered Members</t>
  </si>
  <si>
    <t>Total Non-Resident Members</t>
  </si>
  <si>
    <t>0,</t>
  </si>
  <si>
    <t>Note: There may be overlaps in age groups eg 0-13, 13-18, 18-60</t>
  </si>
  <si>
    <t>TABLE 4a - RESIDENT AND NON-RESIDENT MEMBERS BY COUNCIL 2024–25</t>
  </si>
  <si>
    <t>Resident</t>
  </si>
  <si>
    <t>Non-Resident</t>
  </si>
  <si>
    <t>TABLE 6 - FULL-TIME AND PART-TIME LIBRARY STAFF 2024–25</t>
  </si>
  <si>
    <t>Full Time Librarians</t>
  </si>
  <si>
    <t xml:space="preserve"> Full Time Library Technicians</t>
  </si>
  <si>
    <t xml:space="preserve"> Full Time Library Assistants</t>
  </si>
  <si>
    <t>Other Full Time Employees</t>
  </si>
  <si>
    <t>Total no. of Part Time Employees</t>
  </si>
  <si>
    <t>Total no. of Casual Employees</t>
  </si>
  <si>
    <t>Total Staff</t>
  </si>
  <si>
    <t>TABLE 7 - REGIONAL AND JOINT LIBRARY SERVICES</t>
  </si>
  <si>
    <t xml:space="preserve">Regional and Joint Library Services operated by two or more councils.  </t>
  </si>
  <si>
    <t>The council which administers the service is listed first.</t>
  </si>
  <si>
    <t>Total Expenditure Voted</t>
  </si>
  <si>
    <t>Expenditure</t>
  </si>
  <si>
    <t>for 2025–2026</t>
  </si>
  <si>
    <t>BIG SKY (R)</t>
  </si>
  <si>
    <t xml:space="preserve">MOREE PLAINS </t>
  </si>
  <si>
    <t xml:space="preserve">BREWARRINA </t>
  </si>
  <si>
    <t xml:space="preserve">WALGETT </t>
  </si>
  <si>
    <t>CENTRAL NORTHERN (R)</t>
  </si>
  <si>
    <t xml:space="preserve">TAMWORTH REGIONAL </t>
  </si>
  <si>
    <t>GWYDIR</t>
  </si>
  <si>
    <t>LIVERPOOL PLAINS</t>
  </si>
  <si>
    <t xml:space="preserve">NARRABRI </t>
  </si>
  <si>
    <t xml:space="preserve">URALLA </t>
  </si>
  <si>
    <t xml:space="preserve">WALCHA </t>
  </si>
  <si>
    <t>CENTRAL WEST (R)</t>
  </si>
  <si>
    <t xml:space="preserve">ORANGE </t>
  </si>
  <si>
    <t xml:space="preserve">BLAYNEY </t>
  </si>
  <si>
    <t xml:space="preserve">CABONNE </t>
  </si>
  <si>
    <t xml:space="preserve">COWRA </t>
  </si>
  <si>
    <t xml:space="preserve">FORBES </t>
  </si>
  <si>
    <t>CLARENCE (R)</t>
  </si>
  <si>
    <t>CLARENCE VALLEY</t>
  </si>
  <si>
    <t xml:space="preserve">BELLINGEN </t>
  </si>
  <si>
    <t>MACQUARIE (R)</t>
  </si>
  <si>
    <t>DUBBO REGIONAL</t>
  </si>
  <si>
    <t xml:space="preserve">NARROMINE </t>
  </si>
  <si>
    <t>WARRUMBUNGLE</t>
  </si>
  <si>
    <t>NEWCASTLE (R)</t>
  </si>
  <si>
    <t xml:space="preserve">NEWCASTLE </t>
  </si>
  <si>
    <t xml:space="preserve">DUNGOG </t>
  </si>
  <si>
    <t xml:space="preserve">PORT STEPHENS </t>
  </si>
  <si>
    <t>NORTH WESTERN (R)</t>
  </si>
  <si>
    <t xml:space="preserve">WARREN </t>
  </si>
  <si>
    <t xml:space="preserve">BOGAN </t>
  </si>
  <si>
    <t xml:space="preserve">COONAMBLE </t>
  </si>
  <si>
    <t xml:space="preserve">GILGANDRA </t>
  </si>
  <si>
    <t>RICHMOND-TWEED (R)</t>
  </si>
  <si>
    <t xml:space="preserve">LISMORE </t>
  </si>
  <si>
    <t xml:space="preserve">BALLINA </t>
  </si>
  <si>
    <t xml:space="preserve">BYRON </t>
  </si>
  <si>
    <t xml:space="preserve">TWEED </t>
  </si>
  <si>
    <t>RICHMOND-UPPER CLARENCE (R)</t>
  </si>
  <si>
    <t>RICHMOND VALLEY</t>
  </si>
  <si>
    <t xml:space="preserve">KYOGLE </t>
  </si>
  <si>
    <t xml:space="preserve">RIVERINA (R) </t>
  </si>
  <si>
    <t xml:space="preserve">COOLAMON </t>
  </si>
  <si>
    <t>BERRIGAN</t>
  </si>
  <si>
    <t>BLAND</t>
  </si>
  <si>
    <t xml:space="preserve">COOTAMUNDRA-GUNDAGAI </t>
  </si>
  <si>
    <t>FEDERATION</t>
  </si>
  <si>
    <t xml:space="preserve">GREATER HUME </t>
  </si>
  <si>
    <t>JUNEE</t>
  </si>
  <si>
    <t>LEETON</t>
  </si>
  <si>
    <t xml:space="preserve">LOCKHART </t>
  </si>
  <si>
    <t>SNOWY VALLEYS</t>
  </si>
  <si>
    <t xml:space="preserve">TEMORA </t>
  </si>
  <si>
    <t>WESTERN RIVERINA (R)</t>
  </si>
  <si>
    <t xml:space="preserve">GRIFFITH </t>
  </si>
  <si>
    <t xml:space="preserve">CARRATHOOL </t>
  </si>
  <si>
    <t xml:space="preserve">HAY </t>
  </si>
  <si>
    <t xml:space="preserve">MURRUMBIDGEE </t>
  </si>
  <si>
    <t xml:space="preserve">NARRANDERA </t>
  </si>
  <si>
    <t>LANE COVE</t>
  </si>
  <si>
    <t xml:space="preserve">HUNTERS HILL </t>
  </si>
  <si>
    <t>TABLE 8 SUMMARY OF COMPARATIVE STATISTICS</t>
  </si>
  <si>
    <t xml:space="preserve">NSW </t>
  </si>
  <si>
    <t>MEDIAN</t>
  </si>
  <si>
    <t>Expenditure per capita</t>
  </si>
  <si>
    <t>Expenditure on salaries per capita</t>
  </si>
  <si>
    <t xml:space="preserve">  </t>
  </si>
  <si>
    <t xml:space="preserve">Expenditure on material per capita </t>
  </si>
  <si>
    <t>Library material</t>
  </si>
  <si>
    <t>Library material per capita</t>
  </si>
  <si>
    <t>Library material average cost</t>
  </si>
  <si>
    <t>% Library mat. purchased in last 5 years</t>
  </si>
  <si>
    <t>Library material % Adult fiction books</t>
  </si>
  <si>
    <t>Adult periodical titles</t>
  </si>
  <si>
    <t>Acquisitions per capita</t>
  </si>
  <si>
    <t>Discards as % of acquisitions</t>
  </si>
  <si>
    <t>Discards as % of holdings</t>
  </si>
  <si>
    <t>Circulation per capita</t>
  </si>
  <si>
    <t>Turnover of stock (circulation/holdings)</t>
  </si>
  <si>
    <t>Circulation per staff member</t>
  </si>
  <si>
    <t>Staff</t>
  </si>
  <si>
    <t>Population per staff member</t>
  </si>
  <si>
    <t>Qualified staff</t>
  </si>
  <si>
    <t>Population per qualified staff member</t>
  </si>
  <si>
    <t>TABLE 9 - POPULATION</t>
  </si>
  <si>
    <t>Population figures are from the estimated resident population of Local Government Areas</t>
  </si>
  <si>
    <t>at 30 June 2024, supplied by the Australian Bureau of Statistics.</t>
  </si>
  <si>
    <t xml:space="preserve">Murray River </t>
  </si>
  <si>
    <t>TABLE 10 - TOTAL EXPENDITURE 2024–25</t>
  </si>
  <si>
    <t>Total actual expenditure for the period July 2024 to June 2025</t>
  </si>
  <si>
    <t>TABLE 10a - EXPENDITURE PER CAPITA 2024–25</t>
  </si>
  <si>
    <t>TABLE 10b - EXPENDITURE ON SALARIES PER CAPITA 2024–25</t>
  </si>
  <si>
    <t>TABLE 10c - EXPENDITURE ON LIBRARY MATERIAL PER CAPITA 2024–25</t>
  </si>
  <si>
    <t>TABLE 10c - EXPENDITURE ON LIBRARY MATERIAL PER CAPITA 2022–23</t>
  </si>
  <si>
    <t>Pop 2022</t>
  </si>
  <si>
    <t>Edward River ##</t>
  </si>
  <si>
    <t>Note: See table 1d for breakdown expenditure on library material. Prior to 2009-10 this table excluded licensed access to electronic resources.</t>
  </si>
  <si>
    <t>TABLE 11 - LIBRARY MATERIAL 2024–25</t>
  </si>
  <si>
    <t>Stock figures as at June 2025</t>
  </si>
  <si>
    <t>TABLE 11a - LIBRARY MATERIAL PER CAPITA 2024–25</t>
  </si>
  <si>
    <t>TABLE 11b - AVERAGE COST OF LIBRARY MATERIAL 2024–25</t>
  </si>
  <si>
    <t>The total expenditure on library materials divided by the no. of acquisitions.</t>
  </si>
  <si>
    <t>NB: includes expenditure on periodicals and donations counted as acquisitions.</t>
  </si>
  <si>
    <t>Note: Prior to 2009-10 this table excluded licensed access to electronic resources.</t>
  </si>
  <si>
    <t>TABLE 11c - AGE OF LIBRARY MATERIAL 2024–25</t>
  </si>
  <si>
    <t>In 2008–09 the methodology used to calculate the age of material was revised to improve accuracy of the data</t>
  </si>
  <si>
    <t>collected in this area. The data presented in Age of Library Material is now based on the number of items</t>
  </si>
  <si>
    <t>purchased in the last 5 years and the last 10 years according to the date the material was acquired by the library</t>
  </si>
  <si>
    <t>as reported by the library’s Library Management System.</t>
  </si>
  <si>
    <t>In previous years the age has been calculated by comparing the total number of items purchased over the last 5</t>
  </si>
  <si>
    <t xml:space="preserve">years and the last 10 years with the total current stock. </t>
  </si>
  <si>
    <t>A calculation of the percentage of library material purchased during:</t>
  </si>
  <si>
    <t>Last 5 years</t>
  </si>
  <si>
    <t>Last 10 years</t>
  </si>
  <si>
    <t>TABLE 12 - ADULT FICTION 2024–25</t>
  </si>
  <si>
    <t>Adult fiction books as a percentage of the total print bookstock collection</t>
  </si>
  <si>
    <t>TABLE 13 - ADULT PERIODICAL TITLES 2024–25</t>
  </si>
  <si>
    <t>This is the no. of hard copy adult periodicals only</t>
  </si>
  <si>
    <t>TABLE 14 - ACQUISITIONS 2024–25</t>
  </si>
  <si>
    <t>Number of items acquired for the periods of July 2024 to June 2025</t>
  </si>
  <si>
    <t>TABLE 14a - ACQUISITIONS PER CAPITA 2024–25</t>
  </si>
  <si>
    <t>Number of items acquired divided by the population</t>
  </si>
  <si>
    <t>TABLE 15 - DISCARDS AS % OF ACQUISITIONS 2024–25</t>
  </si>
  <si>
    <t>A comparison of the number of items acquired and discarded.</t>
  </si>
  <si>
    <t>TABLE 15a - DISCARDS AS % OF TOTAL STOCK 2024–25</t>
  </si>
  <si>
    <t>A comparison of the number of items discarded and total stock</t>
  </si>
  <si>
    <t>TABLE 16 - CIRCULATION OF LIBRARY MATERIALS 2024–25</t>
  </si>
  <si>
    <t>TABLE 16a - CIRCULATION PER CAPITA 2024–25</t>
  </si>
  <si>
    <t>TABLE 16b - TURNOVER OF STOCK 2024–25</t>
  </si>
  <si>
    <t>Turnover of stock has been obtained by dividing the total circulation by the total library lending stock to provide indication of stock use.</t>
  </si>
  <si>
    <t>TABLE 16c - CIRCULATION PER STAFF MEMBER 2024–25</t>
  </si>
  <si>
    <t>TABLE 17 - TOTAL STAFF 2024–25</t>
  </si>
  <si>
    <t>Number of staff employed as at June 2025</t>
  </si>
  <si>
    <t>TABLE 17a - POPULATION PER STAFF MEMBER 2024–25</t>
  </si>
  <si>
    <t>TABLE 17b - TOTAL QUALIFIED STAFF 2024–25</t>
  </si>
  <si>
    <t>The number of staff who are eligible for professional membership of the Australian Library and Information Association (ALIA)</t>
  </si>
  <si>
    <t>TABLE 17c - POPULATION PER QUALIFIED STAFF MEMBER 2024–25</t>
  </si>
  <si>
    <t>TABLE 18 - DOCUMENT DELIVERY 2024–25</t>
  </si>
  <si>
    <t xml:space="preserve">Total ILL requests satisfied by other library services for your clients </t>
  </si>
  <si>
    <t>Total ILL requests satisfied for other library services by your library</t>
  </si>
  <si>
    <t>TABLE 19 - LIBRARY VISITS 2024–25</t>
  </si>
  <si>
    <t>Number of visits to the libraries and mobiles libraries by members of the public.</t>
  </si>
  <si>
    <t>Libraries*</t>
  </si>
  <si>
    <t>Mobiles**</t>
  </si>
  <si>
    <t xml:space="preserve"> How Collected</t>
  </si>
  <si>
    <t>Counters</t>
  </si>
  <si>
    <t>Sampling</t>
  </si>
  <si>
    <t>* Libraries (central &amp; branches)</t>
  </si>
  <si>
    <t>** Median and Average figure only include library services who have a mobile library</t>
  </si>
  <si>
    <t>TABLE 20 - INTERNET ACCESS FOR THE PUBLIC 2024–25</t>
  </si>
  <si>
    <t>No. of Internet Access Terminals</t>
  </si>
  <si>
    <t>No. of Internet Access Bookings</t>
  </si>
  <si>
    <t>No. of Wireless Access Bookings</t>
  </si>
  <si>
    <t>*</t>
  </si>
  <si>
    <t>There are different reporting methods used for calculating Wi-Fi sessions. Figures marked with * have been provided by the</t>
  </si>
  <si>
    <t>State Library's NSW.net service.</t>
  </si>
  <si>
    <t>TABLE 21 - TOTAL INFORMATION AND CUSTOMER SERVICE REQUESTS 2024–25</t>
  </si>
  <si>
    <t>The following statistics may not include data for all branches</t>
  </si>
  <si>
    <t>Information Requests</t>
  </si>
  <si>
    <t>Customer Service Requests</t>
  </si>
  <si>
    <t>Midcoast</t>
  </si>
  <si>
    <t>.</t>
  </si>
  <si>
    <t>11 258</t>
  </si>
  <si>
    <t>Parramatta</t>
  </si>
  <si>
    <t>TABLE 22 - LIBRARY PROGRAMS 2024–25</t>
  </si>
  <si>
    <t>Total number of programs and attendance offered by public libraries onsite</t>
  </si>
  <si>
    <t>Programs</t>
  </si>
  <si>
    <t>Attendance</t>
  </si>
  <si>
    <t>TABLE 22a - ONLINE LIBRARY PROGRAMS 2024–25</t>
  </si>
  <si>
    <t>Total number of online programs and views of online programs offered by public libraries</t>
  </si>
  <si>
    <t>Online Programs</t>
  </si>
  <si>
    <t>Views of Online Programs</t>
  </si>
  <si>
    <t>TABLE 22b - LIBRARY PROGRAM TARGET AUDIENCE AND ATTENDANCE 2024–25</t>
  </si>
  <si>
    <t>Number of library program sessions by intended target audience and attendance</t>
  </si>
  <si>
    <t>Early Childhood</t>
  </si>
  <si>
    <t>Attendance Early Childhood</t>
  </si>
  <si>
    <t>Children</t>
  </si>
  <si>
    <t>Attendance Children</t>
  </si>
  <si>
    <t>Young Adult</t>
  </si>
  <si>
    <t>Attendance Young Adult</t>
  </si>
  <si>
    <t>Adults</t>
  </si>
  <si>
    <t>Attendance Adults</t>
  </si>
  <si>
    <t>Seniors</t>
  </si>
  <si>
    <t>Attendance Seniors</t>
  </si>
  <si>
    <t>Indigenous</t>
  </si>
  <si>
    <t>Attendance Indigenous</t>
  </si>
  <si>
    <t>CALD Communities</t>
  </si>
  <si>
    <t>Attendance CALD Communities</t>
  </si>
  <si>
    <t>All Ages</t>
  </si>
  <si>
    <t>Attendance All Ages</t>
  </si>
  <si>
    <t>TABLE 22c - LIBRARY PROGRAM TYPES AND ATTENDANCE 2024–25</t>
  </si>
  <si>
    <t>Total number of library program sessions by program type and attendance</t>
  </si>
  <si>
    <t>Literacy &amp; Lifelong Learning</t>
  </si>
  <si>
    <t>Attendance  Literacy &amp; Lifelong Learning</t>
  </si>
  <si>
    <t>Informed &amp; Connected Citizens</t>
  </si>
  <si>
    <t>Attendance Informed &amp; Connected Citizens</t>
  </si>
  <si>
    <t>Digital Inclusion</t>
  </si>
  <si>
    <t>Attendance Digital Inclusion</t>
  </si>
  <si>
    <t>Personal Development &amp; Wellbeing</t>
  </si>
  <si>
    <t>Attendance
Personal Development &amp; Wellbeing</t>
  </si>
  <si>
    <t>Stronger &amp; Creative Community</t>
  </si>
  <si>
    <t>Attendance
Stronger &amp; Creative Community</t>
  </si>
  <si>
    <t>Economic &amp; Workforce Development</t>
  </si>
  <si>
    <t>Attendance 
Economic &amp; Workforce Development</t>
  </si>
  <si>
    <t>TABLE 23 - WEBSITE VISITS 2024–25</t>
  </si>
  <si>
    <t>Total number of home page visits for the period July 2024 to June 2025.</t>
  </si>
  <si>
    <t>TABLE 24 - DIGITISED COLLECTIONS 2024–25</t>
  </si>
  <si>
    <t>Number of items that have been digitised or collected born digital.</t>
  </si>
  <si>
    <t>Libraries</t>
  </si>
  <si>
    <t>Digitised Photographs</t>
  </si>
  <si>
    <t>Digitised Audio</t>
  </si>
  <si>
    <t>Digitised Video</t>
  </si>
  <si>
    <t>Digitised Books</t>
  </si>
  <si>
    <t>Digitised Objects</t>
  </si>
  <si>
    <t>Digitised Other Collections</t>
  </si>
  <si>
    <t>Total Digitised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</si>
</sst>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_-* #,##0_-;\-* #,##0_-;_-* &quot;-&quot;??_-;_-@_-"/>
    <numFmt numFmtId="169" formatCode="General_)"/>
    <numFmt numFmtId="170" formatCode="_-&quot;$&quot;* #,##0_-;\-&quot;$&quot;* #,##0_-;_-&quot;$&quot;* &quot;-&quot;??_-;_-@_-"/>
    <numFmt numFmtId="171" formatCode="_(&quot;$&quot;* #,##0_);_(&quot;$&quot;* \(#,##0\);_(&quot;$&quot;* &quot;-&quot;??_);_(@_)"/>
    <numFmt numFmtId="172" formatCode="_-* #,##0.00_-;\-* #,##0.00_-;_-* &quot;-&quot;_-;_-@_-"/>
  </numFmts>
  <fonts count="10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sz val="8"/>
      <name val="Geneva"/>
    </font>
    <font>
      <sz val="10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b/>
      <sz val="9"/>
      <name val="Geneva"/>
    </font>
    <font>
      <sz val="9"/>
      <name val="Geneva"/>
    </font>
    <font>
      <sz val="8"/>
      <name val="Arial"/>
      <family val="2"/>
    </font>
    <font>
      <b/>
      <sz val="11"/>
      <name val="Geneva"/>
    </font>
    <font>
      <b/>
      <i/>
      <sz val="9"/>
      <color indexed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4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sz val="12"/>
      <color indexed="8"/>
      <name val="Arial"/>
      <family val="2"/>
    </font>
    <font>
      <sz val="9"/>
      <name val="Arial"/>
      <family val="2"/>
    </font>
    <font>
      <b/>
      <sz val="8"/>
      <name val="Geneva"/>
    </font>
    <font>
      <b/>
      <sz val="8"/>
      <color indexed="10"/>
      <name val="Arial"/>
      <family val="2"/>
    </font>
    <font>
      <i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sz val="9"/>
      <color rgb="FF000000"/>
      <name val="Calibri"/>
      <family val="2"/>
    </font>
    <font>
      <b/>
      <i/>
      <sz val="10"/>
      <color rgb="FF000000"/>
      <name val="Arial"/>
      <family val="2"/>
    </font>
    <font>
      <sz val="11"/>
      <name val="Arial"/>
      <family val="2"/>
    </font>
    <font>
      <sz val="8"/>
      <color rgb="FFFFFFFF"/>
      <name val="Arial"/>
      <family val="2"/>
    </font>
    <font>
      <i/>
      <sz val="8"/>
      <color theme="1"/>
      <name val="Arial"/>
      <family val="2"/>
    </font>
    <font>
      <sz val="8"/>
      <color theme="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12"/>
      <name val="Arial"/>
      <family val="2"/>
    </font>
    <font>
      <u/>
      <sz val="11"/>
      <color indexed="12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0">
    <xf numFmtId="0" fontId="0" fillId="0" borderId="0"/>
    <xf numFmtId="43" fontId="3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43" fillId="0" borderId="0"/>
    <xf numFmtId="0" fontId="45" fillId="0" borderId="0"/>
    <xf numFmtId="0" fontId="43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166" fontId="31" fillId="0" borderId="0" applyFont="0" applyFill="0" applyBorder="0" applyAlignment="0" applyProtection="0"/>
    <xf numFmtId="165" fontId="77" fillId="0" borderId="0" applyFont="0" applyFill="0" applyBorder="0" applyAlignment="0" applyProtection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15" fillId="0" borderId="0" applyFont="0" applyFill="0" applyBorder="0" applyAlignment="0" applyProtection="0"/>
    <xf numFmtId="0" fontId="36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/>
    <xf numFmtId="0" fontId="35" fillId="0" borderId="0" xfId="0" applyFont="1"/>
    <xf numFmtId="0" fontId="36" fillId="0" borderId="0" xfId="0" applyFont="1"/>
    <xf numFmtId="0" fontId="37" fillId="0" borderId="0" xfId="0" applyFont="1"/>
    <xf numFmtId="0" fontId="0" fillId="0" borderId="0" xfId="0" applyAlignment="1">
      <alignment horizontal="left"/>
    </xf>
    <xf numFmtId="0" fontId="36" fillId="0" borderId="0" xfId="0" applyFont="1" applyAlignment="1">
      <alignment horizontal="left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167" fontId="36" fillId="0" borderId="0" xfId="1" applyNumberFormat="1" applyFont="1"/>
    <xf numFmtId="43" fontId="36" fillId="0" borderId="0" xfId="1" applyFont="1"/>
    <xf numFmtId="2" fontId="36" fillId="0" borderId="0" xfId="0" applyNumberFormat="1" applyFont="1"/>
    <xf numFmtId="0" fontId="46" fillId="0" borderId="0" xfId="3" applyFont="1" applyAlignment="1">
      <alignment horizontal="left" wrapText="1"/>
    </xf>
    <xf numFmtId="3" fontId="36" fillId="0" borderId="0" xfId="0" applyNumberFormat="1" applyFont="1"/>
    <xf numFmtId="3" fontId="39" fillId="0" borderId="0" xfId="0" applyNumberFormat="1" applyFont="1"/>
    <xf numFmtId="0" fontId="48" fillId="0" borderId="0" xfId="4" applyFont="1" applyAlignment="1">
      <alignment horizontal="center"/>
    </xf>
    <xf numFmtId="0" fontId="48" fillId="0" borderId="0" xfId="7" applyFont="1" applyAlignment="1">
      <alignment horizontal="center"/>
    </xf>
    <xf numFmtId="167" fontId="39" fillId="0" borderId="0" xfId="1" applyNumberFormat="1" applyFont="1"/>
    <xf numFmtId="167" fontId="44" fillId="0" borderId="0" xfId="1" applyNumberFormat="1" applyFont="1" applyAlignment="1">
      <alignment horizontal="left" wrapText="1"/>
    </xf>
    <xf numFmtId="0" fontId="0" fillId="0" borderId="0" xfId="0" applyAlignment="1">
      <alignment horizontal="right"/>
    </xf>
    <xf numFmtId="167" fontId="0" fillId="0" borderId="0" xfId="1" applyNumberFormat="1" applyFont="1"/>
    <xf numFmtId="167" fontId="39" fillId="0" borderId="0" xfId="1" applyNumberFormat="1" applyFont="1" applyAlignment="1">
      <alignment horizontal="right"/>
    </xf>
    <xf numFmtId="0" fontId="36" fillId="0" borderId="0" xfId="0" applyFont="1" applyAlignment="1">
      <alignment horizontal="right"/>
    </xf>
    <xf numFmtId="167" fontId="0" fillId="0" borderId="0" xfId="1" applyNumberFormat="1" applyFont="1" applyAlignment="1">
      <alignment horizontal="right"/>
    </xf>
    <xf numFmtId="0" fontId="39" fillId="0" borderId="0" xfId="0" applyFont="1" applyAlignment="1">
      <alignment horizontal="left"/>
    </xf>
    <xf numFmtId="0" fontId="49" fillId="0" borderId="0" xfId="0" applyFont="1"/>
    <xf numFmtId="0" fontId="50" fillId="0" borderId="0" xfId="0" applyFont="1"/>
    <xf numFmtId="0" fontId="49" fillId="0" borderId="0" xfId="0" applyFont="1" applyAlignment="1">
      <alignment horizontal="right"/>
    </xf>
    <xf numFmtId="0" fontId="51" fillId="0" borderId="0" xfId="0" applyFont="1"/>
    <xf numFmtId="167" fontId="42" fillId="0" borderId="0" xfId="1" applyNumberFormat="1" applyFont="1" applyAlignment="1">
      <alignment horizontal="right"/>
    </xf>
    <xf numFmtId="0" fontId="33" fillId="0" borderId="0" xfId="0" applyFont="1"/>
    <xf numFmtId="2" fontId="39" fillId="0" borderId="0" xfId="0" applyNumberFormat="1" applyFont="1"/>
    <xf numFmtId="3" fontId="36" fillId="0" borderId="0" xfId="0" applyNumberFormat="1" applyFont="1" applyAlignment="1">
      <alignment horizontal="right"/>
    </xf>
    <xf numFmtId="0" fontId="52" fillId="0" borderId="0" xfId="0" applyFont="1"/>
    <xf numFmtId="43" fontId="39" fillId="0" borderId="0" xfId="1" applyFont="1"/>
    <xf numFmtId="0" fontId="48" fillId="0" borderId="0" xfId="15" applyFont="1" applyAlignment="1">
      <alignment horizontal="left"/>
    </xf>
    <xf numFmtId="1" fontId="36" fillId="0" borderId="0" xfId="0" applyNumberFormat="1" applyFont="1"/>
    <xf numFmtId="0" fontId="54" fillId="0" borderId="0" xfId="0" applyFont="1"/>
    <xf numFmtId="3" fontId="0" fillId="0" borderId="0" xfId="0" applyNumberFormat="1"/>
    <xf numFmtId="2" fontId="0" fillId="0" borderId="0" xfId="0" applyNumberFormat="1"/>
    <xf numFmtId="0" fontId="47" fillId="0" borderId="0" xfId="0" applyFont="1"/>
    <xf numFmtId="2" fontId="36" fillId="0" borderId="0" xfId="0" applyNumberFormat="1" applyFont="1" applyAlignment="1">
      <alignment horizontal="right"/>
    </xf>
    <xf numFmtId="43" fontId="39" fillId="0" borderId="0" xfId="1" applyFont="1" applyAlignment="1">
      <alignment horizontal="right"/>
    </xf>
    <xf numFmtId="0" fontId="55" fillId="0" borderId="0" xfId="0" applyFont="1"/>
    <xf numFmtId="43" fontId="0" fillId="0" borderId="0" xfId="1" applyFont="1"/>
    <xf numFmtId="4" fontId="0" fillId="0" borderId="0" xfId="0" applyNumberFormat="1"/>
    <xf numFmtId="3" fontId="44" fillId="0" borderId="0" xfId="8" applyNumberFormat="1" applyFont="1" applyAlignment="1">
      <alignment horizontal="right" wrapText="1"/>
    </xf>
    <xf numFmtId="0" fontId="44" fillId="0" borderId="0" xfId="10" applyFont="1" applyAlignment="1">
      <alignment horizontal="left" wrapText="1"/>
    </xf>
    <xf numFmtId="0" fontId="44" fillId="0" borderId="0" xfId="12" applyFont="1" applyAlignment="1">
      <alignment horizontal="right" wrapText="1"/>
    </xf>
    <xf numFmtId="0" fontId="39" fillId="0" borderId="0" xfId="0" applyFont="1" applyAlignment="1">
      <alignment horizontal="right"/>
    </xf>
    <xf numFmtId="43" fontId="36" fillId="0" borderId="0" xfId="1" applyFont="1" applyAlignment="1">
      <alignment horizontal="right"/>
    </xf>
    <xf numFmtId="0" fontId="57" fillId="0" borderId="0" xfId="0" applyFont="1"/>
    <xf numFmtId="0" fontId="58" fillId="0" borderId="0" xfId="0" applyFont="1"/>
    <xf numFmtId="1" fontId="0" fillId="0" borderId="0" xfId="0" applyNumberFormat="1"/>
    <xf numFmtId="0" fontId="44" fillId="0" borderId="0" xfId="1" applyNumberFormat="1" applyFont="1" applyAlignment="1">
      <alignment horizontal="left" wrapText="1"/>
    </xf>
    <xf numFmtId="4" fontId="0" fillId="0" borderId="0" xfId="0" applyNumberFormat="1" applyAlignment="1">
      <alignment horizontal="left"/>
    </xf>
    <xf numFmtId="4" fontId="36" fillId="0" borderId="0" xfId="0" applyNumberFormat="1" applyFont="1"/>
    <xf numFmtId="4" fontId="39" fillId="0" borderId="0" xfId="0" applyNumberFormat="1" applyFont="1"/>
    <xf numFmtId="4" fontId="36" fillId="0" borderId="0" xfId="0" applyNumberFormat="1" applyFont="1" applyAlignment="1">
      <alignment horizontal="left"/>
    </xf>
    <xf numFmtId="4" fontId="0" fillId="0" borderId="0" xfId="0" applyNumberFormat="1" applyAlignment="1">
      <alignment horizontal="right"/>
    </xf>
    <xf numFmtId="4" fontId="41" fillId="0" borderId="0" xfId="0" applyNumberFormat="1" applyFont="1" applyAlignment="1">
      <alignment horizontal="left"/>
    </xf>
    <xf numFmtId="4" fontId="37" fillId="0" borderId="0" xfId="0" applyNumberFormat="1" applyFont="1" applyAlignment="1">
      <alignment horizontal="left"/>
    </xf>
    <xf numFmtId="169" fontId="36" fillId="0" borderId="0" xfId="0" applyNumberFormat="1" applyFont="1" applyAlignment="1">
      <alignment horizontal="left"/>
    </xf>
    <xf numFmtId="4" fontId="36" fillId="0" borderId="0" xfId="1" applyNumberFormat="1" applyFont="1"/>
    <xf numFmtId="3" fontId="0" fillId="0" borderId="0" xfId="0" applyNumberFormat="1" applyAlignment="1">
      <alignment horizontal="right"/>
    </xf>
    <xf numFmtId="3" fontId="39" fillId="0" borderId="0" xfId="0" applyNumberFormat="1" applyFont="1" applyAlignment="1">
      <alignment horizontal="right"/>
    </xf>
    <xf numFmtId="4" fontId="36" fillId="0" borderId="0" xfId="0" applyNumberFormat="1" applyFont="1" applyAlignment="1">
      <alignment horizontal="right"/>
    </xf>
    <xf numFmtId="3" fontId="39" fillId="0" borderId="0" xfId="1" applyNumberFormat="1" applyFont="1" applyAlignment="1">
      <alignment horizontal="right"/>
    </xf>
    <xf numFmtId="37" fontId="39" fillId="0" borderId="0" xfId="0" applyNumberFormat="1" applyFont="1" applyAlignment="1">
      <alignment horizontal="right"/>
    </xf>
    <xf numFmtId="3" fontId="36" fillId="0" borderId="0" xfId="1" applyNumberFormat="1" applyFont="1" applyAlignment="1">
      <alignment horizontal="center"/>
    </xf>
    <xf numFmtId="3" fontId="36" fillId="0" borderId="0" xfId="1" applyNumberFormat="1" applyFont="1"/>
    <xf numFmtId="3" fontId="36" fillId="0" borderId="0" xfId="1" applyNumberFormat="1" applyFont="1" applyAlignment="1">
      <alignment horizontal="right"/>
    </xf>
    <xf numFmtId="3" fontId="39" fillId="0" borderId="0" xfId="1" applyNumberFormat="1" applyFont="1"/>
    <xf numFmtId="3" fontId="37" fillId="0" borderId="0" xfId="0" applyNumberFormat="1" applyFont="1"/>
    <xf numFmtId="4" fontId="41" fillId="0" borderId="0" xfId="0" applyNumberFormat="1" applyFont="1"/>
    <xf numFmtId="10" fontId="0" fillId="0" borderId="0" xfId="0" applyNumberFormat="1" applyAlignment="1">
      <alignment horizontal="right"/>
    </xf>
    <xf numFmtId="0" fontId="59" fillId="0" borderId="0" xfId="0" applyFont="1"/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37" fontId="59" fillId="0" borderId="0" xfId="0" applyNumberFormat="1" applyFont="1"/>
    <xf numFmtId="43" fontId="59" fillId="0" borderId="0" xfId="1" applyFont="1"/>
    <xf numFmtId="167" fontId="59" fillId="0" borderId="0" xfId="1" applyNumberFormat="1" applyFont="1"/>
    <xf numFmtId="0" fontId="59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2" fontId="59" fillId="0" borderId="0" xfId="0" applyNumberFormat="1" applyFont="1"/>
    <xf numFmtId="168" fontId="59" fillId="0" borderId="0" xfId="1" applyNumberFormat="1" applyFont="1"/>
    <xf numFmtId="0" fontId="44" fillId="0" borderId="0" xfId="10" applyFont="1" applyAlignment="1">
      <alignment horizontal="right" wrapText="1"/>
    </xf>
    <xf numFmtId="0" fontId="55" fillId="0" borderId="0" xfId="0" applyFont="1" applyAlignment="1">
      <alignment horizontal="left"/>
    </xf>
    <xf numFmtId="0" fontId="32" fillId="0" borderId="0" xfId="0" applyFont="1"/>
    <xf numFmtId="0" fontId="62" fillId="0" borderId="0" xfId="0" applyFont="1"/>
    <xf numFmtId="0" fontId="0" fillId="0" borderId="0" xfId="0" applyAlignment="1">
      <alignment wrapText="1"/>
    </xf>
    <xf numFmtId="0" fontId="41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61" fillId="0" borderId="0" xfId="0" applyFont="1"/>
    <xf numFmtId="0" fontId="63" fillId="0" borderId="0" xfId="0" applyFont="1"/>
    <xf numFmtId="4" fontId="53" fillId="0" borderId="0" xfId="0" applyNumberFormat="1" applyFont="1" applyAlignment="1">
      <alignment horizontal="right"/>
    </xf>
    <xf numFmtId="3" fontId="44" fillId="0" borderId="0" xfId="13" applyNumberFormat="1" applyFont="1" applyAlignment="1">
      <alignment horizontal="right" wrapText="1"/>
    </xf>
    <xf numFmtId="37" fontId="36" fillId="0" borderId="0" xfId="0" applyNumberFormat="1" applyFont="1"/>
    <xf numFmtId="169" fontId="55" fillId="0" borderId="0" xfId="0" applyNumberFormat="1" applyFont="1" applyAlignment="1">
      <alignment horizontal="left"/>
    </xf>
    <xf numFmtId="167" fontId="36" fillId="0" borderId="0" xfId="0" applyNumberFormat="1" applyFont="1"/>
    <xf numFmtId="0" fontId="39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48" fillId="0" borderId="0" xfId="14" applyFont="1" applyAlignment="1">
      <alignment horizontal="center" wrapText="1"/>
    </xf>
    <xf numFmtId="0" fontId="37" fillId="0" borderId="0" xfId="0" applyFont="1" applyAlignment="1">
      <alignment horizontal="right" wrapText="1"/>
    </xf>
    <xf numFmtId="167" fontId="36" fillId="0" borderId="0" xfId="1" applyNumberFormat="1" applyFont="1" applyAlignment="1">
      <alignment horizontal="left"/>
    </xf>
    <xf numFmtId="43" fontId="39" fillId="0" borderId="0" xfId="0" applyNumberFormat="1" applyFont="1"/>
    <xf numFmtId="167" fontId="39" fillId="0" borderId="0" xfId="1" applyNumberFormat="1" applyFont="1" applyAlignment="1">
      <alignment horizontal="left"/>
    </xf>
    <xf numFmtId="2" fontId="44" fillId="0" borderId="0" xfId="12" applyNumberFormat="1" applyFont="1" applyAlignment="1">
      <alignment horizontal="right" wrapText="1"/>
    </xf>
    <xf numFmtId="3" fontId="37" fillId="0" borderId="0" xfId="0" applyNumberFormat="1" applyFont="1" applyAlignment="1">
      <alignment horizontal="right"/>
    </xf>
    <xf numFmtId="167" fontId="66" fillId="0" borderId="0" xfId="1" applyNumberFormat="1" applyFont="1"/>
    <xf numFmtId="0" fontId="66" fillId="0" borderId="0" xfId="0" applyFont="1"/>
    <xf numFmtId="2" fontId="66" fillId="0" borderId="0" xfId="0" applyNumberFormat="1" applyFont="1"/>
    <xf numFmtId="167" fontId="66" fillId="0" borderId="0" xfId="1" applyNumberFormat="1" applyFont="1" applyAlignment="1">
      <alignment horizontal="right"/>
    </xf>
    <xf numFmtId="43" fontId="36" fillId="0" borderId="0" xfId="1" applyFont="1" applyAlignment="1">
      <alignment horizontal="right" wrapText="1"/>
    </xf>
    <xf numFmtId="43" fontId="0" fillId="0" borderId="0" xfId="0" applyNumberFormat="1"/>
    <xf numFmtId="0" fontId="68" fillId="0" borderId="0" xfId="0" applyFont="1"/>
    <xf numFmtId="43" fontId="0" fillId="0" borderId="0" xfId="1" applyFont="1" applyAlignment="1">
      <alignment horizontal="left"/>
    </xf>
    <xf numFmtId="0" fontId="35" fillId="0" borderId="0" xfId="0" applyFont="1" applyAlignment="1">
      <alignment horizontal="right"/>
    </xf>
    <xf numFmtId="0" fontId="47" fillId="0" borderId="0" xfId="0" applyFont="1" applyAlignment="1">
      <alignment wrapText="1"/>
    </xf>
    <xf numFmtId="3" fontId="69" fillId="0" borderId="0" xfId="0" applyNumberFormat="1" applyFont="1"/>
    <xf numFmtId="4" fontId="69" fillId="0" borderId="0" xfId="0" applyNumberFormat="1" applyFont="1"/>
    <xf numFmtId="0" fontId="69" fillId="0" borderId="0" xfId="0" applyFont="1"/>
    <xf numFmtId="0" fontId="64" fillId="0" borderId="0" xfId="0" applyFont="1"/>
    <xf numFmtId="43" fontId="69" fillId="0" borderId="0" xfId="1" applyFont="1"/>
    <xf numFmtId="0" fontId="38" fillId="0" borderId="0" xfId="0" applyFont="1" applyAlignment="1">
      <alignment horizontal="right"/>
    </xf>
    <xf numFmtId="43" fontId="36" fillId="0" borderId="0" xfId="0" applyNumberFormat="1" applyFont="1"/>
    <xf numFmtId="0" fontId="34" fillId="0" borderId="0" xfId="0" applyFont="1"/>
    <xf numFmtId="0" fontId="37" fillId="0" borderId="0" xfId="0" applyFont="1" applyAlignment="1">
      <alignment horizontal="right"/>
    </xf>
    <xf numFmtId="0" fontId="38" fillId="0" borderId="0" xfId="2" applyFont="1" applyAlignment="1" applyProtection="1">
      <alignment horizontal="right" wrapText="1"/>
    </xf>
    <xf numFmtId="166" fontId="36" fillId="0" borderId="0" xfId="0" applyNumberFormat="1" applyFont="1"/>
    <xf numFmtId="4" fontId="40" fillId="0" borderId="0" xfId="1" applyNumberFormat="1" applyFont="1" applyAlignment="1">
      <alignment horizontal="right"/>
    </xf>
    <xf numFmtId="0" fontId="57" fillId="0" borderId="0" xfId="0" applyFont="1" applyAlignment="1">
      <alignment horizontal="right"/>
    </xf>
    <xf numFmtId="4" fontId="70" fillId="0" borderId="0" xfId="0" applyNumberFormat="1" applyFont="1" applyAlignment="1">
      <alignment horizontal="right"/>
    </xf>
    <xf numFmtId="0" fontId="38" fillId="0" borderId="0" xfId="0" applyFont="1" applyAlignment="1">
      <alignment horizontal="right" wrapText="1"/>
    </xf>
    <xf numFmtId="0" fontId="39" fillId="0" borderId="0" xfId="0" applyFont="1" applyAlignment="1">
      <alignment horizontal="right" wrapText="1"/>
    </xf>
    <xf numFmtId="168" fontId="71" fillId="0" borderId="0" xfId="1" applyNumberFormat="1" applyFont="1"/>
    <xf numFmtId="168" fontId="36" fillId="0" borderId="0" xfId="0" applyNumberFormat="1" applyFont="1"/>
    <xf numFmtId="0" fontId="72" fillId="0" borderId="0" xfId="0" applyFont="1"/>
    <xf numFmtId="168" fontId="73" fillId="0" borderId="0" xfId="1" applyNumberFormat="1" applyFont="1"/>
    <xf numFmtId="0" fontId="73" fillId="0" borderId="0" xfId="0" applyFont="1"/>
    <xf numFmtId="168" fontId="74" fillId="0" borderId="0" xfId="1" applyNumberFormat="1" applyFont="1"/>
    <xf numFmtId="167" fontId="34" fillId="0" borderId="0" xfId="1" applyNumberFormat="1" applyAlignment="1">
      <alignment horizontal="right"/>
    </xf>
    <xf numFmtId="0" fontId="40" fillId="0" borderId="0" xfId="0" applyFont="1" applyAlignment="1">
      <alignment wrapText="1"/>
    </xf>
    <xf numFmtId="0" fontId="38" fillId="0" borderId="0" xfId="0" applyFont="1" applyAlignment="1">
      <alignment wrapText="1"/>
    </xf>
    <xf numFmtId="10" fontId="38" fillId="0" borderId="0" xfId="0" applyNumberFormat="1" applyFont="1" applyAlignment="1">
      <alignment horizontal="right"/>
    </xf>
    <xf numFmtId="3" fontId="37" fillId="0" borderId="0" xfId="0" applyNumberFormat="1" applyFont="1" applyAlignment="1">
      <alignment horizontal="right" wrapText="1"/>
    </xf>
    <xf numFmtId="4" fontId="37" fillId="0" borderId="0" xfId="0" applyNumberFormat="1" applyFont="1" applyAlignment="1">
      <alignment horizontal="right" wrapText="1"/>
    </xf>
    <xf numFmtId="167" fontId="37" fillId="0" borderId="0" xfId="1" applyNumberFormat="1" applyFont="1" applyAlignment="1">
      <alignment horizontal="right" wrapText="1"/>
    </xf>
    <xf numFmtId="4" fontId="37" fillId="0" borderId="0" xfId="0" applyNumberFormat="1" applyFont="1" applyAlignment="1">
      <alignment horizontal="right"/>
    </xf>
    <xf numFmtId="4" fontId="37" fillId="0" borderId="0" xfId="1" applyNumberFormat="1" applyFont="1" applyAlignment="1">
      <alignment horizontal="right" wrapText="1"/>
    </xf>
    <xf numFmtId="0" fontId="76" fillId="0" borderId="0" xfId="5" applyFont="1" applyAlignment="1">
      <alignment horizontal="right" wrapText="1"/>
    </xf>
    <xf numFmtId="0" fontId="76" fillId="0" borderId="0" xfId="7" applyFont="1" applyAlignment="1">
      <alignment horizontal="right" wrapText="1"/>
    </xf>
    <xf numFmtId="0" fontId="76" fillId="0" borderId="0" xfId="9" applyFont="1" applyAlignment="1">
      <alignment horizontal="right" wrapText="1"/>
    </xf>
    <xf numFmtId="0" fontId="76" fillId="0" borderId="0" xfId="11" applyFont="1" applyAlignment="1">
      <alignment horizontal="right" wrapText="1"/>
    </xf>
    <xf numFmtId="0" fontId="76" fillId="0" borderId="0" xfId="14" applyFont="1" applyAlignment="1">
      <alignment horizontal="right" wrapText="1"/>
    </xf>
    <xf numFmtId="0" fontId="37" fillId="0" borderId="0" xfId="15" applyFont="1" applyAlignment="1">
      <alignment horizontal="right" wrapText="1"/>
    </xf>
    <xf numFmtId="4" fontId="76" fillId="0" borderId="0" xfId="15" applyNumberFormat="1" applyFont="1" applyAlignment="1">
      <alignment horizontal="right" wrapText="1"/>
    </xf>
    <xf numFmtId="166" fontId="0" fillId="0" borderId="0" xfId="0" applyNumberFormat="1"/>
    <xf numFmtId="43" fontId="46" fillId="0" borderId="0" xfId="1" applyFont="1" applyAlignment="1">
      <alignment horizontal="left" wrapText="1"/>
    </xf>
    <xf numFmtId="37" fontId="34" fillId="0" borderId="0" xfId="1" applyNumberFormat="1" applyAlignment="1">
      <alignment horizontal="right"/>
    </xf>
    <xf numFmtId="166" fontId="39" fillId="0" borderId="0" xfId="0" applyNumberFormat="1" applyFont="1"/>
    <xf numFmtId="0" fontId="74" fillId="0" borderId="0" xfId="0" applyFont="1"/>
    <xf numFmtId="3" fontId="74" fillId="0" borderId="0" xfId="0" applyNumberFormat="1" applyFont="1"/>
    <xf numFmtId="168" fontId="75" fillId="0" borderId="0" xfId="1" applyNumberFormat="1" applyFont="1"/>
    <xf numFmtId="43" fontId="39" fillId="0" borderId="0" xfId="1" applyFont="1" applyAlignment="1">
      <alignment horizontal="right" wrapText="1"/>
    </xf>
    <xf numFmtId="2" fontId="46" fillId="0" borderId="0" xfId="12" applyNumberFormat="1" applyFont="1" applyAlignment="1">
      <alignment horizontal="right" wrapText="1"/>
    </xf>
    <xf numFmtId="43" fontId="36" fillId="0" borderId="0" xfId="1" applyFont="1" applyFill="1"/>
    <xf numFmtId="43" fontId="36" fillId="0" borderId="0" xfId="1" applyFont="1" applyFill="1" applyAlignment="1">
      <alignment horizontal="right"/>
    </xf>
    <xf numFmtId="166" fontId="36" fillId="0" borderId="0" xfId="1" applyNumberFormat="1" applyFont="1"/>
    <xf numFmtId="0" fontId="36" fillId="0" borderId="0" xfId="0" applyFont="1" applyAlignment="1">
      <alignment wrapText="1"/>
    </xf>
    <xf numFmtId="167" fontId="74" fillId="0" borderId="0" xfId="1" applyNumberFormat="1" applyFont="1" applyFill="1"/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right" wrapText="1"/>
    </xf>
    <xf numFmtId="0" fontId="34" fillId="0" borderId="0" xfId="0" applyFont="1" applyAlignment="1">
      <alignment horizontal="right"/>
    </xf>
    <xf numFmtId="3" fontId="34" fillId="0" borderId="0" xfId="0" applyNumberFormat="1" applyFont="1"/>
    <xf numFmtId="4" fontId="34" fillId="0" borderId="0" xfId="0" applyNumberFormat="1" applyFont="1"/>
    <xf numFmtId="2" fontId="34" fillId="0" borderId="0" xfId="1" applyNumberFormat="1" applyFont="1" applyAlignment="1">
      <alignment horizontal="right"/>
    </xf>
    <xf numFmtId="0" fontId="32" fillId="0" borderId="0" xfId="0" applyFont="1" applyAlignment="1">
      <alignment horizontal="right"/>
    </xf>
    <xf numFmtId="167" fontId="34" fillId="0" borderId="0" xfId="1" applyNumberFormat="1" applyFont="1" applyAlignment="1">
      <alignment horizontal="right"/>
    </xf>
    <xf numFmtId="3" fontId="39" fillId="0" borderId="0" xfId="1" applyNumberFormat="1" applyFont="1" applyAlignment="1">
      <alignment horizontal="right" wrapText="1"/>
    </xf>
    <xf numFmtId="43" fontId="45" fillId="0" borderId="0" xfId="1" applyFont="1" applyAlignment="1">
      <alignment horizontal="right"/>
    </xf>
    <xf numFmtId="43" fontId="73" fillId="0" borderId="0" xfId="1" applyFont="1"/>
    <xf numFmtId="2" fontId="36" fillId="0" borderId="0" xfId="33" applyNumberFormat="1" applyFont="1"/>
    <xf numFmtId="168" fontId="75" fillId="0" borderId="0" xfId="1" applyNumberFormat="1" applyFont="1" applyAlignment="1">
      <alignment horizontal="right"/>
    </xf>
    <xf numFmtId="167" fontId="39" fillId="0" borderId="0" xfId="1" applyNumberFormat="1" applyFont="1" applyAlignment="1"/>
    <xf numFmtId="43" fontId="37" fillId="0" borderId="0" xfId="1" applyFont="1"/>
    <xf numFmtId="43" fontId="36" fillId="0" borderId="0" xfId="1" applyFont="1" applyAlignment="1">
      <alignment horizontal="left"/>
    </xf>
    <xf numFmtId="167" fontId="45" fillId="0" borderId="0" xfId="1" applyNumberFormat="1" applyFont="1" applyAlignment="1">
      <alignment horizontal="center"/>
    </xf>
    <xf numFmtId="167" fontId="37" fillId="0" borderId="0" xfId="1" applyNumberFormat="1" applyFont="1" applyFill="1" applyAlignment="1">
      <alignment horizontal="right" wrapText="1"/>
    </xf>
    <xf numFmtId="167" fontId="73" fillId="0" borderId="0" xfId="1" applyNumberFormat="1" applyFont="1"/>
    <xf numFmtId="0" fontId="74" fillId="0" borderId="0" xfId="36" applyFont="1"/>
    <xf numFmtId="0" fontId="74" fillId="0" borderId="0" xfId="37" applyFont="1"/>
    <xf numFmtId="166" fontId="36" fillId="0" borderId="0" xfId="1" applyNumberFormat="1" applyFont="1" applyFill="1"/>
    <xf numFmtId="168" fontId="73" fillId="0" borderId="0" xfId="1" applyNumberFormat="1" applyFont="1" applyFill="1" applyBorder="1"/>
    <xf numFmtId="0" fontId="79" fillId="0" borderId="0" xfId="0" applyFont="1"/>
    <xf numFmtId="4" fontId="37" fillId="0" borderId="0" xfId="1" applyNumberFormat="1" applyFont="1" applyAlignment="1">
      <alignment horizontal="right"/>
    </xf>
    <xf numFmtId="43" fontId="36" fillId="0" borderId="0" xfId="1" applyFont="1" applyFill="1" applyAlignment="1">
      <alignment horizontal="right" wrapText="1"/>
    </xf>
    <xf numFmtId="0" fontId="74" fillId="0" borderId="0" xfId="39" applyFont="1"/>
    <xf numFmtId="3" fontId="74" fillId="0" borderId="0" xfId="39" applyNumberFormat="1" applyFont="1"/>
    <xf numFmtId="0" fontId="74" fillId="0" borderId="0" xfId="40" applyFont="1"/>
    <xf numFmtId="3" fontId="74" fillId="0" borderId="0" xfId="40" applyNumberFormat="1" applyFont="1"/>
    <xf numFmtId="0" fontId="74" fillId="0" borderId="0" xfId="41" applyFont="1"/>
    <xf numFmtId="0" fontId="74" fillId="0" borderId="0" xfId="42" applyFont="1"/>
    <xf numFmtId="3" fontId="74" fillId="0" borderId="0" xfId="42" applyNumberFormat="1" applyFont="1"/>
    <xf numFmtId="43" fontId="39" fillId="0" borderId="0" xfId="1" applyFont="1" applyFill="1" applyAlignment="1">
      <alignment horizontal="right"/>
    </xf>
    <xf numFmtId="0" fontId="74" fillId="0" borderId="0" xfId="46" applyFont="1"/>
    <xf numFmtId="3" fontId="74" fillId="0" borderId="0" xfId="46" applyNumberFormat="1" applyFont="1"/>
    <xf numFmtId="0" fontId="74" fillId="0" borderId="0" xfId="48" applyFont="1"/>
    <xf numFmtId="4" fontId="74" fillId="0" borderId="0" xfId="48" applyNumberFormat="1" applyFont="1"/>
    <xf numFmtId="0" fontId="67" fillId="0" borderId="0" xfId="6" applyFont="1" applyAlignment="1">
      <alignment horizontal="left"/>
    </xf>
    <xf numFmtId="167" fontId="34" fillId="0" borderId="0" xfId="1" applyNumberFormat="1" applyFill="1" applyAlignment="1">
      <alignment horizontal="right"/>
    </xf>
    <xf numFmtId="3" fontId="34" fillId="0" borderId="0" xfId="1" applyNumberFormat="1" applyFill="1" applyAlignment="1">
      <alignment horizontal="right"/>
    </xf>
    <xf numFmtId="3" fontId="72" fillId="0" borderId="0" xfId="0" applyNumberFormat="1" applyFont="1"/>
    <xf numFmtId="2" fontId="74" fillId="0" borderId="0" xfId="1" applyNumberFormat="1" applyFont="1"/>
    <xf numFmtId="4" fontId="74" fillId="0" borderId="0" xfId="1" applyNumberFormat="1" applyFont="1"/>
    <xf numFmtId="167" fontId="36" fillId="0" borderId="0" xfId="1" applyNumberFormat="1" applyFont="1" applyFill="1" applyAlignment="1">
      <alignment horizontal="left"/>
    </xf>
    <xf numFmtId="2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2" fontId="0" fillId="0" borderId="0" xfId="1" applyNumberFormat="1" applyFont="1"/>
    <xf numFmtId="2" fontId="74" fillId="0" borderId="0" xfId="40" applyNumberFormat="1" applyFont="1"/>
    <xf numFmtId="0" fontId="34" fillId="0" borderId="0" xfId="0" applyFont="1" applyAlignment="1">
      <alignment wrapText="1"/>
    </xf>
    <xf numFmtId="0" fontId="82" fillId="0" borderId="0" xfId="40" applyFont="1"/>
    <xf numFmtId="0" fontId="76" fillId="0" borderId="0" xfId="0" applyFont="1" applyAlignment="1">
      <alignment horizontal="right"/>
    </xf>
    <xf numFmtId="167" fontId="74" fillId="0" borderId="0" xfId="1" applyNumberFormat="1" applyFont="1"/>
    <xf numFmtId="43" fontId="34" fillId="0" borderId="0" xfId="1" applyFont="1"/>
    <xf numFmtId="0" fontId="55" fillId="0" borderId="0" xfId="0" applyFont="1" applyAlignment="1">
      <alignment wrapText="1"/>
    </xf>
    <xf numFmtId="3" fontId="36" fillId="0" borderId="0" xfId="0" applyNumberFormat="1" applyFont="1" applyAlignment="1">
      <alignment wrapText="1"/>
    </xf>
    <xf numFmtId="2" fontId="36" fillId="0" borderId="0" xfId="1" applyNumberFormat="1" applyFont="1"/>
    <xf numFmtId="3" fontId="74" fillId="0" borderId="0" xfId="1" applyNumberFormat="1" applyFont="1"/>
    <xf numFmtId="4" fontId="39" fillId="0" borderId="0" xfId="0" applyNumberFormat="1" applyFont="1" applyAlignment="1">
      <alignment horizontal="right"/>
    </xf>
    <xf numFmtId="3" fontId="73" fillId="0" borderId="0" xfId="1" applyNumberFormat="1" applyFont="1" applyAlignment="1">
      <alignment horizontal="right"/>
    </xf>
    <xf numFmtId="3" fontId="44" fillId="0" borderId="0" xfId="1" applyNumberFormat="1" applyFont="1" applyAlignment="1">
      <alignment horizontal="right" wrapText="1"/>
    </xf>
    <xf numFmtId="167" fontId="37" fillId="0" borderId="0" xfId="1" applyNumberFormat="1" applyFont="1" applyFill="1" applyAlignment="1">
      <alignment horizontal="center" wrapText="1"/>
    </xf>
    <xf numFmtId="3" fontId="74" fillId="0" borderId="0" xfId="38" applyNumberFormat="1" applyFont="1" applyAlignment="1">
      <alignment horizontal="center"/>
    </xf>
    <xf numFmtId="0" fontId="74" fillId="0" borderId="0" xfId="38" applyFont="1" applyAlignment="1">
      <alignment horizontal="center"/>
    </xf>
    <xf numFmtId="167" fontId="73" fillId="0" borderId="0" xfId="1" applyNumberFormat="1" applyFont="1" applyAlignment="1">
      <alignment horizontal="center"/>
    </xf>
    <xf numFmtId="167" fontId="36" fillId="0" borderId="0" xfId="1" applyNumberFormat="1" applyFont="1" applyAlignment="1">
      <alignment horizontal="center"/>
    </xf>
    <xf numFmtId="167" fontId="44" fillId="0" borderId="0" xfId="1" applyNumberFormat="1" applyFont="1" applyAlignment="1">
      <alignment horizontal="center" wrapText="1"/>
    </xf>
    <xf numFmtId="167" fontId="0" fillId="0" borderId="0" xfId="1" applyNumberFormat="1" applyFont="1" applyAlignment="1">
      <alignment horizontal="center"/>
    </xf>
    <xf numFmtId="4" fontId="74" fillId="0" borderId="0" xfId="1" applyNumberFormat="1" applyFont="1" applyFill="1"/>
    <xf numFmtId="4" fontId="74" fillId="0" borderId="0" xfId="40" applyNumberFormat="1" applyFont="1"/>
    <xf numFmtId="1" fontId="74" fillId="0" borderId="0" xfId="40" applyNumberFormat="1" applyFont="1"/>
    <xf numFmtId="1" fontId="39" fillId="0" borderId="0" xfId="0" applyNumberFormat="1" applyFont="1"/>
    <xf numFmtId="165" fontId="0" fillId="0" borderId="0" xfId="0" applyNumberFormat="1" applyAlignment="1">
      <alignment horizontal="right"/>
    </xf>
    <xf numFmtId="166" fontId="39" fillId="0" borderId="0" xfId="1" applyNumberFormat="1" applyFont="1"/>
    <xf numFmtId="3" fontId="73" fillId="0" borderId="0" xfId="1" applyNumberFormat="1" applyFont="1"/>
    <xf numFmtId="3" fontId="75" fillId="0" borderId="0" xfId="1" applyNumberFormat="1" applyFont="1"/>
    <xf numFmtId="2" fontId="73" fillId="0" borderId="0" xfId="1" applyNumberFormat="1" applyFont="1"/>
    <xf numFmtId="2" fontId="75" fillId="0" borderId="0" xfId="1" applyNumberFormat="1" applyFont="1"/>
    <xf numFmtId="166" fontId="74" fillId="0" borderId="0" xfId="36" applyNumberFormat="1" applyFont="1" applyAlignment="1">
      <alignment horizontal="right"/>
    </xf>
    <xf numFmtId="166" fontId="36" fillId="0" borderId="0" xfId="1" applyNumberFormat="1" applyFont="1" applyAlignment="1">
      <alignment horizontal="right"/>
    </xf>
    <xf numFmtId="166" fontId="39" fillId="0" borderId="0" xfId="1" applyNumberFormat="1" applyFont="1" applyAlignment="1">
      <alignment horizontal="right"/>
    </xf>
    <xf numFmtId="3" fontId="75" fillId="0" borderId="0" xfId="1" applyNumberFormat="1" applyFont="1" applyAlignment="1">
      <alignment horizontal="right"/>
    </xf>
    <xf numFmtId="2" fontId="39" fillId="0" borderId="0" xfId="1" applyNumberFormat="1" applyFont="1"/>
    <xf numFmtId="4" fontId="73" fillId="0" borderId="0" xfId="1" applyNumberFormat="1" applyFont="1"/>
    <xf numFmtId="4" fontId="0" fillId="0" borderId="0" xfId="1" applyNumberFormat="1" applyFont="1"/>
    <xf numFmtId="3" fontId="74" fillId="0" borderId="0" xfId="1" applyNumberFormat="1" applyFont="1" applyFill="1" applyAlignment="1">
      <alignment horizontal="right"/>
    </xf>
    <xf numFmtId="3" fontId="74" fillId="0" borderId="0" xfId="1" applyNumberFormat="1" applyFont="1" applyAlignment="1">
      <alignment horizontal="right"/>
    </xf>
    <xf numFmtId="3" fontId="78" fillId="0" borderId="0" xfId="1" applyNumberFormat="1" applyFont="1" applyFill="1" applyBorder="1" applyAlignment="1">
      <alignment horizontal="right"/>
    </xf>
    <xf numFmtId="164" fontId="36" fillId="0" borderId="0" xfId="0" applyNumberFormat="1" applyFont="1"/>
    <xf numFmtId="164" fontId="39" fillId="0" borderId="0" xfId="0" applyNumberFormat="1" applyFont="1"/>
    <xf numFmtId="164" fontId="36" fillId="0" borderId="0" xfId="0" applyNumberFormat="1" applyFont="1" applyAlignment="1">
      <alignment wrapText="1"/>
    </xf>
    <xf numFmtId="166" fontId="36" fillId="0" borderId="0" xfId="0" applyNumberFormat="1" applyFont="1" applyAlignment="1">
      <alignment wrapText="1"/>
    </xf>
    <xf numFmtId="164" fontId="36" fillId="0" borderId="0" xfId="1" applyNumberFormat="1" applyFont="1"/>
    <xf numFmtId="166" fontId="36" fillId="0" borderId="0" xfId="1" applyNumberFormat="1" applyFont="1" applyFill="1" applyAlignment="1">
      <alignment horizontal="right"/>
    </xf>
    <xf numFmtId="164" fontId="36" fillId="0" borderId="0" xfId="1" applyNumberFormat="1" applyFont="1" applyFill="1" applyAlignment="1">
      <alignment horizontal="right"/>
    </xf>
    <xf numFmtId="164" fontId="36" fillId="0" borderId="0" xfId="0" applyNumberFormat="1" applyFont="1" applyAlignment="1">
      <alignment horizontal="right"/>
    </xf>
    <xf numFmtId="164" fontId="36" fillId="0" borderId="0" xfId="1" applyNumberFormat="1" applyFont="1" applyFill="1"/>
    <xf numFmtId="164" fontId="36" fillId="0" borderId="0" xfId="1" applyNumberFormat="1" applyFont="1" applyAlignment="1">
      <alignment horizontal="right"/>
    </xf>
    <xf numFmtId="166" fontId="36" fillId="0" borderId="0" xfId="1" applyNumberFormat="1" applyFont="1" applyFill="1" applyAlignment="1">
      <alignment horizontal="right" wrapText="1"/>
    </xf>
    <xf numFmtId="166" fontId="83" fillId="0" borderId="0" xfId="1" applyNumberFormat="1" applyFont="1" applyFill="1"/>
    <xf numFmtId="166" fontId="36" fillId="0" borderId="0" xfId="1" applyNumberFormat="1" applyFont="1" applyFill="1" applyAlignment="1">
      <alignment horizontal="center"/>
    </xf>
    <xf numFmtId="166" fontId="0" fillId="0" borderId="0" xfId="1" applyNumberFormat="1" applyFont="1" applyFill="1"/>
    <xf numFmtId="166" fontId="36" fillId="0" borderId="0" xfId="1" applyNumberFormat="1" applyFont="1" applyAlignment="1">
      <alignment horizontal="right" wrapText="1"/>
    </xf>
    <xf numFmtId="166" fontId="83" fillId="0" borderId="0" xfId="0" applyNumberFormat="1" applyFont="1"/>
    <xf numFmtId="3" fontId="74" fillId="0" borderId="0" xfId="1" applyNumberFormat="1" applyFont="1" applyFill="1"/>
    <xf numFmtId="3" fontId="46" fillId="0" borderId="0" xfId="1" applyNumberFormat="1" applyFont="1" applyAlignment="1">
      <alignment horizontal="right" wrapText="1"/>
    </xf>
    <xf numFmtId="164" fontId="37" fillId="0" borderId="0" xfId="0" applyNumberFormat="1" applyFont="1"/>
    <xf numFmtId="164" fontId="37" fillId="0" borderId="0" xfId="0" applyNumberFormat="1" applyFont="1" applyAlignment="1">
      <alignment horizontal="right"/>
    </xf>
    <xf numFmtId="164" fontId="34" fillId="0" borderId="0" xfId="0" applyNumberFormat="1" applyFont="1"/>
    <xf numFmtId="166" fontId="37" fillId="0" borderId="0" xfId="0" applyNumberFormat="1" applyFont="1"/>
    <xf numFmtId="166" fontId="37" fillId="0" borderId="0" xfId="0" applyNumberFormat="1" applyFont="1" applyAlignment="1">
      <alignment horizontal="right"/>
    </xf>
    <xf numFmtId="166" fontId="34" fillId="0" borderId="0" xfId="0" applyNumberFormat="1" applyFont="1"/>
    <xf numFmtId="4" fontId="34" fillId="0" borderId="0" xfId="1" applyNumberFormat="1" applyFill="1" applyAlignment="1">
      <alignment horizontal="right"/>
    </xf>
    <xf numFmtId="0" fontId="84" fillId="0" borderId="0" xfId="0" applyFont="1"/>
    <xf numFmtId="166" fontId="37" fillId="0" borderId="0" xfId="0" applyNumberFormat="1" applyFont="1" applyAlignment="1">
      <alignment horizontal="right" wrapText="1"/>
    </xf>
    <xf numFmtId="4" fontId="75" fillId="0" borderId="0" xfId="0" applyNumberFormat="1" applyFont="1"/>
    <xf numFmtId="165" fontId="34" fillId="0" borderId="0" xfId="17" applyFont="1" applyFill="1" applyAlignment="1"/>
    <xf numFmtId="170" fontId="34" fillId="0" borderId="0" xfId="17" applyNumberFormat="1" applyFont="1" applyFill="1" applyAlignment="1"/>
    <xf numFmtId="43" fontId="38" fillId="0" borderId="0" xfId="1" applyFont="1" applyAlignment="1">
      <alignment horizontal="right"/>
    </xf>
    <xf numFmtId="2" fontId="39" fillId="0" borderId="0" xfId="0" applyNumberFormat="1" applyFont="1" applyAlignment="1">
      <alignment horizontal="right"/>
    </xf>
    <xf numFmtId="10" fontId="36" fillId="0" borderId="0" xfId="0" applyNumberFormat="1" applyFont="1" applyAlignment="1">
      <alignment horizontal="right"/>
    </xf>
    <xf numFmtId="0" fontId="40" fillId="0" borderId="0" xfId="0" applyFont="1" applyAlignment="1">
      <alignment horizontal="right" wrapText="1"/>
    </xf>
    <xf numFmtId="43" fontId="74" fillId="0" borderId="0" xfId="1" applyFont="1" applyAlignment="1">
      <alignment horizontal="right"/>
    </xf>
    <xf numFmtId="166" fontId="75" fillId="0" borderId="0" xfId="1" applyNumberFormat="1" applyFont="1" applyAlignment="1">
      <alignment horizontal="right"/>
    </xf>
    <xf numFmtId="10" fontId="47" fillId="0" borderId="0" xfId="0" applyNumberFormat="1" applyFont="1" applyAlignment="1">
      <alignment horizontal="right"/>
    </xf>
    <xf numFmtId="0" fontId="47" fillId="0" borderId="0" xfId="0" applyFont="1" applyAlignment="1">
      <alignment horizontal="right"/>
    </xf>
    <xf numFmtId="3" fontId="73" fillId="0" borderId="0" xfId="0" applyNumberFormat="1" applyFont="1"/>
    <xf numFmtId="3" fontId="75" fillId="0" borderId="0" xfId="0" applyNumberFormat="1" applyFont="1"/>
    <xf numFmtId="43" fontId="55" fillId="0" borderId="0" xfId="1" applyFont="1" applyFill="1" applyAlignment="1">
      <alignment horizontal="right"/>
    </xf>
    <xf numFmtId="4" fontId="67" fillId="0" borderId="0" xfId="10" applyNumberFormat="1" applyFont="1" applyAlignment="1">
      <alignment horizontal="right" wrapText="1"/>
    </xf>
    <xf numFmtId="0" fontId="42" fillId="0" borderId="0" xfId="0" applyFont="1"/>
    <xf numFmtId="43" fontId="40" fillId="0" borderId="0" xfId="0" applyNumberFormat="1" applyFont="1"/>
    <xf numFmtId="0" fontId="65" fillId="0" borderId="0" xfId="0" applyFont="1"/>
    <xf numFmtId="43" fontId="67" fillId="0" borderId="0" xfId="1" applyFont="1" applyFill="1" applyAlignment="1">
      <alignment horizontal="right" wrapText="1"/>
    </xf>
    <xf numFmtId="0" fontId="40" fillId="0" borderId="0" xfId="0" applyFont="1" applyAlignment="1">
      <alignment horizontal="right"/>
    </xf>
    <xf numFmtId="43" fontId="55" fillId="0" borderId="0" xfId="0" applyNumberFormat="1" applyFont="1" applyAlignment="1">
      <alignment horizontal="right"/>
    </xf>
    <xf numFmtId="43" fontId="44" fillId="0" borderId="0" xfId="1" applyFont="1" applyFill="1" applyAlignment="1">
      <alignment horizontal="right" wrapText="1"/>
    </xf>
    <xf numFmtId="0" fontId="57" fillId="0" borderId="0" xfId="12" applyFont="1" applyAlignment="1">
      <alignment horizontal="right" wrapText="1"/>
    </xf>
    <xf numFmtId="0" fontId="55" fillId="0" borderId="0" xfId="0" applyFont="1" applyAlignment="1">
      <alignment horizontal="right"/>
    </xf>
    <xf numFmtId="166" fontId="39" fillId="0" borderId="0" xfId="1" applyNumberFormat="1" applyFont="1" applyFill="1" applyAlignment="1">
      <alignment horizontal="right"/>
    </xf>
    <xf numFmtId="0" fontId="80" fillId="0" borderId="0" xfId="0" applyFont="1" applyAlignment="1">
      <alignment horizontal="left" vertical="center" wrapText="1"/>
    </xf>
    <xf numFmtId="0" fontId="80" fillId="0" borderId="3" xfId="0" applyFont="1" applyBorder="1" applyAlignment="1">
      <alignment horizontal="left" vertical="center" wrapText="1"/>
    </xf>
    <xf numFmtId="0" fontId="61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88" fillId="0" borderId="3" xfId="2" applyFont="1" applyBorder="1" applyAlignment="1" applyProtection="1">
      <alignment horizontal="left" vertical="center" wrapText="1"/>
    </xf>
    <xf numFmtId="0" fontId="88" fillId="0" borderId="0" xfId="2" applyFont="1" applyAlignment="1" applyProtection="1">
      <alignment horizontal="left" vertical="center" wrapText="1"/>
    </xf>
    <xf numFmtId="0" fontId="88" fillId="0" borderId="4" xfId="2" applyFont="1" applyBorder="1" applyAlignment="1" applyProtection="1">
      <alignment horizontal="left" vertical="center" wrapText="1"/>
    </xf>
    <xf numFmtId="0" fontId="88" fillId="0" borderId="5" xfId="2" applyFont="1" applyBorder="1" applyAlignment="1" applyProtection="1">
      <alignment horizontal="left" vertical="center" wrapText="1"/>
    </xf>
    <xf numFmtId="166" fontId="36" fillId="0" borderId="0" xfId="0" applyNumberFormat="1" applyFont="1" applyAlignment="1">
      <alignment horizontal="right"/>
    </xf>
    <xf numFmtId="164" fontId="34" fillId="0" borderId="0" xfId="0" applyNumberFormat="1" applyFont="1" applyAlignment="1">
      <alignment horizontal="right"/>
    </xf>
    <xf numFmtId="166" fontId="34" fillId="0" borderId="0" xfId="0" applyNumberFormat="1" applyFont="1" applyAlignment="1">
      <alignment horizontal="right"/>
    </xf>
    <xf numFmtId="3" fontId="36" fillId="0" borderId="0" xfId="16" applyNumberFormat="1" applyFont="1" applyAlignment="1">
      <alignment horizontal="right" wrapText="1"/>
    </xf>
    <xf numFmtId="164" fontId="36" fillId="0" borderId="0" xfId="1" applyNumberFormat="1" applyFont="1" applyAlignment="1">
      <alignment horizontal="right" vertical="center"/>
    </xf>
    <xf numFmtId="166" fontId="36" fillId="0" borderId="0" xfId="1" applyNumberFormat="1" applyFont="1" applyAlignment="1">
      <alignment horizontal="right" vertical="center"/>
    </xf>
    <xf numFmtId="3" fontId="36" fillId="0" borderId="0" xfId="16" applyNumberFormat="1" applyFont="1" applyFill="1" applyAlignment="1">
      <alignment horizontal="right" wrapText="1"/>
    </xf>
    <xf numFmtId="164" fontId="36" fillId="0" borderId="0" xfId="1" applyNumberFormat="1" applyFont="1" applyAlignment="1">
      <alignment horizontal="right" wrapText="1"/>
    </xf>
    <xf numFmtId="3" fontId="34" fillId="0" borderId="0" xfId="0" applyNumberFormat="1" applyFont="1" applyAlignment="1">
      <alignment horizontal="right"/>
    </xf>
    <xf numFmtId="0" fontId="36" fillId="0" borderId="0" xfId="3" applyFont="1" applyAlignment="1">
      <alignment horizontal="left"/>
    </xf>
    <xf numFmtId="171" fontId="36" fillId="0" borderId="0" xfId="0" applyNumberFormat="1" applyFont="1"/>
    <xf numFmtId="168" fontId="36" fillId="0" borderId="0" xfId="1" applyNumberFormat="1" applyFont="1"/>
    <xf numFmtId="0" fontId="36" fillId="0" borderId="0" xfId="39" applyFont="1"/>
    <xf numFmtId="3" fontId="89" fillId="0" borderId="0" xfId="1" applyNumberFormat="1" applyFont="1"/>
    <xf numFmtId="2" fontId="75" fillId="0" borderId="0" xfId="1" applyNumberFormat="1" applyFont="1" applyAlignment="1">
      <alignment horizontal="right"/>
    </xf>
    <xf numFmtId="0" fontId="90" fillId="0" borderId="0" xfId="0" applyFont="1"/>
    <xf numFmtId="0" fontId="91" fillId="0" borderId="0" xfId="0" applyFont="1"/>
    <xf numFmtId="3" fontId="92" fillId="0" borderId="0" xfId="0" applyNumberFormat="1" applyFont="1"/>
    <xf numFmtId="4" fontId="92" fillId="0" borderId="0" xfId="0" applyNumberFormat="1" applyFont="1"/>
    <xf numFmtId="0" fontId="92" fillId="0" borderId="0" xfId="0" applyFont="1"/>
    <xf numFmtId="0" fontId="92" fillId="0" borderId="0" xfId="0" applyFont="1" applyAlignment="1">
      <alignment horizontal="left"/>
    </xf>
    <xf numFmtId="4" fontId="39" fillId="0" borderId="0" xfId="1" applyNumberFormat="1" applyFont="1"/>
    <xf numFmtId="1" fontId="39" fillId="0" borderId="0" xfId="1" applyNumberFormat="1" applyFont="1" applyAlignment="1">
      <alignment horizontal="right"/>
    </xf>
    <xf numFmtId="0" fontId="39" fillId="0" borderId="0" xfId="1" applyNumberFormat="1" applyFont="1" applyAlignment="1">
      <alignment horizontal="left"/>
    </xf>
    <xf numFmtId="0" fontId="39" fillId="0" borderId="0" xfId="1" applyNumberFormat="1" applyFont="1"/>
    <xf numFmtId="4" fontId="0" fillId="0" borderId="0" xfId="1" applyNumberFormat="1" applyFont="1" applyAlignment="1">
      <alignment horizontal="right"/>
    </xf>
    <xf numFmtId="4" fontId="39" fillId="0" borderId="0" xfId="1" applyNumberFormat="1" applyFont="1" applyAlignment="1">
      <alignment horizontal="right"/>
    </xf>
    <xf numFmtId="4" fontId="75" fillId="0" borderId="0" xfId="1" applyNumberFormat="1" applyFont="1"/>
    <xf numFmtId="4" fontId="75" fillId="0" borderId="0" xfId="1" applyNumberFormat="1" applyFont="1" applyAlignment="1">
      <alignment horizontal="right"/>
    </xf>
    <xf numFmtId="4" fontId="74" fillId="0" borderId="0" xfId="1" applyNumberFormat="1" applyFont="1" applyAlignment="1">
      <alignment horizontal="right"/>
    </xf>
    <xf numFmtId="4" fontId="74" fillId="0" borderId="0" xfId="1" applyNumberFormat="1" applyFont="1" applyFill="1" applyAlignment="1">
      <alignment horizontal="right"/>
    </xf>
    <xf numFmtId="3" fontId="74" fillId="0" borderId="0" xfId="1" applyNumberFormat="1" applyFont="1" applyAlignment="1"/>
    <xf numFmtId="166" fontId="81" fillId="0" borderId="0" xfId="0" applyNumberFormat="1" applyFont="1"/>
    <xf numFmtId="166" fontId="36" fillId="0" borderId="0" xfId="16" applyFont="1" applyAlignment="1">
      <alignment horizontal="right" vertical="center"/>
    </xf>
    <xf numFmtId="166" fontId="36" fillId="0" borderId="0" xfId="16" applyFont="1" applyFill="1" applyAlignment="1">
      <alignment horizontal="right"/>
    </xf>
    <xf numFmtId="166" fontId="36" fillId="0" borderId="0" xfId="16" applyFont="1" applyAlignment="1">
      <alignment horizontal="right"/>
    </xf>
    <xf numFmtId="164" fontId="36" fillId="0" borderId="0" xfId="16" applyNumberFormat="1" applyFont="1" applyAlignment="1">
      <alignment horizontal="right"/>
    </xf>
    <xf numFmtId="164" fontId="36" fillId="0" borderId="0" xfId="16" applyNumberFormat="1" applyFont="1" applyFill="1" applyAlignment="1">
      <alignment horizontal="right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center" wrapText="1"/>
    </xf>
    <xf numFmtId="0" fontId="35" fillId="0" borderId="0" xfId="0" applyFont="1" applyAlignment="1">
      <alignment horizontal="left" wrapText="1"/>
    </xf>
    <xf numFmtId="0" fontId="40" fillId="0" borderId="0" xfId="0" applyFont="1" applyAlignment="1">
      <alignment horizontal="center"/>
    </xf>
    <xf numFmtId="3" fontId="55" fillId="0" borderId="0" xfId="0" applyNumberFormat="1" applyFont="1" applyAlignment="1">
      <alignment horizontal="center"/>
    </xf>
    <xf numFmtId="166" fontId="55" fillId="0" borderId="0" xfId="0" applyNumberFormat="1" applyFont="1"/>
    <xf numFmtId="3" fontId="40" fillId="0" borderId="0" xfId="0" applyNumberFormat="1" applyFont="1"/>
    <xf numFmtId="4" fontId="55" fillId="0" borderId="0" xfId="0" applyNumberFormat="1" applyFont="1" applyAlignment="1">
      <alignment wrapText="1"/>
    </xf>
    <xf numFmtId="167" fontId="41" fillId="0" borderId="0" xfId="1" applyNumberFormat="1" applyFont="1" applyAlignment="1">
      <alignment horizontal="right"/>
    </xf>
    <xf numFmtId="167" fontId="37" fillId="0" borderId="0" xfId="1" applyNumberFormat="1" applyFont="1" applyAlignment="1">
      <alignment horizontal="right"/>
    </xf>
    <xf numFmtId="1" fontId="37" fillId="0" borderId="0" xfId="0" applyNumberFormat="1" applyFont="1" applyAlignment="1">
      <alignment horizontal="center"/>
    </xf>
    <xf numFmtId="167" fontId="36" fillId="0" borderId="0" xfId="1" applyNumberFormat="1" applyFont="1" applyFill="1"/>
    <xf numFmtId="2" fontId="36" fillId="0" borderId="0" xfId="1" applyNumberFormat="1" applyFont="1" applyFill="1"/>
    <xf numFmtId="167" fontId="36" fillId="0" borderId="0" xfId="1" applyNumberFormat="1" applyFont="1" applyAlignment="1">
      <alignment horizontal="right"/>
    </xf>
    <xf numFmtId="167" fontId="39" fillId="0" borderId="0" xfId="1" applyNumberFormat="1" applyFont="1" applyAlignment="1">
      <alignment horizontal="right" wrapText="1"/>
    </xf>
    <xf numFmtId="2" fontId="74" fillId="0" borderId="0" xfId="1" applyNumberFormat="1" applyFont="1" applyFill="1"/>
    <xf numFmtId="0" fontId="93" fillId="0" borderId="0" xfId="0" applyFont="1"/>
    <xf numFmtId="172" fontId="36" fillId="0" borderId="0" xfId="0" applyNumberFormat="1" applyFont="1" applyAlignment="1">
      <alignment horizontal="right"/>
    </xf>
    <xf numFmtId="172" fontId="36" fillId="0" borderId="0" xfId="1" applyNumberFormat="1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75" fillId="0" borderId="0" xfId="0" applyFont="1" applyAlignment="1">
      <alignment horizontal="right" wrapText="1"/>
    </xf>
    <xf numFmtId="0" fontId="97" fillId="0" borderId="0" xfId="0" applyFont="1" applyAlignment="1">
      <alignment horizontal="right" wrapText="1"/>
    </xf>
    <xf numFmtId="3" fontId="97" fillId="0" borderId="0" xfId="0" applyNumberFormat="1" applyFont="1" applyAlignment="1">
      <alignment horizontal="right"/>
    </xf>
    <xf numFmtId="3" fontId="97" fillId="0" borderId="0" xfId="0" applyNumberFormat="1" applyFont="1" applyAlignment="1">
      <alignment horizontal="right" wrapText="1"/>
    </xf>
    <xf numFmtId="0" fontId="99" fillId="0" borderId="0" xfId="0" applyFont="1" applyAlignment="1">
      <alignment horizontal="right"/>
    </xf>
    <xf numFmtId="0" fontId="96" fillId="0" borderId="0" xfId="0" applyFont="1" applyAlignment="1">
      <alignment horizontal="right"/>
    </xf>
    <xf numFmtId="0" fontId="75" fillId="0" borderId="0" xfId="0" applyFont="1"/>
    <xf numFmtId="0" fontId="73" fillId="0" borderId="0" xfId="42" applyFont="1"/>
    <xf numFmtId="3" fontId="73" fillId="0" borderId="0" xfId="42" applyNumberFormat="1" applyFont="1"/>
    <xf numFmtId="0" fontId="75" fillId="0" borderId="0" xfId="0" applyFont="1" applyAlignment="1">
      <alignment wrapText="1"/>
    </xf>
    <xf numFmtId="0" fontId="99" fillId="0" borderId="0" xfId="0" applyFont="1"/>
    <xf numFmtId="0" fontId="97" fillId="0" borderId="0" xfId="28" applyFont="1" applyAlignment="1">
      <alignment wrapText="1"/>
    </xf>
    <xf numFmtId="0" fontId="97" fillId="0" borderId="0" xfId="28" applyFont="1" applyAlignment="1">
      <alignment horizontal="right" wrapText="1"/>
    </xf>
    <xf numFmtId="0" fontId="73" fillId="0" borderId="0" xfId="41" applyFont="1"/>
    <xf numFmtId="3" fontId="73" fillId="0" borderId="0" xfId="41" applyNumberFormat="1" applyFont="1"/>
    <xf numFmtId="0" fontId="97" fillId="0" borderId="0" xfId="0" applyFont="1" applyAlignment="1">
      <alignment horizontal="right"/>
    </xf>
    <xf numFmtId="3" fontId="73" fillId="0" borderId="0" xfId="1" applyNumberFormat="1" applyFont="1" applyFill="1"/>
    <xf numFmtId="3" fontId="73" fillId="0" borderId="0" xfId="0" applyNumberFormat="1" applyFont="1" applyAlignment="1">
      <alignment horizontal="right"/>
    </xf>
    <xf numFmtId="0" fontId="85" fillId="0" borderId="1" xfId="0" applyFont="1" applyBorder="1" applyAlignment="1">
      <alignment horizontal="left" vertical="center" wrapText="1"/>
    </xf>
    <xf numFmtId="0" fontId="85" fillId="0" borderId="2" xfId="0" applyFont="1" applyBorder="1" applyAlignment="1">
      <alignment horizontal="left" vertical="center" wrapText="1"/>
    </xf>
    <xf numFmtId="0" fontId="55" fillId="0" borderId="0" xfId="0" applyFont="1" applyAlignment="1"/>
  </cellXfs>
  <cellStyles count="50">
    <cellStyle name="Comma" xfId="1" builtinId="3"/>
    <cellStyle name="Comma 2" xfId="16" xr:uid="{00000000-0005-0000-0000-000001000000}"/>
    <cellStyle name="Comma 3" xfId="34" xr:uid="{00000000-0005-0000-0000-000002000000}"/>
    <cellStyle name="Currency" xfId="17" builtinId="4"/>
    <cellStyle name="Hyperlink" xfId="2" builtinId="8"/>
    <cellStyle name="Normal" xfId="0" builtinId="0"/>
    <cellStyle name="Normal 10" xfId="26" xr:uid="{00000000-0005-0000-0000-000006000000}"/>
    <cellStyle name="Normal 11" xfId="27" xr:uid="{00000000-0005-0000-0000-000007000000}"/>
    <cellStyle name="Normal 12" xfId="28" xr:uid="{00000000-0005-0000-0000-000008000000}"/>
    <cellStyle name="Normal 13" xfId="29" xr:uid="{00000000-0005-0000-0000-000009000000}"/>
    <cellStyle name="Normal 14" xfId="30" xr:uid="{00000000-0005-0000-0000-00000A000000}"/>
    <cellStyle name="Normal 15" xfId="31" xr:uid="{00000000-0005-0000-0000-00000B000000}"/>
    <cellStyle name="Normal 16" xfId="32" xr:uid="{00000000-0005-0000-0000-00000C000000}"/>
    <cellStyle name="Normal 17" xfId="33" xr:uid="{00000000-0005-0000-0000-00000D000000}"/>
    <cellStyle name="Normal 18" xfId="36" xr:uid="{00000000-0005-0000-0000-00000E000000}"/>
    <cellStyle name="Normal 19" xfId="37" xr:uid="{00000000-0005-0000-0000-00000F000000}"/>
    <cellStyle name="Normal 2" xfId="18" xr:uid="{00000000-0005-0000-0000-000010000000}"/>
    <cellStyle name="Normal 20" xfId="38" xr:uid="{00000000-0005-0000-0000-000011000000}"/>
    <cellStyle name="Normal 21" xfId="39" xr:uid="{04EE20B7-ED89-4704-87F9-3C2A63467A08}"/>
    <cellStyle name="Normal 22" xfId="40" xr:uid="{9D23F540-CA11-4441-BD31-A42A01EE6FC1}"/>
    <cellStyle name="Normal 23" xfId="41" xr:uid="{F9F5F265-22BA-48F0-994B-1C56846E11DA}"/>
    <cellStyle name="Normal 24" xfId="42" xr:uid="{662835E3-DEE0-4BC8-9E96-50057CEC6D51}"/>
    <cellStyle name="Normal 25" xfId="43" xr:uid="{8A25A334-F4E1-4383-914F-6762A6449CB1}"/>
    <cellStyle name="Normal 26" xfId="44" xr:uid="{24D4E1CE-86F9-46C9-9494-667932618822}"/>
    <cellStyle name="Normal 27" xfId="45" xr:uid="{89A2D449-4F99-43A2-8991-83D45D6FAE99}"/>
    <cellStyle name="Normal 28" xfId="46" xr:uid="{FA504464-D569-4FA2-8D3F-C90E0651E584}"/>
    <cellStyle name="Normal 29" xfId="47" xr:uid="{6C308173-D689-473E-9192-CEF40DB1F27B}"/>
    <cellStyle name="Normal 3" xfId="19" xr:uid="{00000000-0005-0000-0000-000012000000}"/>
    <cellStyle name="Normal 3 2" xfId="35" xr:uid="{00000000-0005-0000-0000-000013000000}"/>
    <cellStyle name="Normal 30" xfId="48" xr:uid="{6C3C155D-A3BA-4145-9194-9838B04F3FC9}"/>
    <cellStyle name="Normal 31" xfId="49" xr:uid="{6B0A55C7-3DF8-470E-ACDA-68E13C6F15F0}"/>
    <cellStyle name="Normal 4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_15" xfId="3" xr:uid="{00000000-0005-0000-0000-00001A000000}"/>
    <cellStyle name="Normal_16" xfId="4" xr:uid="{00000000-0005-0000-0000-00001C000000}"/>
    <cellStyle name="Normal_20" xfId="5" xr:uid="{00000000-0005-0000-0000-000020000000}"/>
    <cellStyle name="Normal_28" xfId="6" xr:uid="{00000000-0005-0000-0000-000026000000}"/>
    <cellStyle name="Normal_34" xfId="7" xr:uid="{00000000-0005-0000-0000-00002A000000}"/>
    <cellStyle name="Normal_34_1" xfId="8" xr:uid="{00000000-0005-0000-0000-00002B000000}"/>
    <cellStyle name="Normal_37" xfId="9" xr:uid="{00000000-0005-0000-0000-00002C000000}"/>
    <cellStyle name="Normal_38_1" xfId="10" xr:uid="{00000000-0005-0000-0000-00002E000000}"/>
    <cellStyle name="Normal_42" xfId="11" xr:uid="{00000000-0005-0000-0000-000031000000}"/>
    <cellStyle name="Normal_44_1" xfId="12" xr:uid="{00000000-0005-0000-0000-000034000000}"/>
    <cellStyle name="Normal_51" xfId="13" xr:uid="{00000000-0005-0000-0000-000035000000}"/>
    <cellStyle name="Normal_76" xfId="14" xr:uid="{00000000-0005-0000-0000-00003A000000}"/>
    <cellStyle name="Normal_78" xfId="15" xr:uid="{00000000-0005-0000-0000-00003C000000}"/>
  </cellStyles>
  <dxfs count="87"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67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</xdr:colOff>
      <xdr:row>0</xdr:row>
      <xdr:rowOff>3175</xdr:rowOff>
    </xdr:from>
    <xdr:to>
      <xdr:col>12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272D74-93B8-467D-8EB8-5267A959C4E7}"/>
            </a:ext>
          </a:extLst>
        </xdr:cNvPr>
        <xdr:cNvSpPr txBox="1"/>
      </xdr:nvSpPr>
      <xdr:spPr>
        <a:xfrm>
          <a:off x="914082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AU" sz="100">
              <a:latin typeface="ZWAdobeF" pitchFamily="2" charset="0"/>
            </a:rPr>
            <a:t>X17A0T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[s15l1];/" TargetMode="External"/><Relationship Id="rId1" Type="http://schemas.openxmlformats.org/officeDocument/2006/relationships/hyperlink" Target="http://[s15l0];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1FF7-7DF0-4CE2-BD74-5EF1676929DD}">
  <sheetPr>
    <tabColor theme="4"/>
  </sheetPr>
  <dimension ref="A1:B85"/>
  <sheetViews>
    <sheetView topLeftCell="A16" workbookViewId="0">
      <selection activeCell="C59" sqref="C59"/>
    </sheetView>
  </sheetViews>
  <sheetFormatPr defaultColWidth="32.42578125" defaultRowHeight="17.25" customHeight="1"/>
  <cols>
    <col min="1" max="1" width="10.5703125" style="128" customWidth="1"/>
    <col min="2" max="2" width="79" style="128" customWidth="1"/>
    <col min="3" max="16384" width="32.42578125" style="128"/>
  </cols>
  <sheetData>
    <row r="1" spans="1:2" ht="26.25" customHeight="1">
      <c r="A1" s="404" t="s">
        <v>0</v>
      </c>
      <c r="B1" s="405"/>
    </row>
    <row r="2" spans="1:2" ht="17.25" customHeight="1">
      <c r="A2" s="317"/>
      <c r="B2" s="318"/>
    </row>
    <row r="3" spans="1:2" ht="17.25" customHeight="1">
      <c r="A3" s="316" t="s">
        <v>1</v>
      </c>
      <c r="B3" s="314"/>
    </row>
    <row r="4" spans="1:2" ht="17.25" customHeight="1">
      <c r="A4" s="315"/>
      <c r="B4" s="314"/>
    </row>
    <row r="5" spans="1:2" ht="17.25" customHeight="1">
      <c r="A5" s="319" t="s">
        <v>2</v>
      </c>
      <c r="B5" s="320" t="s">
        <v>3</v>
      </c>
    </row>
    <row r="6" spans="1:2" ht="17.25" customHeight="1">
      <c r="A6" s="319"/>
      <c r="B6" s="320" t="s">
        <v>4</v>
      </c>
    </row>
    <row r="7" spans="1:2" ht="17.25" customHeight="1">
      <c r="A7" s="315"/>
      <c r="B7" s="320" t="s">
        <v>5</v>
      </c>
    </row>
    <row r="8" spans="1:2" ht="17.25" customHeight="1">
      <c r="A8" s="319" t="s">
        <v>6</v>
      </c>
      <c r="B8" s="320" t="s">
        <v>7</v>
      </c>
    </row>
    <row r="9" spans="1:2" ht="17.25" customHeight="1">
      <c r="A9" s="319" t="s">
        <v>8</v>
      </c>
      <c r="B9" s="320" t="s">
        <v>9</v>
      </c>
    </row>
    <row r="10" spans="1:2" ht="17.25" customHeight="1">
      <c r="A10" s="319" t="s">
        <v>10</v>
      </c>
      <c r="B10" s="320" t="s">
        <v>11</v>
      </c>
    </row>
    <row r="11" spans="1:2" ht="17.25" customHeight="1">
      <c r="A11" s="319" t="s">
        <v>12</v>
      </c>
      <c r="B11" s="320" t="s">
        <v>13</v>
      </c>
    </row>
    <row r="12" spans="1:2" ht="17.25" customHeight="1">
      <c r="A12" s="315"/>
      <c r="B12" s="314"/>
    </row>
    <row r="13" spans="1:2" ht="17.25" customHeight="1">
      <c r="A13" s="319">
        <v>2</v>
      </c>
      <c r="B13" s="320" t="s">
        <v>14</v>
      </c>
    </row>
    <row r="14" spans="1:2" ht="17.25" customHeight="1">
      <c r="A14" s="319" t="s">
        <v>15</v>
      </c>
      <c r="B14" s="320" t="s">
        <v>16</v>
      </c>
    </row>
    <row r="15" spans="1:2" ht="17.25" customHeight="1">
      <c r="A15" s="319" t="s">
        <v>17</v>
      </c>
      <c r="B15" s="320" t="s">
        <v>18</v>
      </c>
    </row>
    <row r="16" spans="1:2" ht="17.25" customHeight="1">
      <c r="A16" s="319" t="s">
        <v>19</v>
      </c>
      <c r="B16" s="320" t="s">
        <v>20</v>
      </c>
    </row>
    <row r="17" spans="1:2" ht="17.25" customHeight="1">
      <c r="A17" s="319" t="s">
        <v>21</v>
      </c>
      <c r="B17" s="320" t="s">
        <v>22</v>
      </c>
    </row>
    <row r="18" spans="1:2" ht="17.25" customHeight="1">
      <c r="A18" s="319" t="s">
        <v>23</v>
      </c>
      <c r="B18" s="320" t="s">
        <v>24</v>
      </c>
    </row>
    <row r="19" spans="1:2" ht="17.25" customHeight="1">
      <c r="A19" s="315"/>
      <c r="B19" s="314"/>
    </row>
    <row r="20" spans="1:2" ht="17.25" customHeight="1">
      <c r="A20" s="319">
        <v>3</v>
      </c>
      <c r="B20" s="320" t="s">
        <v>25</v>
      </c>
    </row>
    <row r="21" spans="1:2" ht="17.25" customHeight="1">
      <c r="A21" s="319" t="s">
        <v>26</v>
      </c>
      <c r="B21" s="320" t="s">
        <v>27</v>
      </c>
    </row>
    <row r="22" spans="1:2" ht="17.25" customHeight="1">
      <c r="A22" s="319" t="s">
        <v>28</v>
      </c>
      <c r="B22" s="320" t="s">
        <v>29</v>
      </c>
    </row>
    <row r="23" spans="1:2" ht="17.25" customHeight="1">
      <c r="A23" s="319" t="s">
        <v>30</v>
      </c>
      <c r="B23" s="320" t="s">
        <v>31</v>
      </c>
    </row>
    <row r="24" spans="1:2" ht="17.25" customHeight="1">
      <c r="A24" s="319" t="s">
        <v>32</v>
      </c>
      <c r="B24" s="320" t="s">
        <v>33</v>
      </c>
    </row>
    <row r="25" spans="1:2" ht="17.25" customHeight="1">
      <c r="A25" s="319" t="s">
        <v>34</v>
      </c>
      <c r="B25" s="320" t="s">
        <v>35</v>
      </c>
    </row>
    <row r="26" spans="1:2" ht="17.25" customHeight="1">
      <c r="A26" s="315"/>
      <c r="B26" s="314"/>
    </row>
    <row r="27" spans="1:2" ht="17.25" customHeight="1">
      <c r="A27" s="319">
        <v>4</v>
      </c>
      <c r="B27" s="320" t="s">
        <v>36</v>
      </c>
    </row>
    <row r="28" spans="1:2" ht="17.25" customHeight="1">
      <c r="A28" s="319" t="s">
        <v>37</v>
      </c>
      <c r="B28" s="320" t="s">
        <v>38</v>
      </c>
    </row>
    <row r="29" spans="1:2" ht="17.25" customHeight="1">
      <c r="A29" s="315"/>
      <c r="B29" s="314"/>
    </row>
    <row r="30" spans="1:2" ht="17.25" customHeight="1">
      <c r="A30" s="319">
        <v>5</v>
      </c>
      <c r="B30" s="320" t="s">
        <v>39</v>
      </c>
    </row>
    <row r="31" spans="1:2" ht="17.25" customHeight="1">
      <c r="A31" s="315"/>
      <c r="B31" s="314"/>
    </row>
    <row r="32" spans="1:2" ht="17.25" customHeight="1">
      <c r="A32" s="319">
        <v>6</v>
      </c>
      <c r="B32" s="320" t="s">
        <v>40</v>
      </c>
    </row>
    <row r="33" spans="1:2" ht="17.25" customHeight="1">
      <c r="A33" s="315"/>
      <c r="B33" s="314"/>
    </row>
    <row r="34" spans="1:2" ht="17.25" customHeight="1">
      <c r="A34" s="319">
        <v>7</v>
      </c>
      <c r="B34" s="320" t="s">
        <v>41</v>
      </c>
    </row>
    <row r="35" spans="1:2" ht="17.25" customHeight="1">
      <c r="A35" s="315"/>
      <c r="B35" s="314"/>
    </row>
    <row r="36" spans="1:2" ht="17.25" customHeight="1">
      <c r="A36" s="319">
        <v>8</v>
      </c>
      <c r="B36" s="320" t="s">
        <v>42</v>
      </c>
    </row>
    <row r="37" spans="1:2" ht="17.25" customHeight="1">
      <c r="A37" s="315"/>
      <c r="B37" s="314"/>
    </row>
    <row r="38" spans="1:2" ht="17.25" customHeight="1">
      <c r="A38" s="319">
        <v>9</v>
      </c>
      <c r="B38" s="320" t="s">
        <v>43</v>
      </c>
    </row>
    <row r="39" spans="1:2" ht="17.25" customHeight="1">
      <c r="A39" s="315"/>
      <c r="B39" s="314"/>
    </row>
    <row r="40" spans="1:2" ht="17.25" customHeight="1">
      <c r="A40" s="319">
        <v>10</v>
      </c>
      <c r="B40" s="320" t="s">
        <v>44</v>
      </c>
    </row>
    <row r="41" spans="1:2" ht="17.25" customHeight="1">
      <c r="A41" s="319" t="s">
        <v>45</v>
      </c>
      <c r="B41" s="320" t="s">
        <v>46</v>
      </c>
    </row>
    <row r="42" spans="1:2" ht="17.25" customHeight="1">
      <c r="A42" s="319" t="s">
        <v>47</v>
      </c>
      <c r="B42" s="320" t="s">
        <v>48</v>
      </c>
    </row>
    <row r="43" spans="1:2" ht="17.25" customHeight="1">
      <c r="A43" s="319" t="s">
        <v>49</v>
      </c>
      <c r="B43" s="320" t="s">
        <v>50</v>
      </c>
    </row>
    <row r="44" spans="1:2" ht="17.25" customHeight="1">
      <c r="A44" s="315"/>
      <c r="B44" s="314"/>
    </row>
    <row r="45" spans="1:2" ht="17.25" customHeight="1">
      <c r="A45" s="319">
        <v>11</v>
      </c>
      <c r="B45" s="320" t="s">
        <v>51</v>
      </c>
    </row>
    <row r="46" spans="1:2" ht="17.25" customHeight="1">
      <c r="A46" s="319" t="s">
        <v>52</v>
      </c>
      <c r="B46" s="320" t="s">
        <v>53</v>
      </c>
    </row>
    <row r="47" spans="1:2" ht="17.25" customHeight="1">
      <c r="A47" s="319" t="s">
        <v>54</v>
      </c>
      <c r="B47" s="320" t="s">
        <v>55</v>
      </c>
    </row>
    <row r="48" spans="1:2" ht="17.25" customHeight="1">
      <c r="A48" s="319" t="s">
        <v>56</v>
      </c>
      <c r="B48" s="320" t="s">
        <v>57</v>
      </c>
    </row>
    <row r="49" spans="1:2" ht="17.25" customHeight="1">
      <c r="A49" s="319"/>
      <c r="B49" s="320"/>
    </row>
    <row r="50" spans="1:2" ht="17.25" customHeight="1">
      <c r="A50" s="319">
        <v>12</v>
      </c>
      <c r="B50" s="320" t="s">
        <v>58</v>
      </c>
    </row>
    <row r="51" spans="1:2" ht="17.25" customHeight="1">
      <c r="A51" s="319"/>
      <c r="B51" s="320"/>
    </row>
    <row r="52" spans="1:2" ht="17.25" customHeight="1">
      <c r="A52" s="319">
        <v>13</v>
      </c>
      <c r="B52" s="320" t="s">
        <v>59</v>
      </c>
    </row>
    <row r="53" spans="1:2" ht="17.25" customHeight="1">
      <c r="A53" s="315"/>
      <c r="B53" s="314"/>
    </row>
    <row r="54" spans="1:2" ht="17.25" customHeight="1">
      <c r="A54" s="319">
        <v>14</v>
      </c>
      <c r="B54" s="320" t="s">
        <v>60</v>
      </c>
    </row>
    <row r="55" spans="1:2" ht="17.25" customHeight="1">
      <c r="A55" s="319" t="s">
        <v>61</v>
      </c>
      <c r="B55" s="320" t="s">
        <v>62</v>
      </c>
    </row>
    <row r="56" spans="1:2" ht="17.25" customHeight="1">
      <c r="A56" s="315"/>
      <c r="B56" s="314"/>
    </row>
    <row r="57" spans="1:2" ht="17.25" customHeight="1">
      <c r="A57" s="319">
        <v>15</v>
      </c>
      <c r="B57" s="320" t="s">
        <v>63</v>
      </c>
    </row>
    <row r="58" spans="1:2" ht="17.25" customHeight="1">
      <c r="A58" s="319" t="s">
        <v>64</v>
      </c>
      <c r="B58" s="320" t="s">
        <v>65</v>
      </c>
    </row>
    <row r="59" spans="1:2" ht="17.25" customHeight="1">
      <c r="A59" s="315"/>
      <c r="B59" s="314"/>
    </row>
    <row r="60" spans="1:2" ht="17.25" customHeight="1">
      <c r="A60" s="319">
        <v>16</v>
      </c>
      <c r="B60" s="320" t="s">
        <v>66</v>
      </c>
    </row>
    <row r="61" spans="1:2" ht="17.25" customHeight="1">
      <c r="A61" s="319" t="s">
        <v>67</v>
      </c>
      <c r="B61" s="320" t="s">
        <v>68</v>
      </c>
    </row>
    <row r="62" spans="1:2" ht="17.25" customHeight="1">
      <c r="A62" s="319" t="s">
        <v>69</v>
      </c>
      <c r="B62" s="320" t="s">
        <v>70</v>
      </c>
    </row>
    <row r="63" spans="1:2" ht="17.25" customHeight="1">
      <c r="A63" s="319" t="s">
        <v>71</v>
      </c>
      <c r="B63" s="320" t="s">
        <v>72</v>
      </c>
    </row>
    <row r="64" spans="1:2" ht="17.25" customHeight="1">
      <c r="A64" s="315"/>
      <c r="B64" s="314"/>
    </row>
    <row r="65" spans="1:2" ht="17.25" customHeight="1">
      <c r="A65" s="319" t="s">
        <v>73</v>
      </c>
      <c r="B65" s="320" t="s">
        <v>74</v>
      </c>
    </row>
    <row r="66" spans="1:2" ht="17.25" customHeight="1">
      <c r="A66" s="319" t="s">
        <v>75</v>
      </c>
      <c r="B66" s="320" t="s">
        <v>76</v>
      </c>
    </row>
    <row r="67" spans="1:2" ht="17.25" customHeight="1">
      <c r="A67" s="319" t="s">
        <v>77</v>
      </c>
      <c r="B67" s="320" t="s">
        <v>78</v>
      </c>
    </row>
    <row r="68" spans="1:2" ht="17.25" customHeight="1">
      <c r="A68" s="319" t="s">
        <v>79</v>
      </c>
      <c r="B68" s="320" t="s">
        <v>80</v>
      </c>
    </row>
    <row r="69" spans="1:2" ht="17.25" customHeight="1">
      <c r="A69" s="315"/>
      <c r="B69" s="314"/>
    </row>
    <row r="70" spans="1:2" ht="17.25" customHeight="1">
      <c r="A70" s="319">
        <v>18</v>
      </c>
      <c r="B70" s="320" t="s">
        <v>81</v>
      </c>
    </row>
    <row r="71" spans="1:2" ht="17.25" customHeight="1">
      <c r="A71" s="315"/>
      <c r="B71" s="314"/>
    </row>
    <row r="72" spans="1:2" ht="17.25" customHeight="1">
      <c r="A72" s="319">
        <v>19</v>
      </c>
      <c r="B72" s="320" t="s">
        <v>82</v>
      </c>
    </row>
    <row r="73" spans="1:2" ht="17.25" customHeight="1">
      <c r="A73" s="315"/>
      <c r="B73" s="314"/>
    </row>
    <row r="74" spans="1:2" ht="17.25" customHeight="1">
      <c r="A74" s="319">
        <v>20</v>
      </c>
      <c r="B74" s="320" t="s">
        <v>83</v>
      </c>
    </row>
    <row r="75" spans="1:2" ht="17.25" customHeight="1">
      <c r="A75" s="315"/>
      <c r="B75" s="314"/>
    </row>
    <row r="76" spans="1:2" ht="17.25" customHeight="1">
      <c r="A76" s="319">
        <v>21</v>
      </c>
      <c r="B76" s="320" t="s">
        <v>84</v>
      </c>
    </row>
    <row r="77" spans="1:2" ht="17.25" customHeight="1">
      <c r="A77" s="315"/>
      <c r="B77" s="314"/>
    </row>
    <row r="78" spans="1:2" ht="17.25" customHeight="1">
      <c r="A78" s="319">
        <v>22</v>
      </c>
      <c r="B78" s="320" t="s">
        <v>85</v>
      </c>
    </row>
    <row r="79" spans="1:2" ht="17.25" customHeight="1">
      <c r="A79" s="319" t="s">
        <v>86</v>
      </c>
      <c r="B79" s="320" t="s">
        <v>87</v>
      </c>
    </row>
    <row r="80" spans="1:2" ht="17.25" customHeight="1">
      <c r="A80" s="319" t="s">
        <v>88</v>
      </c>
      <c r="B80" s="320" t="s">
        <v>89</v>
      </c>
    </row>
    <row r="81" spans="1:2" ht="17.25" customHeight="1">
      <c r="A81" s="319" t="s">
        <v>90</v>
      </c>
      <c r="B81" s="320" t="s">
        <v>91</v>
      </c>
    </row>
    <row r="82" spans="1:2" ht="17.25" customHeight="1">
      <c r="A82" s="315"/>
      <c r="B82" s="314"/>
    </row>
    <row r="83" spans="1:2" ht="17.25" customHeight="1">
      <c r="A83" s="319">
        <v>23</v>
      </c>
      <c r="B83" s="320" t="s">
        <v>92</v>
      </c>
    </row>
    <row r="84" spans="1:2" ht="17.25" customHeight="1">
      <c r="A84" s="315"/>
      <c r="B84" s="314"/>
    </row>
    <row r="85" spans="1:2" ht="17.25" customHeight="1">
      <c r="A85" s="321">
        <v>24</v>
      </c>
      <c r="B85" s="322" t="s">
        <v>93</v>
      </c>
    </row>
  </sheetData>
  <mergeCells count="1">
    <mergeCell ref="A1:B1"/>
  </mergeCells>
  <hyperlinks>
    <hyperlink ref="B6" location="'Expenditure &amp; Subsidy - Summary'!A1" display="Summary " xr:uid="{28905B55-6E12-4E4E-9888-AD063AB4B9A8}"/>
    <hyperlink ref="B7" location="'Expenditure &amp; Subsidy '!A1" display="Expenditure and Subsidy                                                                               " xr:uid="{ED5BC827-E2F7-477B-A7E7-1657E65914A2}"/>
    <hyperlink ref="A8:B8" location="'Voted Expenditure &amp; Subsidy '!A1" display="1a " xr:uid="{AFA9E937-B8BD-401A-AD68-D5E3830DDCF8}"/>
    <hyperlink ref="A9:B9" location="'Expenditure &amp; Subsidy-Summaries'!A1" display="1b" xr:uid="{EC2C4564-3B9D-4C8F-92D5-DA4EE7CE2F20}"/>
    <hyperlink ref="A10:B10" location="'Exp &amp; Subsidy by Library '!A1" display="1c" xr:uid="{2748F533-303A-433B-BA2C-26CAA4905220}"/>
    <hyperlink ref="A11:B11" location="'Exp on Library Material '!A1" display="1d" xr:uid="{3E0764F9-350E-4A49-841D-C2BF63A1A446}"/>
    <hyperlink ref="A13:B13" location="Circulation!A1" display="Circulation!A1" xr:uid="{758611E9-794B-4B03-A1FB-27C46BDB554A}"/>
    <hyperlink ref="A14:B14" location="'Circulation by Format '!A1" display="2a" xr:uid="{1FE4327F-4A24-4CBB-89A3-3D435169CE63}"/>
    <hyperlink ref="A15:B15" location="'Circulation by Books Category '!A1" display="2b" xr:uid="{32E0D94F-7176-4468-9DD1-1ACC7B53FFF9}"/>
    <hyperlink ref="A16:B16" location="'Circulation of Non-Book '!A1" display="2c" xr:uid="{D8AB43A0-BDC1-4CEF-9666-A6AD7F229C6C}"/>
    <hyperlink ref="A17:B17" location="'Circ-Separate Collections '!A1" display="2d" xr:uid="{8A4107D8-88D4-4012-B167-33D12068670D}"/>
    <hyperlink ref="A18:B18" location="'Circulation by Council'!A1" display="2e" xr:uid="{323B51B9-F43A-4821-9675-6FA7B6B34065}"/>
    <hyperlink ref="A20:B20" location="'Total Stock '!A1" display="'Total Stock '!A1" xr:uid="{7F9EB9CC-0A58-428A-B55B-4816E1ACE187}"/>
    <hyperlink ref="A21:B21" location="'Total Bookstock '!A1" display="3a" xr:uid="{37B043A0-85A0-4F92-B939-67EEACE9CE22}"/>
    <hyperlink ref="A22:B22" location="'Total Non-Book'!A1" display="3b" xr:uid="{2EDE4AA0-8A60-4583-859D-90B4D703389D}"/>
    <hyperlink ref="A23:B23" location="'Total Serials '!A1" display="3c" xr:uid="{A532910A-7015-4E7C-996A-9E44AE168C18}"/>
    <hyperlink ref="A24:B24" location="'Separate Collections '!A1" display="3d" xr:uid="{A7162DB9-00B4-4481-B59D-5A3FC3E603E2}"/>
    <hyperlink ref="A25:B25" location="'Acquisitions &amp; Discards'!A1" display="3e" xr:uid="{76CDE371-2E36-42A1-A50B-F1D0E1E84C5D}"/>
    <hyperlink ref="A27:B27" location="'Registered Members '!A1" display="'Registered Members '!A1" xr:uid="{5F8EB35F-F254-49C9-9D27-8F4639A0F18B}"/>
    <hyperlink ref="A28:B28" location="'Non-Resident &amp; Resident Members'!A1" display="4a" xr:uid="{246B046F-4084-4A34-A387-90B018DD8DE4}"/>
    <hyperlink ref="A30:B30" location="'Service Pts &amp; Hours Open '!A1" display="'Service Pts &amp; Hours Open '!A1" xr:uid="{2BD124CA-A407-4A3F-97D1-5E5F95DFBE11}"/>
    <hyperlink ref="A32:B32" location="'Staff '!A1" display="'Staff '!A1" xr:uid="{62E7EA1A-87E5-4AC8-A642-7CC1A5B1D9A0}"/>
    <hyperlink ref="A34:B34" location="'Regional &amp; Joint Lib Services'!A1" display="'Regional &amp; Joint Lib Services'!A1" xr:uid="{7254DEEC-0DDC-477B-BED2-542BBBA48DAC}"/>
    <hyperlink ref="A36:B36" location="'Summary of Comparative Stats'!A1" display="'Summary of Comparative Stats'!A1" xr:uid="{BC858242-5427-4BF3-8A34-AF823324AE68}"/>
    <hyperlink ref="A38:B38" location="Population!A1" display="Population!A1" xr:uid="{F454F831-E772-4245-9787-A0638A0EB72A}"/>
    <hyperlink ref="A40:B40" location="'Total Expenditure'!A1" display="'Total Expenditure'!A1" xr:uid="{FF8FC69D-8E30-497C-A927-EAA05CD62891}"/>
    <hyperlink ref="A41:B41" location="'Expenditure per capita'!A1" display="10a" xr:uid="{A2225C35-FFF9-4F61-B4A8-D70FD31B5FB7}"/>
    <hyperlink ref="A42:B42" location="'Exp on Salaries per capita'!A1" display="10b" xr:uid="{3FC67F3C-5961-45DC-8DDA-EF52B10DD4A7}"/>
    <hyperlink ref="A43:B43" location="'Exp on Lib Mat per capita'!A1" display="10c" xr:uid="{4D86CA31-E7F5-48B4-97CA-DB9296AE0515}"/>
    <hyperlink ref="A45:B45" location="'Library Material '!A1" display="'Library Material '!A1" xr:uid="{030B8678-D9D2-4D78-B305-6FE4C64BF696}"/>
    <hyperlink ref="A46:B46" location="'Library Material per capita'!A1" display="11a" xr:uid="{E4FCE0B1-7E84-48D6-BF50-B4BF8691C8C2}"/>
    <hyperlink ref="A47:B47" location="'Average Cost of Lib Mat'!A1" display="11b" xr:uid="{665B01D1-CE21-4FF6-B0DF-BF45B0606047}"/>
    <hyperlink ref="A48:B48" location="'Age of Lib Material'!A1" display="11c" xr:uid="{3ED85470-DE06-4CAE-B488-6FBC69E233EA}"/>
    <hyperlink ref="A50:B50" location="'Adult Fiction'!A1" display="'Adult Fiction'!A1" xr:uid="{6224EFB2-201A-4D24-88C2-7DCF8A71BFE1}"/>
    <hyperlink ref="A52:B52" location="'Adult Periodical Titles'!A1" display="'Adult Periodical Titles'!A1" xr:uid="{2BC3F9E2-3898-4426-996E-1FB2F75F136C}"/>
    <hyperlink ref="A54:B54" location="Acquisitions!A1" display="Acquisitions!A1" xr:uid="{BF32DA0D-6547-4F96-A057-26F7A5C06E34}"/>
    <hyperlink ref="A55:B55" location="'Acquisitions per capita'!A1" display="14a" xr:uid="{6A417268-6CE5-4410-93C5-DC423177160D}"/>
    <hyperlink ref="A57:B57" location="'Discards as % of Acquisitions'!A1" display="'Discards as % of Acquisitions'!A1" xr:uid="{D5602A07-E778-4E19-B754-74C98192F95A}"/>
    <hyperlink ref="A58:B58" location="'Discards as % of Total Stock'!A1" display="15a" xr:uid="{6F2A2FBD-A036-4A7E-82F9-F9967CBB2FCD}"/>
    <hyperlink ref="A60:B60" location="'Circulation of Lib Material'!A1" display="'Circulation of Lib Material'!A1" xr:uid="{1CE75167-75B5-427C-92BF-92DB01A98C9F}"/>
    <hyperlink ref="A61:B61" location="'Circulation per capita'!A1" display="16a" xr:uid="{64691DAE-DB71-43AA-A4CD-161136578010}"/>
    <hyperlink ref="A62:B62" location="'Turnover of Stock'!A1" display="16b" xr:uid="{4577DD8E-049E-41ED-B9C2-8BD705F5EC86}"/>
    <hyperlink ref="A63:B63" location="'Circulation per Staff Member'!A1" display="16c" xr:uid="{BC8A8078-C622-405D-95F5-017714AD0E8D}"/>
    <hyperlink ref="A65:B65" location="'Total Staff'!A1" display="17 " xr:uid="{FE5A0AD1-BEB9-4BF9-AA77-614D4D08DCEC}"/>
    <hyperlink ref="A66:B66" location="'Population per Staff Member'!A1" display="17a " xr:uid="{A489452F-BFE8-46FC-A040-3B67A06C8534}"/>
    <hyperlink ref="A67:B67" location="'Total Qualified Staff'!A1" display="17b " xr:uid="{D0DD6FAE-DAD2-48C1-AE16-1CC2B957DC92}"/>
    <hyperlink ref="A68:B68" location="'Population per Qualified Staff'!A1" display="17c " xr:uid="{A6C868C7-5FF3-4B3D-AE77-73FA25F69792}"/>
    <hyperlink ref="A70:B70" location="'Document Delivery'!A1" display="'Document Delivery'!A1" xr:uid="{13CB84AB-D3B8-458C-AFA5-BF228247640C}"/>
    <hyperlink ref="A72:B72" location="'Library Visits'!A1" display="'Library Visits'!A1" xr:uid="{1FF2C272-89F2-4092-B0BC-91C9FAAE4CD6}"/>
    <hyperlink ref="A74:B74" location="'Internet Public Access '!A1" display="'Internet Public Access '!A1" xr:uid="{E37DB6B2-882B-40EA-B02F-AA86D1303200}"/>
    <hyperlink ref="A76:B76" location="'Info &amp; Customer Requests '!A1" display="'Info &amp; Customer Requests '!A1" xr:uid="{B41B84FD-C51E-47EA-BC48-2A2AC6C63705}"/>
    <hyperlink ref="A78:B78" location="'Library Programs '!A1" display="'Library Programs '!A1" xr:uid="{61ADC442-FC2C-438E-85C9-5E48BC90A47F}"/>
    <hyperlink ref="A79:B79" location="'Online Library Programs '!A1" display="22a" xr:uid="{F2B4122E-01E8-46CB-99AA-994757E7AAF6}"/>
    <hyperlink ref="A80:B80" location="'Lib Program Audience '!A1" display="22b" xr:uid="{F6F8A981-81B6-4CDD-9218-B460350EA6F2}"/>
    <hyperlink ref="A81:B81" location="'Lib Program Types &amp; Attendance'!A1" display="22c" xr:uid="{FC298023-7E4C-4549-9A0C-33FA8F8EBAB5}"/>
    <hyperlink ref="A83:B83" location="'Website Visits'!A1" display="'Website Visits'!A1" xr:uid="{B7AF1E48-4B55-42E8-84B2-4AD5450E1FFD}"/>
    <hyperlink ref="A85:B85" location="'Digitised Collections'!A1" display="'Digitised Collections'!A1" xr:uid="{11258540-1EA9-4217-BD80-DA01799C0A2E}"/>
    <hyperlink ref="A5:B6" location="'Expenditure &amp; Subsidy - Summary'!A1" display="1 " xr:uid="{2E98A8D7-52B3-4099-9EF4-1FA43E4897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7"/>
  <sheetViews>
    <sheetView zoomScaleNormal="100" workbookViewId="0"/>
  </sheetViews>
  <sheetFormatPr defaultColWidth="8.85546875" defaultRowHeight="13.5" customHeight="1"/>
  <cols>
    <col min="1" max="1" width="11.42578125" customWidth="1"/>
    <col min="2" max="2" width="10.140625" bestFit="1" customWidth="1"/>
    <col min="3" max="3" width="12" customWidth="1"/>
    <col min="4" max="4" width="7.7109375" bestFit="1" customWidth="1"/>
    <col min="5" max="5" width="12.85546875" customWidth="1"/>
    <col min="6" max="6" width="17.5703125" customWidth="1"/>
    <col min="7" max="7" width="6.5703125" bestFit="1" customWidth="1"/>
    <col min="8" max="8" width="13.140625" customWidth="1"/>
    <col min="9" max="9" width="11.42578125" customWidth="1"/>
  </cols>
  <sheetData>
    <row r="1" spans="1:27" ht="13.5" customHeight="1">
      <c r="A1" s="9" t="s">
        <v>94</v>
      </c>
    </row>
    <row r="2" spans="1:27" ht="13.5" customHeight="1">
      <c r="A2" s="9"/>
    </row>
    <row r="3" spans="1:27" ht="13.5" customHeight="1">
      <c r="A3" s="197" t="s">
        <v>95</v>
      </c>
    </row>
    <row r="4" spans="1:27" s="77" customFormat="1" ht="13.5" customHeight="1">
      <c r="K4" s="78"/>
      <c r="L4" s="79"/>
      <c r="M4" s="78"/>
      <c r="N4" s="78"/>
      <c r="P4" s="80"/>
      <c r="Q4" s="81"/>
      <c r="R4" s="82"/>
      <c r="T4" s="83"/>
      <c r="U4" s="84"/>
      <c r="V4" s="80"/>
      <c r="W4" s="81"/>
      <c r="X4" s="81"/>
      <c r="Y4" s="82"/>
      <c r="Z4" s="85"/>
      <c r="AA4" s="86"/>
    </row>
    <row r="6" spans="1:27" ht="30" customHeight="1">
      <c r="B6" s="135" t="s">
        <v>96</v>
      </c>
      <c r="C6" s="135" t="s">
        <v>97</v>
      </c>
      <c r="D6" s="135" t="s">
        <v>98</v>
      </c>
      <c r="E6" s="135" t="s">
        <v>99</v>
      </c>
      <c r="F6" s="135" t="s">
        <v>100</v>
      </c>
      <c r="G6" s="135" t="s">
        <v>98</v>
      </c>
      <c r="H6" s="135" t="s">
        <v>101</v>
      </c>
      <c r="I6" s="3"/>
    </row>
    <row r="7" spans="1:27" ht="13.5" customHeight="1">
      <c r="B7" s="173"/>
      <c r="C7" s="129" t="s">
        <v>102</v>
      </c>
      <c r="D7" s="129" t="s">
        <v>102</v>
      </c>
      <c r="E7" s="129" t="s">
        <v>102</v>
      </c>
      <c r="F7" s="129" t="s">
        <v>102</v>
      </c>
      <c r="G7" s="129" t="s">
        <v>102</v>
      </c>
      <c r="H7" s="129" t="s">
        <v>102</v>
      </c>
      <c r="I7" s="3"/>
    </row>
    <row r="8" spans="1:27" ht="13.5" customHeight="1">
      <c r="A8" s="7" t="s">
        <v>103</v>
      </c>
      <c r="B8" s="71">
        <v>8476563</v>
      </c>
      <c r="C8" s="266">
        <v>511376821.2300002</v>
      </c>
      <c r="D8" s="57"/>
      <c r="E8" s="262">
        <v>31467669.670000006</v>
      </c>
      <c r="F8" s="266">
        <v>444928408.44</v>
      </c>
      <c r="G8" s="39"/>
      <c r="H8" s="266">
        <v>31858256.47000001</v>
      </c>
      <c r="I8" s="18"/>
    </row>
    <row r="9" spans="1:27" ht="13.5" customHeight="1">
      <c r="A9" s="7" t="s">
        <v>104</v>
      </c>
      <c r="B9" s="71">
        <v>66744.5905511811</v>
      </c>
      <c r="C9" s="266">
        <v>4026589.1435433086</v>
      </c>
      <c r="D9" s="131">
        <v>60.328321895324819</v>
      </c>
      <c r="E9" s="266">
        <v>250852.41314960641</v>
      </c>
      <c r="F9" s="266">
        <v>3503373.2948031495</v>
      </c>
      <c r="G9" s="195">
        <v>52.489246931804793</v>
      </c>
      <c r="H9" s="266">
        <v>250852.41314960638</v>
      </c>
    </row>
    <row r="10" spans="1:27" ht="13.5" customHeight="1">
      <c r="A10" s="7" t="s">
        <v>105</v>
      </c>
      <c r="B10" s="71">
        <v>26214</v>
      </c>
      <c r="C10" s="266">
        <v>1581501</v>
      </c>
      <c r="D10" s="131">
        <v>66.016022727272727</v>
      </c>
      <c r="E10" s="266">
        <v>137464.48000000001</v>
      </c>
      <c r="F10" s="266">
        <v>1637183</v>
      </c>
      <c r="G10" s="170">
        <v>58.26548247719635</v>
      </c>
      <c r="H10" s="266">
        <v>137464.48000000001</v>
      </c>
    </row>
    <row r="11" spans="1:27" ht="13.5" customHeight="1">
      <c r="A11" s="7" t="s">
        <v>106</v>
      </c>
      <c r="B11" s="71">
        <v>438843</v>
      </c>
      <c r="C11" s="266">
        <v>37409227.129999995</v>
      </c>
      <c r="D11" s="131">
        <v>290.11549646863313</v>
      </c>
      <c r="E11" s="266">
        <v>1300702.55</v>
      </c>
      <c r="F11" s="266">
        <v>18516506</v>
      </c>
      <c r="G11" s="170">
        <v>161.7177700348432</v>
      </c>
      <c r="H11" s="266">
        <v>1300702.55</v>
      </c>
    </row>
    <row r="12" spans="1:27" ht="13.5" customHeight="1">
      <c r="A12" s="7" t="s">
        <v>107</v>
      </c>
      <c r="B12" s="71">
        <v>1408</v>
      </c>
      <c r="C12" s="266">
        <v>92950.56</v>
      </c>
      <c r="D12" s="131">
        <v>25.221856972856575</v>
      </c>
      <c r="E12" s="266">
        <v>68946.570000000007</v>
      </c>
      <c r="F12" s="266">
        <v>124400</v>
      </c>
      <c r="G12" s="170">
        <v>14.538731795772653</v>
      </c>
      <c r="H12" s="266">
        <v>68946.570000000007</v>
      </c>
    </row>
    <row r="13" spans="1:27" ht="13.5" customHeight="1">
      <c r="A13" s="2"/>
      <c r="B13" s="2"/>
      <c r="C13" s="2"/>
      <c r="D13" s="2"/>
      <c r="E13" s="2"/>
      <c r="F13" s="2"/>
      <c r="G13" s="2"/>
      <c r="H13" s="2"/>
    </row>
    <row r="14" spans="1:27" ht="13.5" customHeight="1">
      <c r="A14" s="2"/>
      <c r="B14" s="2"/>
      <c r="C14" s="2"/>
      <c r="D14" s="2"/>
      <c r="E14" s="2"/>
      <c r="F14" s="10"/>
      <c r="G14" s="2"/>
      <c r="H14" s="2"/>
    </row>
    <row r="15" spans="1:27" ht="13.5" customHeight="1">
      <c r="A15" s="88" t="s">
        <v>108</v>
      </c>
      <c r="B15" s="18"/>
      <c r="C15" s="7"/>
      <c r="D15" s="7"/>
      <c r="E15" s="18"/>
      <c r="F15" s="18"/>
      <c r="G15" s="22"/>
      <c r="H15" s="2"/>
    </row>
    <row r="16" spans="1:27" ht="13.5" customHeight="1">
      <c r="A16" s="88" t="s">
        <v>109</v>
      </c>
      <c r="B16" s="18"/>
      <c r="C16" s="7"/>
      <c r="D16" s="7"/>
      <c r="E16" s="18"/>
      <c r="F16" s="18"/>
      <c r="G16" s="22"/>
      <c r="H16" s="2"/>
    </row>
    <row r="17" spans="1:8" ht="13.5" customHeight="1">
      <c r="A17" s="44" t="s">
        <v>110</v>
      </c>
      <c r="B17" s="111"/>
      <c r="C17" s="112"/>
      <c r="D17" s="112"/>
      <c r="E17" s="111"/>
      <c r="F17" s="113"/>
      <c r="G17" s="114"/>
      <c r="H17" s="52"/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47"/>
  <sheetViews>
    <sheetView zoomScaleNormal="100" workbookViewId="0">
      <pane ySplit="4" topLeftCell="A108" activePane="bottomLeft" state="frozen"/>
      <selection pane="bottomLeft"/>
      <selection activeCell="G34" sqref="G34"/>
    </sheetView>
  </sheetViews>
  <sheetFormatPr defaultColWidth="8.85546875" defaultRowHeight="11.25"/>
  <cols>
    <col min="1" max="1" width="6.140625" style="342" customWidth="1"/>
    <col min="2" max="2" width="17.85546875" style="343" customWidth="1"/>
    <col min="3" max="3" width="10.5703125" style="340" customWidth="1"/>
    <col min="4" max="4" width="13.5703125" style="341" bestFit="1" customWidth="1"/>
    <col min="5" max="5" width="7" style="341" bestFit="1" customWidth="1"/>
    <col min="6" max="6" width="13.28515625" style="341" bestFit="1" customWidth="1"/>
    <col min="7" max="7" width="3" style="341" bestFit="1" customWidth="1"/>
    <col min="8" max="8" width="13.7109375" style="341" bestFit="1" customWidth="1"/>
    <col min="9" max="9" width="7" style="342" bestFit="1" customWidth="1"/>
    <col min="10" max="10" width="12.42578125" style="340" customWidth="1"/>
    <col min="11" max="11" width="15.28515625" style="342" bestFit="1" customWidth="1"/>
    <col min="12" max="12" width="9.85546875" style="342" bestFit="1" customWidth="1"/>
    <col min="13" max="13" width="8.85546875" style="342" customWidth="1"/>
    <col min="14" max="14" width="27" style="342" customWidth="1"/>
    <col min="15" max="15" width="16" style="342" bestFit="1" customWidth="1"/>
    <col min="16" max="16" width="14.140625" style="342" customWidth="1"/>
    <col min="17" max="17" width="11.140625" style="342" customWidth="1"/>
    <col min="18" max="18" width="12.7109375" style="342" bestFit="1" customWidth="1"/>
    <col min="19" max="19" width="12" style="342" bestFit="1" customWidth="1"/>
    <col min="20" max="20" width="11.140625" style="342" bestFit="1" customWidth="1"/>
    <col min="21" max="21" width="10" style="342" bestFit="1" customWidth="1"/>
    <col min="22" max="22" width="9.85546875" style="342" bestFit="1" customWidth="1"/>
    <col min="23" max="16384" width="8.85546875" style="342"/>
  </cols>
  <sheetData>
    <row r="1" spans="1:22" ht="15">
      <c r="A1" s="9" t="s">
        <v>94</v>
      </c>
      <c r="B1" s="361"/>
      <c r="C1" s="14"/>
      <c r="D1" s="57"/>
      <c r="E1" s="57"/>
      <c r="F1" s="57"/>
      <c r="G1" s="57"/>
      <c r="H1" s="57"/>
      <c r="I1" s="57"/>
      <c r="J1" s="1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">
      <c r="A2" s="9" t="s">
        <v>111</v>
      </c>
      <c r="B2" s="5"/>
      <c r="C2" s="14"/>
      <c r="D2" s="57"/>
      <c r="E2" s="57"/>
      <c r="F2" s="57"/>
      <c r="G2" s="57"/>
      <c r="H2" s="57"/>
      <c r="I2" s="2"/>
      <c r="J2" s="1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7"/>
      <c r="B3" s="5"/>
      <c r="C3" s="14"/>
      <c r="D3" s="57"/>
      <c r="E3" s="57"/>
      <c r="F3" s="57"/>
      <c r="G3" s="57"/>
      <c r="H3" s="57"/>
      <c r="I3" s="2"/>
      <c r="J3" s="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35.25" customHeight="1">
      <c r="A4" s="362" t="s">
        <v>112</v>
      </c>
      <c r="B4" s="363"/>
      <c r="C4" s="147" t="s">
        <v>96</v>
      </c>
      <c r="D4" s="148" t="s">
        <v>113</v>
      </c>
      <c r="E4" s="148" t="s">
        <v>98</v>
      </c>
      <c r="F4" s="148" t="s">
        <v>114</v>
      </c>
      <c r="G4" s="148"/>
      <c r="H4" s="148" t="s">
        <v>115</v>
      </c>
      <c r="I4" s="105" t="s">
        <v>98</v>
      </c>
      <c r="J4" s="147" t="s">
        <v>116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3.5" customHeight="1">
      <c r="A5" s="364"/>
      <c r="B5" s="361"/>
      <c r="C5" s="365"/>
      <c r="D5" s="232" t="s">
        <v>102</v>
      </c>
      <c r="E5" s="232" t="s">
        <v>102</v>
      </c>
      <c r="F5" s="232" t="s">
        <v>102</v>
      </c>
      <c r="G5" s="232"/>
      <c r="H5" s="232" t="s">
        <v>102</v>
      </c>
      <c r="I5" s="232" t="s">
        <v>102</v>
      </c>
      <c r="J5" s="66" t="s">
        <v>102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3.5" customHeight="1">
      <c r="A6" s="2" t="s">
        <v>117</v>
      </c>
      <c r="B6" s="2" t="s">
        <v>118</v>
      </c>
      <c r="C6" s="33">
        <v>58317</v>
      </c>
      <c r="D6" s="195">
        <v>3779156</v>
      </c>
      <c r="E6" s="195">
        <v>64.803676457979662</v>
      </c>
      <c r="F6" s="195">
        <v>206085</v>
      </c>
      <c r="G6" s="170"/>
      <c r="H6" s="170">
        <v>3985241</v>
      </c>
      <c r="I6" s="131">
        <v>68.3375516573212</v>
      </c>
      <c r="J6" s="131">
        <v>226678.03000000003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3.5" customHeight="1">
      <c r="A7" s="2" t="s">
        <v>119</v>
      </c>
      <c r="B7" s="2" t="s">
        <v>120</v>
      </c>
      <c r="C7" s="33">
        <v>29646</v>
      </c>
      <c r="D7" s="195">
        <v>1679528.24</v>
      </c>
      <c r="E7" s="195">
        <v>56.652777440464142</v>
      </c>
      <c r="F7" s="195">
        <v>133236.44</v>
      </c>
      <c r="G7" s="170"/>
      <c r="H7" s="170">
        <v>1812764.68</v>
      </c>
      <c r="I7" s="131">
        <v>61.147024219118933</v>
      </c>
      <c r="J7" s="131">
        <v>145871.42000000001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3.5" customHeight="1">
      <c r="A8" s="2" t="s">
        <v>117</v>
      </c>
      <c r="B8" s="2" t="s">
        <v>121</v>
      </c>
      <c r="C8" s="33">
        <v>47935</v>
      </c>
      <c r="D8" s="195">
        <v>2285334</v>
      </c>
      <c r="E8" s="195">
        <v>47.675685824554087</v>
      </c>
      <c r="F8" s="195">
        <v>33890</v>
      </c>
      <c r="G8" s="170"/>
      <c r="H8" s="170">
        <v>2319224</v>
      </c>
      <c r="I8" s="131">
        <v>48.38268488578283</v>
      </c>
      <c r="J8" s="131">
        <v>194177.11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3.5" customHeight="1">
      <c r="A9" s="2" t="s">
        <v>122</v>
      </c>
      <c r="B9" s="2" t="s">
        <v>123</v>
      </c>
      <c r="C9" s="33">
        <v>2219</v>
      </c>
      <c r="D9" s="195">
        <v>237127.94</v>
      </c>
      <c r="E9" s="195">
        <v>106.86252365930599</v>
      </c>
      <c r="F9" s="195">
        <v>20772.03</v>
      </c>
      <c r="G9" s="170"/>
      <c r="H9" s="170">
        <v>257899.97</v>
      </c>
      <c r="I9" s="131">
        <v>116.22351059035601</v>
      </c>
      <c r="J9" s="131">
        <v>70392.56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3.5" customHeight="1">
      <c r="A10" s="2" t="s">
        <v>117</v>
      </c>
      <c r="B10" s="2" t="s">
        <v>124</v>
      </c>
      <c r="C10" s="33">
        <v>44939</v>
      </c>
      <c r="D10" s="195">
        <v>2331430.1</v>
      </c>
      <c r="E10" s="195">
        <v>51.879883842542114</v>
      </c>
      <c r="F10" s="195">
        <v>200136.64</v>
      </c>
      <c r="G10" s="170"/>
      <c r="H10" s="170">
        <v>2531566.7400000002</v>
      </c>
      <c r="I10" s="131">
        <v>56.333401722334727</v>
      </c>
      <c r="J10" s="131">
        <v>187569.27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3.5" customHeight="1">
      <c r="A11" s="2" t="s">
        <v>125</v>
      </c>
      <c r="B11" s="2" t="s">
        <v>126</v>
      </c>
      <c r="C11" s="33">
        <v>185880</v>
      </c>
      <c r="D11" s="195">
        <v>6334102.8300000001</v>
      </c>
      <c r="E11" s="195">
        <v>34.076301000645579</v>
      </c>
      <c r="F11" s="195">
        <v>547386.01</v>
      </c>
      <c r="G11" s="170"/>
      <c r="H11" s="170">
        <v>6881488.8399999999</v>
      </c>
      <c r="I11" s="131">
        <v>37.021136432106736</v>
      </c>
      <c r="J11" s="131">
        <v>571512.94999999995</v>
      </c>
      <c r="K11" s="2"/>
      <c r="L11" s="14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3.5" customHeight="1">
      <c r="A12" s="2" t="s">
        <v>117</v>
      </c>
      <c r="B12" s="2" t="s">
        <v>127</v>
      </c>
      <c r="C12" s="33">
        <v>36593</v>
      </c>
      <c r="D12" s="195">
        <v>2100249.58</v>
      </c>
      <c r="E12" s="195">
        <v>57.394845462246877</v>
      </c>
      <c r="F12" s="195">
        <v>185153.82</v>
      </c>
      <c r="G12" s="170"/>
      <c r="H12" s="170">
        <v>2285403.4</v>
      </c>
      <c r="I12" s="131">
        <v>62.454660727461537</v>
      </c>
      <c r="J12" s="131">
        <v>164923.67000000001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3.5" customHeight="1">
      <c r="A13" s="2" t="s">
        <v>128</v>
      </c>
      <c r="B13" s="2" t="s">
        <v>129</v>
      </c>
      <c r="C13" s="33">
        <v>13278</v>
      </c>
      <c r="D13" s="195">
        <v>895515.54</v>
      </c>
      <c r="E13" s="195">
        <v>67.443556258472668</v>
      </c>
      <c r="F13" s="195">
        <v>599253.47</v>
      </c>
      <c r="G13" s="170" t="s">
        <v>130</v>
      </c>
      <c r="H13" s="170">
        <v>1494769.01</v>
      </c>
      <c r="I13" s="131">
        <v>112.57486142491339</v>
      </c>
      <c r="J13" s="131">
        <v>99236.87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3.5" customHeight="1">
      <c r="A14" s="2" t="s">
        <v>131</v>
      </c>
      <c r="B14" s="2" t="s">
        <v>132</v>
      </c>
      <c r="C14" s="33">
        <v>8666</v>
      </c>
      <c r="D14" s="195">
        <v>736910.25</v>
      </c>
      <c r="E14" s="195">
        <v>85.034646895915074</v>
      </c>
      <c r="F14" s="195">
        <v>11760</v>
      </c>
      <c r="G14" s="170"/>
      <c r="H14" s="170">
        <v>748670.25</v>
      </c>
      <c r="I14" s="131">
        <v>86.391674359566125</v>
      </c>
      <c r="J14" s="131">
        <v>87387.13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3.5" customHeight="1">
      <c r="A15" s="2" t="s">
        <v>125</v>
      </c>
      <c r="B15" s="2" t="s">
        <v>133</v>
      </c>
      <c r="C15" s="33">
        <v>438843</v>
      </c>
      <c r="D15" s="195">
        <v>12236190</v>
      </c>
      <c r="E15" s="195">
        <v>27.882841927523057</v>
      </c>
      <c r="F15" s="195">
        <v>824529</v>
      </c>
      <c r="G15" s="170"/>
      <c r="H15" s="170">
        <v>13060719</v>
      </c>
      <c r="I15" s="131">
        <v>29.761712047360902</v>
      </c>
      <c r="J15" s="131">
        <v>1264675.7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3.5" customHeight="1">
      <c r="A16" s="2" t="s">
        <v>131</v>
      </c>
      <c r="B16" s="2" t="s">
        <v>134</v>
      </c>
      <c r="C16" s="33">
        <v>5454</v>
      </c>
      <c r="D16" s="195">
        <v>525632.23</v>
      </c>
      <c r="E16" s="195">
        <v>96.375546387972122</v>
      </c>
      <c r="F16" s="267">
        <v>2658</v>
      </c>
      <c r="G16" s="253"/>
      <c r="H16" s="170">
        <v>528290.23</v>
      </c>
      <c r="I16" s="131">
        <v>96.862895122845615</v>
      </c>
      <c r="J16" s="131">
        <v>75997.47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3.5" customHeight="1">
      <c r="A17" s="2" t="s">
        <v>131</v>
      </c>
      <c r="B17" s="2" t="s">
        <v>135</v>
      </c>
      <c r="C17" s="33">
        <v>7767</v>
      </c>
      <c r="D17" s="195">
        <v>256518.39999999999</v>
      </c>
      <c r="E17" s="195">
        <v>33.026702716621607</v>
      </c>
      <c r="F17" s="195">
        <v>29566.75</v>
      </c>
      <c r="G17" s="170"/>
      <c r="H17" s="170">
        <v>286085.15000000002</v>
      </c>
      <c r="I17" s="131">
        <v>36.833417020728724</v>
      </c>
      <c r="J17" s="131">
        <v>82210.47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3.5" customHeight="1">
      <c r="A18" s="2" t="s">
        <v>136</v>
      </c>
      <c r="B18" s="2" t="s">
        <v>137</v>
      </c>
      <c r="C18" s="33">
        <v>78891</v>
      </c>
      <c r="D18" s="195">
        <v>4557901.93</v>
      </c>
      <c r="E18" s="195">
        <v>57.77467556502009</v>
      </c>
      <c r="F18" s="195">
        <v>186915.55</v>
      </c>
      <c r="G18" s="170"/>
      <c r="H18" s="170">
        <v>4744817.4799999995</v>
      </c>
      <c r="I18" s="131">
        <v>60.143964203774821</v>
      </c>
      <c r="J18" s="131">
        <v>282109.26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3.5" customHeight="1">
      <c r="A19" s="2" t="s">
        <v>122</v>
      </c>
      <c r="B19" s="2" t="s">
        <v>138</v>
      </c>
      <c r="C19" s="33">
        <v>2407</v>
      </c>
      <c r="D19" s="195">
        <v>220811</v>
      </c>
      <c r="E19" s="195">
        <v>91.737017033651853</v>
      </c>
      <c r="F19" s="195">
        <v>477497</v>
      </c>
      <c r="G19" s="170"/>
      <c r="H19" s="170">
        <v>698308</v>
      </c>
      <c r="I19" s="131">
        <v>290.11549646863313</v>
      </c>
      <c r="J19" s="131">
        <v>69651.58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3.5" customHeight="1">
      <c r="A20" s="2" t="s">
        <v>122</v>
      </c>
      <c r="B20" s="2" t="s">
        <v>139</v>
      </c>
      <c r="C20" s="33">
        <v>2349</v>
      </c>
      <c r="D20" s="195">
        <v>509223.73</v>
      </c>
      <c r="E20" s="195">
        <v>216.78319710515112</v>
      </c>
      <c r="F20" s="195">
        <v>27898.52</v>
      </c>
      <c r="G20" s="170"/>
      <c r="H20" s="170">
        <v>537122.25</v>
      </c>
      <c r="I20" s="131">
        <v>228.65996168582376</v>
      </c>
      <c r="J20" s="131">
        <v>72370.77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3.5" customHeight="1">
      <c r="A21" s="2" t="s">
        <v>140</v>
      </c>
      <c r="B21" s="2" t="s">
        <v>141</v>
      </c>
      <c r="C21" s="33">
        <v>1408</v>
      </c>
      <c r="D21" s="195">
        <v>92950.56</v>
      </c>
      <c r="E21" s="195">
        <v>66.016022727272727</v>
      </c>
      <c r="F21" s="195"/>
      <c r="G21" s="195"/>
      <c r="H21" s="195">
        <v>92950.56</v>
      </c>
      <c r="I21" s="131">
        <v>66.016022727272727</v>
      </c>
      <c r="J21" s="131">
        <v>72021.350000000006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3.5" customHeight="1">
      <c r="A22" s="2" t="s">
        <v>119</v>
      </c>
      <c r="B22" s="2" t="s">
        <v>142</v>
      </c>
      <c r="C22" s="33">
        <v>17541</v>
      </c>
      <c r="D22" s="195">
        <v>634591.61</v>
      </c>
      <c r="E22" s="195">
        <v>36.177618721851658</v>
      </c>
      <c r="F22" s="195">
        <v>8621.66</v>
      </c>
      <c r="G22" s="170"/>
      <c r="H22" s="170">
        <v>643213.27</v>
      </c>
      <c r="I22" s="131">
        <v>36.669133458753777</v>
      </c>
      <c r="J22" s="131">
        <v>117540.75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3.5" customHeight="1">
      <c r="A23" s="2" t="s">
        <v>143</v>
      </c>
      <c r="B23" s="2" t="s">
        <v>144</v>
      </c>
      <c r="C23" s="33">
        <v>43346</v>
      </c>
      <c r="D23" s="195">
        <v>3535395.48</v>
      </c>
      <c r="E23" s="195">
        <v>81.562208277580396</v>
      </c>
      <c r="F23" s="195">
        <v>224476.72</v>
      </c>
      <c r="G23" s="170"/>
      <c r="H23" s="170">
        <v>3759872.2</v>
      </c>
      <c r="I23" s="131">
        <v>86.740926498408157</v>
      </c>
      <c r="J23" s="131">
        <v>183873.88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3.5" customHeight="1">
      <c r="A24" s="2" t="s">
        <v>117</v>
      </c>
      <c r="B24" s="2" t="s">
        <v>145</v>
      </c>
      <c r="C24" s="33">
        <v>37826</v>
      </c>
      <c r="D24" s="195">
        <v>2531141.73</v>
      </c>
      <c r="E24" s="195">
        <v>66.915394966425211</v>
      </c>
      <c r="F24" s="195"/>
      <c r="G24" s="170"/>
      <c r="H24" s="170">
        <v>2531141.73</v>
      </c>
      <c r="I24" s="131">
        <v>66.915394966425211</v>
      </c>
      <c r="J24" s="131">
        <v>165241.06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3.5" customHeight="1">
      <c r="A25" s="2" t="s">
        <v>128</v>
      </c>
      <c r="B25" s="2" t="s">
        <v>146</v>
      </c>
      <c r="C25" s="33">
        <v>13897</v>
      </c>
      <c r="D25" s="195">
        <v>490374.26</v>
      </c>
      <c r="E25" s="195">
        <v>35.286339497733323</v>
      </c>
      <c r="F25" s="195">
        <v>18256.830000000002</v>
      </c>
      <c r="G25" s="170"/>
      <c r="H25" s="170">
        <v>508631.09</v>
      </c>
      <c r="I25" s="131">
        <v>36.600064042599122</v>
      </c>
      <c r="J25" s="131">
        <v>98989.959999999992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3.5" customHeight="1">
      <c r="A26" s="2" t="s">
        <v>147</v>
      </c>
      <c r="B26" s="2" t="s">
        <v>148</v>
      </c>
      <c r="C26" s="33">
        <v>141133</v>
      </c>
      <c r="D26" s="195">
        <v>4825611</v>
      </c>
      <c r="E26" s="195">
        <v>34.191939518043263</v>
      </c>
      <c r="F26" s="195">
        <v>532770</v>
      </c>
      <c r="G26" s="170"/>
      <c r="H26" s="170">
        <v>5358381</v>
      </c>
      <c r="I26" s="131">
        <v>37.966889388024065</v>
      </c>
      <c r="J26" s="131">
        <v>442569.35000000003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3.5" customHeight="1">
      <c r="A27" s="2" t="s">
        <v>147</v>
      </c>
      <c r="B27" s="2" t="s">
        <v>149</v>
      </c>
      <c r="C27" s="33">
        <v>188303</v>
      </c>
      <c r="D27" s="195">
        <v>6363855.0599999996</v>
      </c>
      <c r="E27" s="195">
        <v>33.795824070779538</v>
      </c>
      <c r="F27" s="195">
        <v>575034.64</v>
      </c>
      <c r="G27" s="195"/>
      <c r="H27" s="170">
        <v>6938889.6999999993</v>
      </c>
      <c r="I27" s="131">
        <v>36.849597191760083</v>
      </c>
      <c r="J27" s="131">
        <v>579288.4</v>
      </c>
      <c r="K27" s="5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3.5" customHeight="1">
      <c r="A28" s="2" t="s">
        <v>150</v>
      </c>
      <c r="B28" s="2" t="s">
        <v>151</v>
      </c>
      <c r="C28" s="33">
        <v>92255</v>
      </c>
      <c r="D28" s="195">
        <v>6137346.3300000001</v>
      </c>
      <c r="E28" s="195">
        <v>66.525893772695241</v>
      </c>
      <c r="F28" s="195">
        <v>699265.62</v>
      </c>
      <c r="G28" s="170"/>
      <c r="H28" s="170">
        <v>6836611.9500000002</v>
      </c>
      <c r="I28" s="131">
        <v>74.105598070565279</v>
      </c>
      <c r="J28" s="131">
        <v>318072.42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3.5" customHeight="1">
      <c r="A29" s="2" t="s">
        <v>125</v>
      </c>
      <c r="B29" s="171" t="s">
        <v>152</v>
      </c>
      <c r="C29" s="33">
        <v>385242</v>
      </c>
      <c r="D29" s="195">
        <v>17138563</v>
      </c>
      <c r="E29" s="195">
        <v>44.487784301815481</v>
      </c>
      <c r="F29" s="195">
        <v>807186</v>
      </c>
      <c r="G29" s="195"/>
      <c r="H29" s="170">
        <v>17945749</v>
      </c>
      <c r="I29" s="131">
        <v>46.583054287954063</v>
      </c>
      <c r="J29" s="131">
        <v>1132512.6500000001</v>
      </c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3.5" customHeight="1">
      <c r="A30" s="2" t="s">
        <v>122</v>
      </c>
      <c r="B30" s="2" t="s">
        <v>153</v>
      </c>
      <c r="C30" s="33">
        <v>2767</v>
      </c>
      <c r="D30" s="195">
        <v>418412.38</v>
      </c>
      <c r="E30" s="195">
        <v>151.21517166606432</v>
      </c>
      <c r="F30" s="195">
        <v>39052.720000000001</v>
      </c>
      <c r="G30" s="170"/>
      <c r="H30" s="170">
        <v>457465.1</v>
      </c>
      <c r="I30" s="131">
        <v>165.3289121792555</v>
      </c>
      <c r="J30" s="131">
        <v>70634.83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3.5" customHeight="1">
      <c r="A31" s="2" t="s">
        <v>147</v>
      </c>
      <c r="B31" s="2" t="s">
        <v>154</v>
      </c>
      <c r="C31" s="33">
        <v>354803</v>
      </c>
      <c r="D31" s="195">
        <v>12995744.300000001</v>
      </c>
      <c r="E31" s="195">
        <v>36.628056414404618</v>
      </c>
      <c r="F31" s="195">
        <v>24413482.829999998</v>
      </c>
      <c r="G31" s="170" t="s">
        <v>130</v>
      </c>
      <c r="H31" s="170">
        <v>37409227.129999995</v>
      </c>
      <c r="I31" s="131">
        <v>105.43661448747613</v>
      </c>
      <c r="J31" s="131">
        <v>1054875.8999999999</v>
      </c>
      <c r="K31" s="5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3.5" customHeight="1">
      <c r="A32" s="2" t="s">
        <v>117</v>
      </c>
      <c r="B32" s="2" t="s">
        <v>155</v>
      </c>
      <c r="C32" s="33">
        <v>69352</v>
      </c>
      <c r="D32" s="195">
        <v>2418701.11</v>
      </c>
      <c r="E32" s="195">
        <v>34.875722545853037</v>
      </c>
      <c r="F32" s="195">
        <v>244581.52</v>
      </c>
      <c r="G32" s="170"/>
      <c r="H32" s="170">
        <v>2663282.63</v>
      </c>
      <c r="I32" s="131">
        <v>38.402391135079014</v>
      </c>
      <c r="J32" s="131">
        <v>258264.87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3.5" customHeight="1">
      <c r="A33" s="2" t="s">
        <v>117</v>
      </c>
      <c r="B33" s="2" t="s">
        <v>156</v>
      </c>
      <c r="C33" s="33">
        <v>56037</v>
      </c>
      <c r="D33" s="195">
        <v>2802233.28</v>
      </c>
      <c r="E33" s="195">
        <v>50.006839766582793</v>
      </c>
      <c r="F33" s="195">
        <v>1334540.1299999999</v>
      </c>
      <c r="G33" s="170"/>
      <c r="H33" s="170">
        <v>4136773.4099999997</v>
      </c>
      <c r="I33" s="131">
        <v>73.822178382140365</v>
      </c>
      <c r="J33" s="131">
        <v>223301.07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3.5" customHeight="1">
      <c r="A34" s="2" t="s">
        <v>157</v>
      </c>
      <c r="B34" s="2" t="s">
        <v>158</v>
      </c>
      <c r="C34" s="33">
        <v>4015</v>
      </c>
      <c r="D34" s="195">
        <v>532925</v>
      </c>
      <c r="E34" s="195">
        <v>132.73349937733499</v>
      </c>
      <c r="F34" s="195">
        <v>23982</v>
      </c>
      <c r="G34" s="170"/>
      <c r="H34" s="170">
        <v>556907</v>
      </c>
      <c r="I34" s="131">
        <v>138.70660024906601</v>
      </c>
      <c r="J34" s="131">
        <v>74376.88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3.5" customHeight="1">
      <c r="A35" s="2" t="s">
        <v>159</v>
      </c>
      <c r="B35" s="2" t="s">
        <v>160</v>
      </c>
      <c r="C35" s="33">
        <v>81248</v>
      </c>
      <c r="D35" s="195">
        <v>3455975.88</v>
      </c>
      <c r="E35" s="195">
        <v>42.536134797164237</v>
      </c>
      <c r="F35" s="195">
        <v>348067.86</v>
      </c>
      <c r="G35" s="170"/>
      <c r="H35" s="170">
        <v>3804043.7399999998</v>
      </c>
      <c r="I35" s="131">
        <v>46.820152372981482</v>
      </c>
      <c r="J35" s="131">
        <v>292148.23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3.5" customHeight="1">
      <c r="A36" s="2" t="s">
        <v>122</v>
      </c>
      <c r="B36" s="2" t="s">
        <v>161</v>
      </c>
      <c r="C36" s="33">
        <v>4613</v>
      </c>
      <c r="D36" s="195">
        <v>317683.63</v>
      </c>
      <c r="E36" s="195">
        <v>68.867034467808367</v>
      </c>
      <c r="F36" s="195"/>
      <c r="G36" s="170"/>
      <c r="H36" s="170">
        <v>317683.63</v>
      </c>
      <c r="I36" s="131">
        <v>68.867034467808367</v>
      </c>
      <c r="J36" s="131">
        <v>74493.17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3.5" customHeight="1">
      <c r="A37" s="2" t="s">
        <v>122</v>
      </c>
      <c r="B37" s="2" t="s">
        <v>162</v>
      </c>
      <c r="C37" s="33">
        <v>3871</v>
      </c>
      <c r="D37" s="195">
        <v>330363.17</v>
      </c>
      <c r="E37" s="195">
        <v>85.343107724102296</v>
      </c>
      <c r="F37" s="195"/>
      <c r="G37" s="170"/>
      <c r="H37" s="170">
        <v>330363.17</v>
      </c>
      <c r="I37" s="131">
        <v>85.343107724102296</v>
      </c>
      <c r="J37" s="131">
        <v>79003.850000000006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3.5" customHeight="1">
      <c r="A38" s="2" t="s">
        <v>128</v>
      </c>
      <c r="B38" s="171" t="s">
        <v>163</v>
      </c>
      <c r="C38" s="33">
        <v>11424</v>
      </c>
      <c r="D38" s="195">
        <v>811828.97</v>
      </c>
      <c r="E38" s="195">
        <v>71.063460259103636</v>
      </c>
      <c r="F38" s="195">
        <v>89893.32</v>
      </c>
      <c r="G38" s="170"/>
      <c r="H38" s="170">
        <v>901722.29</v>
      </c>
      <c r="I38" s="131">
        <v>78.932273284313723</v>
      </c>
      <c r="J38" s="131">
        <v>96675.260000000009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3.5" customHeight="1">
      <c r="A39" s="2" t="s">
        <v>128</v>
      </c>
      <c r="B39" s="2" t="s">
        <v>164</v>
      </c>
      <c r="C39" s="33">
        <v>12680</v>
      </c>
      <c r="D39" s="195">
        <v>491144.45</v>
      </c>
      <c r="E39" s="195">
        <v>38.733789432176657</v>
      </c>
      <c r="F39" s="195">
        <v>22086.14</v>
      </c>
      <c r="G39" s="170"/>
      <c r="H39" s="170">
        <v>513230.59</v>
      </c>
      <c r="I39" s="131">
        <v>40.475598580441641</v>
      </c>
      <c r="J39" s="131">
        <v>101708.67000000001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3.5" customHeight="1">
      <c r="A40" s="2" t="s">
        <v>125</v>
      </c>
      <c r="B40" s="2" t="s">
        <v>165</v>
      </c>
      <c r="C40" s="33">
        <v>252399</v>
      </c>
      <c r="D40" s="195">
        <v>7717723.9199999999</v>
      </c>
      <c r="E40" s="195">
        <v>30.57747423721964</v>
      </c>
      <c r="F40" s="195">
        <v>726934.62</v>
      </c>
      <c r="G40" s="170"/>
      <c r="H40" s="170">
        <v>8444658.5399999991</v>
      </c>
      <c r="I40" s="131">
        <v>33.457575267730853</v>
      </c>
      <c r="J40" s="131">
        <v>749170.55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3.5" customHeight="1">
      <c r="A41" s="2" t="s">
        <v>117</v>
      </c>
      <c r="B41" s="2" t="s">
        <v>166</v>
      </c>
      <c r="C41" s="33">
        <v>56997</v>
      </c>
      <c r="D41" s="195">
        <v>2774309.09</v>
      </c>
      <c r="E41" s="195">
        <v>48.674651121988873</v>
      </c>
      <c r="F41" s="195"/>
      <c r="G41" s="170"/>
      <c r="H41" s="170">
        <v>2774309.09</v>
      </c>
      <c r="I41" s="131">
        <v>48.674651121988873</v>
      </c>
      <c r="J41" s="131">
        <v>222718.82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1" customHeight="1">
      <c r="A42" s="2" t="s">
        <v>131</v>
      </c>
      <c r="B42" s="2" t="s">
        <v>167</v>
      </c>
      <c r="C42" s="33">
        <v>9905</v>
      </c>
      <c r="D42" s="195">
        <v>338107</v>
      </c>
      <c r="E42" s="195">
        <v>34.134982332155474</v>
      </c>
      <c r="F42" s="195">
        <v>95900</v>
      </c>
      <c r="G42" s="195"/>
      <c r="H42" s="170">
        <v>434007</v>
      </c>
      <c r="I42" s="131">
        <v>43.816961130742051</v>
      </c>
      <c r="J42" s="131">
        <v>87267.91</v>
      </c>
      <c r="K42" s="1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3.5" customHeight="1">
      <c r="A43" s="2" t="s">
        <v>119</v>
      </c>
      <c r="B43" s="2" t="s">
        <v>168</v>
      </c>
      <c r="C43" s="33">
        <v>8411</v>
      </c>
      <c r="D43" s="195">
        <v>567990.01</v>
      </c>
      <c r="E43" s="195">
        <v>67.52942694091071</v>
      </c>
      <c r="F43" s="195">
        <v>78158.17</v>
      </c>
      <c r="G43" s="170"/>
      <c r="H43" s="170">
        <v>646148.18000000005</v>
      </c>
      <c r="I43" s="131">
        <v>76.821802401616935</v>
      </c>
      <c r="J43" s="131">
        <v>86780.08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3.5" customHeight="1">
      <c r="A44" s="2" t="s">
        <v>117</v>
      </c>
      <c r="B44" s="2" t="s">
        <v>169</v>
      </c>
      <c r="C44" s="33">
        <v>41142</v>
      </c>
      <c r="D44" s="195">
        <v>2418142.96</v>
      </c>
      <c r="E44" s="195">
        <v>58.775532545816922</v>
      </c>
      <c r="F44" s="195">
        <v>236624.45</v>
      </c>
      <c r="G44" s="170"/>
      <c r="H44" s="170">
        <v>2654767.41</v>
      </c>
      <c r="I44" s="131">
        <v>64.526941082105878</v>
      </c>
      <c r="J44" s="131">
        <v>178127.72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3.5" customHeight="1">
      <c r="A45" s="2" t="s">
        <v>125</v>
      </c>
      <c r="B45" s="2" t="s">
        <v>170</v>
      </c>
      <c r="C45" s="33">
        <v>212210</v>
      </c>
      <c r="D45" s="195">
        <v>8358915.7800000003</v>
      </c>
      <c r="E45" s="195">
        <v>39.389829791244523</v>
      </c>
      <c r="F45" s="195">
        <v>349813.69</v>
      </c>
      <c r="G45" s="170"/>
      <c r="H45" s="170">
        <v>8708729.4700000007</v>
      </c>
      <c r="I45" s="131">
        <v>41.038261486263607</v>
      </c>
      <c r="J45" s="131">
        <v>656935.70000000007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3.5" customHeight="1">
      <c r="A46" s="2" t="s">
        <v>128</v>
      </c>
      <c r="B46" s="2" t="s">
        <v>171</v>
      </c>
      <c r="C46" s="33">
        <v>13075</v>
      </c>
      <c r="D46" s="195">
        <v>632870.77</v>
      </c>
      <c r="E46" s="195">
        <v>48.403118164435945</v>
      </c>
      <c r="F46" s="195">
        <v>9269.51</v>
      </c>
      <c r="G46" s="170"/>
      <c r="H46" s="170">
        <v>642140.28</v>
      </c>
      <c r="I46" s="131">
        <v>49.112067304015298</v>
      </c>
      <c r="J46" s="131">
        <v>99630.73000000001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3.5" customHeight="1">
      <c r="A47" s="2" t="s">
        <v>131</v>
      </c>
      <c r="B47" s="2" t="s">
        <v>172</v>
      </c>
      <c r="C47" s="33">
        <v>9295</v>
      </c>
      <c r="D47" s="195">
        <v>393998.1</v>
      </c>
      <c r="E47" s="195">
        <v>42.388176438945671</v>
      </c>
      <c r="F47" s="195"/>
      <c r="G47" s="170"/>
      <c r="H47" s="170">
        <v>393998.1</v>
      </c>
      <c r="I47" s="131">
        <v>42.388176438945671</v>
      </c>
      <c r="J47" s="131">
        <v>89259.58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3.5" customHeight="1">
      <c r="A48" s="2" t="s">
        <v>125</v>
      </c>
      <c r="B48" s="2" t="s">
        <v>173</v>
      </c>
      <c r="C48" s="33">
        <v>161593</v>
      </c>
      <c r="D48" s="195">
        <v>7359220.1100000003</v>
      </c>
      <c r="E48" s="195">
        <v>45.541701125667572</v>
      </c>
      <c r="F48" s="195">
        <v>888750.94</v>
      </c>
      <c r="G48" s="170"/>
      <c r="H48" s="170">
        <v>8247971.0500000007</v>
      </c>
      <c r="I48" s="131">
        <v>51.041635776302194</v>
      </c>
      <c r="J48" s="131">
        <v>500445.35000000003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3.5" customHeight="1">
      <c r="A49" s="2" t="s">
        <v>122</v>
      </c>
      <c r="B49" s="2" t="s">
        <v>174</v>
      </c>
      <c r="C49" s="33">
        <v>4305</v>
      </c>
      <c r="D49" s="195">
        <v>733722.86</v>
      </c>
      <c r="E49" s="195">
        <v>170.43504297328687</v>
      </c>
      <c r="F49" s="195">
        <v>24804.09</v>
      </c>
      <c r="G49" s="170"/>
      <c r="H49" s="170">
        <v>758526.95</v>
      </c>
      <c r="I49" s="131">
        <v>176.1967363530778</v>
      </c>
      <c r="J49" s="131">
        <v>77911.170000000013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3.5" customHeight="1">
      <c r="A50" s="2" t="s">
        <v>131</v>
      </c>
      <c r="B50" s="2" t="s">
        <v>175</v>
      </c>
      <c r="C50" s="33">
        <v>8978</v>
      </c>
      <c r="D50" s="195">
        <v>865550.67</v>
      </c>
      <c r="E50" s="195">
        <v>96.407960570282924</v>
      </c>
      <c r="F50" s="195"/>
      <c r="G50" s="170"/>
      <c r="H50" s="170">
        <v>865550.67</v>
      </c>
      <c r="I50" s="131">
        <v>96.407960570282924</v>
      </c>
      <c r="J50" s="131">
        <v>92931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3.5" customHeight="1">
      <c r="A51" s="2" t="s">
        <v>117</v>
      </c>
      <c r="B51" s="2" t="s">
        <v>176</v>
      </c>
      <c r="C51" s="33">
        <v>33112</v>
      </c>
      <c r="D51" s="195">
        <v>2523019.37</v>
      </c>
      <c r="E51" s="195">
        <v>76.196526032858188</v>
      </c>
      <c r="F51" s="195">
        <v>127522</v>
      </c>
      <c r="G51" s="170"/>
      <c r="H51" s="170">
        <v>2650541.37</v>
      </c>
      <c r="I51" s="131">
        <v>80.047758214544572</v>
      </c>
      <c r="J51" s="131">
        <v>155978.08000000002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3.5" customHeight="1">
      <c r="A52" s="2" t="s">
        <v>128</v>
      </c>
      <c r="B52" s="2" t="s">
        <v>177</v>
      </c>
      <c r="C52" s="33">
        <v>11582</v>
      </c>
      <c r="D52" s="195">
        <v>548029.96</v>
      </c>
      <c r="E52" s="195">
        <v>47.317385598342256</v>
      </c>
      <c r="F52" s="131">
        <v>97288.87</v>
      </c>
      <c r="G52" s="131"/>
      <c r="H52" s="170">
        <v>645318.82999999996</v>
      </c>
      <c r="I52" s="131">
        <v>55.717391642203417</v>
      </c>
      <c r="J52" s="131">
        <v>93043.32</v>
      </c>
      <c r="K52" s="5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3.5" customHeight="1">
      <c r="A53" s="2" t="s">
        <v>119</v>
      </c>
      <c r="B53" s="2" t="s">
        <v>178</v>
      </c>
      <c r="C53" s="33">
        <v>27340</v>
      </c>
      <c r="D53" s="195">
        <v>1489371.78</v>
      </c>
      <c r="E53" s="195">
        <v>54.475924652523773</v>
      </c>
      <c r="F53" s="195">
        <v>84449.37</v>
      </c>
      <c r="G53" s="170"/>
      <c r="H53" s="170">
        <v>1573821.15</v>
      </c>
      <c r="I53" s="131">
        <v>57.564782370153615</v>
      </c>
      <c r="J53" s="131">
        <v>140080.78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 t="s">
        <v>128</v>
      </c>
      <c r="B54" s="2" t="s">
        <v>179</v>
      </c>
      <c r="C54" s="33">
        <v>13392</v>
      </c>
      <c r="D54" s="195">
        <v>700101.66</v>
      </c>
      <c r="E54" s="195">
        <v>52.277603046594983</v>
      </c>
      <c r="F54" s="195">
        <v>42062</v>
      </c>
      <c r="G54" s="170"/>
      <c r="H54" s="170">
        <v>742163.66</v>
      </c>
      <c r="I54" s="131">
        <v>55.418433393070494</v>
      </c>
      <c r="J54" s="131">
        <v>100602.58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3.5" customHeight="1">
      <c r="A55" s="2" t="s">
        <v>122</v>
      </c>
      <c r="B55" s="2" t="s">
        <v>180</v>
      </c>
      <c r="C55" s="33">
        <v>4893</v>
      </c>
      <c r="D55" s="170">
        <v>392651.28</v>
      </c>
      <c r="E55" s="195">
        <v>0</v>
      </c>
      <c r="F55" s="195"/>
      <c r="G55" s="170"/>
      <c r="H55" s="170">
        <v>392651.28</v>
      </c>
      <c r="I55" s="131">
        <v>80.247553648068674</v>
      </c>
      <c r="J55" s="131">
        <v>78195.86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3.5" customHeight="1">
      <c r="A56" s="5" t="s">
        <v>181</v>
      </c>
      <c r="B56" s="5" t="s">
        <v>182</v>
      </c>
      <c r="C56" s="33">
        <v>68704</v>
      </c>
      <c r="D56" s="170">
        <v>3273490.55</v>
      </c>
      <c r="E56" s="366">
        <v>47.646287697950626</v>
      </c>
      <c r="F56" s="170">
        <v>216931.61</v>
      </c>
      <c r="G56" s="170"/>
      <c r="H56" s="170">
        <v>3490422.1599999997</v>
      </c>
      <c r="I56" s="131">
        <v>50.803769212855144</v>
      </c>
      <c r="J56" s="131">
        <v>253676.56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3.5" customHeight="1">
      <c r="A57" s="88" t="s">
        <v>122</v>
      </c>
      <c r="B57" s="5" t="s">
        <v>183</v>
      </c>
      <c r="C57" s="14">
        <v>2861</v>
      </c>
      <c r="D57" s="131">
        <v>346279</v>
      </c>
      <c r="E57" s="170">
        <v>121.03425375742748</v>
      </c>
      <c r="F57" s="131"/>
      <c r="G57" s="131"/>
      <c r="H57" s="131">
        <v>346279</v>
      </c>
      <c r="I57" s="131">
        <v>121.03425375742748</v>
      </c>
      <c r="J57" s="131">
        <v>72182.36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3.5" customHeight="1">
      <c r="A58" s="2" t="s">
        <v>147</v>
      </c>
      <c r="B58" s="5" t="s">
        <v>184</v>
      </c>
      <c r="C58" s="14">
        <v>215612</v>
      </c>
      <c r="D58" s="170">
        <v>9503191.9499999993</v>
      </c>
      <c r="E58" s="170">
        <v>44.075431562250706</v>
      </c>
      <c r="F58" s="170">
        <v>63266.26</v>
      </c>
      <c r="G58" s="170"/>
      <c r="H58" s="170">
        <v>9566458.209999999</v>
      </c>
      <c r="I58" s="131">
        <v>44.368857994916787</v>
      </c>
      <c r="J58" s="170">
        <v>642683.15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 t="s">
        <v>128</v>
      </c>
      <c r="B59" s="171" t="s">
        <v>185</v>
      </c>
      <c r="C59" s="171">
        <v>19300</v>
      </c>
      <c r="D59" s="265">
        <v>875124</v>
      </c>
      <c r="E59" s="265">
        <v>45.343212435233163</v>
      </c>
      <c r="F59" s="265">
        <v>424175</v>
      </c>
      <c r="G59" s="265"/>
      <c r="H59" s="265">
        <v>1299299</v>
      </c>
      <c r="I59" s="265">
        <v>67.321191709844555</v>
      </c>
      <c r="J59" s="265">
        <v>118993.61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 t="s">
        <v>147</v>
      </c>
      <c r="B60" s="5" t="s">
        <v>186</v>
      </c>
      <c r="C60" s="14">
        <v>154834</v>
      </c>
      <c r="D60" s="131">
        <v>8134358.1799999997</v>
      </c>
      <c r="E60" s="131">
        <v>52.535994549000861</v>
      </c>
      <c r="F60" s="131">
        <v>943780.46</v>
      </c>
      <c r="G60" s="131"/>
      <c r="H60" s="131">
        <v>9078138.6400000006</v>
      </c>
      <c r="I60" s="131">
        <v>58.631428755957998</v>
      </c>
      <c r="J60" s="131">
        <v>490007.2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 t="s">
        <v>187</v>
      </c>
      <c r="B61" s="5" t="s">
        <v>188</v>
      </c>
      <c r="C61" s="14">
        <v>14062</v>
      </c>
      <c r="D61" s="131">
        <v>430792.08</v>
      </c>
      <c r="E61" s="131">
        <v>30.635192717963307</v>
      </c>
      <c r="F61" s="131"/>
      <c r="G61" s="131"/>
      <c r="H61" s="131">
        <v>430792.08</v>
      </c>
      <c r="I61" s="131">
        <v>30.635192717963307</v>
      </c>
      <c r="J61" s="131">
        <v>97627.76999999999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 t="s">
        <v>125</v>
      </c>
      <c r="B62" s="5" t="s">
        <v>189</v>
      </c>
      <c r="C62" s="14">
        <v>190939</v>
      </c>
      <c r="D62" s="131">
        <v>16243506.619999999</v>
      </c>
      <c r="E62" s="131">
        <v>85.071706775462317</v>
      </c>
      <c r="F62" s="131">
        <v>249935.26</v>
      </c>
      <c r="G62" s="131"/>
      <c r="H62" s="131">
        <v>16493441.879999999</v>
      </c>
      <c r="I62" s="131">
        <v>86.380686397226327</v>
      </c>
      <c r="J62" s="131">
        <v>586726.25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 t="s">
        <v>128</v>
      </c>
      <c r="B63" s="5" t="s">
        <v>190</v>
      </c>
      <c r="C63" s="14">
        <v>18080</v>
      </c>
      <c r="D63" s="131">
        <v>1269754.6399999999</v>
      </c>
      <c r="E63" s="131">
        <v>70.229792035398219</v>
      </c>
      <c r="F63" s="131">
        <v>154551.99</v>
      </c>
      <c r="G63" s="131"/>
      <c r="H63" s="131">
        <v>1424306.63</v>
      </c>
      <c r="I63" s="131">
        <v>78.778021570796454</v>
      </c>
      <c r="J63" s="131">
        <v>118780.5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 t="s">
        <v>131</v>
      </c>
      <c r="B64" s="5" t="s">
        <v>191</v>
      </c>
      <c r="C64" s="14">
        <v>6458</v>
      </c>
      <c r="D64" s="131">
        <v>551950.09</v>
      </c>
      <c r="E64" s="131">
        <v>85.467650975534212</v>
      </c>
      <c r="F64" s="131"/>
      <c r="G64" s="131"/>
      <c r="H64" s="131">
        <v>551950.09</v>
      </c>
      <c r="I64" s="131">
        <v>85.467650975534212</v>
      </c>
      <c r="J64" s="131">
        <v>84212.52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 t="s">
        <v>117</v>
      </c>
      <c r="B65" s="5" t="s">
        <v>192</v>
      </c>
      <c r="C65" s="14">
        <v>31718</v>
      </c>
      <c r="D65" s="131">
        <v>1353273.53</v>
      </c>
      <c r="E65" s="131">
        <v>42.665790087647395</v>
      </c>
      <c r="F65" s="131">
        <v>58221.02</v>
      </c>
      <c r="G65" s="131"/>
      <c r="H65" s="131">
        <v>1411494.55</v>
      </c>
      <c r="I65" s="131">
        <v>44.501373037392021</v>
      </c>
      <c r="J65" s="131">
        <v>156953.40000000002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 t="s">
        <v>119</v>
      </c>
      <c r="B66" s="5" t="s">
        <v>193</v>
      </c>
      <c r="C66" s="14">
        <v>23173</v>
      </c>
      <c r="D66" s="131">
        <v>1419060.02</v>
      </c>
      <c r="E66" s="131">
        <v>61.237648124973028</v>
      </c>
      <c r="F66" s="131">
        <v>132028.41</v>
      </c>
      <c r="G66" s="131"/>
      <c r="H66" s="131">
        <v>1551088.43</v>
      </c>
      <c r="I66" s="131">
        <v>66.935158589738052</v>
      </c>
      <c r="J66" s="131">
        <v>123180.87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125</v>
      </c>
      <c r="B67" s="5" t="s">
        <v>194</v>
      </c>
      <c r="C67" s="14">
        <v>128362</v>
      </c>
      <c r="D67" s="131">
        <v>5449019.5899999999</v>
      </c>
      <c r="E67" s="131">
        <v>42.450410479736995</v>
      </c>
      <c r="F67" s="131">
        <v>1173033.68</v>
      </c>
      <c r="G67" s="131"/>
      <c r="H67" s="131">
        <v>6622053.2699999996</v>
      </c>
      <c r="I67" s="131">
        <v>51.588891338558135</v>
      </c>
      <c r="J67" s="131">
        <v>419526.72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 t="s">
        <v>131</v>
      </c>
      <c r="B68" s="5" t="s">
        <v>195</v>
      </c>
      <c r="C68" s="14">
        <v>9582</v>
      </c>
      <c r="D68" s="131">
        <v>601027</v>
      </c>
      <c r="E68" s="131">
        <v>62.724587768733038</v>
      </c>
      <c r="F68" s="131"/>
      <c r="G68" s="131"/>
      <c r="H68" s="131">
        <v>601027</v>
      </c>
      <c r="I68" s="131">
        <v>62.724587768733038</v>
      </c>
      <c r="J68" s="131">
        <v>94296.150000000009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 t="s">
        <v>131</v>
      </c>
      <c r="B69" s="5" t="s">
        <v>196</v>
      </c>
      <c r="C69" s="14">
        <v>6113</v>
      </c>
      <c r="D69" s="131">
        <v>468050</v>
      </c>
      <c r="E69" s="131">
        <v>76.566334042205142</v>
      </c>
      <c r="F69" s="131">
        <v>33971</v>
      </c>
      <c r="G69" s="131"/>
      <c r="H69" s="131">
        <v>502021</v>
      </c>
      <c r="I69" s="131">
        <v>82.12350727956813</v>
      </c>
      <c r="J69" s="131">
        <v>83149.47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 t="s">
        <v>197</v>
      </c>
      <c r="B70" s="5" t="s">
        <v>198</v>
      </c>
      <c r="C70" s="14">
        <v>221859</v>
      </c>
      <c r="D70" s="131">
        <v>9981012</v>
      </c>
      <c r="E70" s="131">
        <v>44.988087028247669</v>
      </c>
      <c r="F70" s="131">
        <v>675736</v>
      </c>
      <c r="G70" s="131"/>
      <c r="H70" s="131">
        <v>10656748</v>
      </c>
      <c r="I70" s="131">
        <v>48.033877372565456</v>
      </c>
      <c r="J70" s="131">
        <v>677244.65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 t="s">
        <v>143</v>
      </c>
      <c r="B71" s="5" t="s">
        <v>199</v>
      </c>
      <c r="C71" s="14">
        <v>42566</v>
      </c>
      <c r="D71" s="131">
        <v>4262774.6100000003</v>
      </c>
      <c r="E71" s="131">
        <v>100.14505967203873</v>
      </c>
      <c r="F71" s="131">
        <v>392732.04</v>
      </c>
      <c r="G71" s="131"/>
      <c r="H71" s="131">
        <v>4655506.6500000004</v>
      </c>
      <c r="I71" s="131">
        <v>109.37148545787718</v>
      </c>
      <c r="J71" s="131">
        <v>176039.82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 t="s">
        <v>128</v>
      </c>
      <c r="B72" s="5" t="s">
        <v>200</v>
      </c>
      <c r="C72" s="14">
        <v>11438</v>
      </c>
      <c r="D72" s="131">
        <v>699748.51</v>
      </c>
      <c r="E72" s="131">
        <v>61.177523168386081</v>
      </c>
      <c r="F72" s="131">
        <v>58364</v>
      </c>
      <c r="G72" s="131"/>
      <c r="H72" s="131">
        <v>758112.51</v>
      </c>
      <c r="I72" s="131">
        <v>66.280163490120657</v>
      </c>
      <c r="J72" s="131">
        <v>98208.87000000001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 t="s">
        <v>117</v>
      </c>
      <c r="B73" s="5" t="s">
        <v>201</v>
      </c>
      <c r="C73" s="14">
        <v>43783</v>
      </c>
      <c r="D73" s="131">
        <v>2344249.4300000002</v>
      </c>
      <c r="E73" s="131">
        <v>53.542457803256973</v>
      </c>
      <c r="F73" s="131"/>
      <c r="G73" s="131"/>
      <c r="H73" s="131">
        <v>2344249.4300000002</v>
      </c>
      <c r="I73" s="131">
        <v>53.542457803256973</v>
      </c>
      <c r="J73" s="131">
        <v>187889.53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 t="s">
        <v>119</v>
      </c>
      <c r="B74" s="5" t="s">
        <v>202</v>
      </c>
      <c r="C74" s="14">
        <v>20740</v>
      </c>
      <c r="D74" s="131">
        <v>1814994.21</v>
      </c>
      <c r="E74" s="131">
        <v>87.511774831243969</v>
      </c>
      <c r="F74" s="131">
        <v>64459.22</v>
      </c>
      <c r="G74" s="131"/>
      <c r="H74" s="131">
        <v>1879453.43</v>
      </c>
      <c r="I74" s="131">
        <v>90.619741080038565</v>
      </c>
      <c r="J74" s="131">
        <v>124693.92000000001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 t="s">
        <v>147</v>
      </c>
      <c r="B75" s="5" t="s">
        <v>203</v>
      </c>
      <c r="C75" s="14">
        <v>254905</v>
      </c>
      <c r="D75" s="131">
        <v>12413004.02</v>
      </c>
      <c r="E75" s="131">
        <v>48.696589003746489</v>
      </c>
      <c r="F75" s="131">
        <v>861839.48</v>
      </c>
      <c r="G75" s="131"/>
      <c r="H75" s="131">
        <v>13274843.5</v>
      </c>
      <c r="I75" s="131">
        <v>52.07761126694259</v>
      </c>
      <c r="J75" s="131">
        <v>755865.20000000007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 t="s">
        <v>131</v>
      </c>
      <c r="B76" s="5" t="s">
        <v>204</v>
      </c>
      <c r="C76" s="14">
        <v>7670</v>
      </c>
      <c r="D76" s="131">
        <v>626524.74</v>
      </c>
      <c r="E76" s="131">
        <v>81.685102998696223</v>
      </c>
      <c r="F76" s="131"/>
      <c r="G76" s="131"/>
      <c r="H76" s="131">
        <v>626524.74</v>
      </c>
      <c r="I76" s="131">
        <v>81.685102998696223</v>
      </c>
      <c r="J76" s="131">
        <v>89163.3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 t="s">
        <v>122</v>
      </c>
      <c r="B77" s="5" t="s">
        <v>205</v>
      </c>
      <c r="C77" s="14">
        <v>3474</v>
      </c>
      <c r="D77" s="131">
        <v>158142.23000000001</v>
      </c>
      <c r="E77" s="131">
        <v>0</v>
      </c>
      <c r="F77" s="131"/>
      <c r="G77" s="131"/>
      <c r="H77" s="131">
        <v>158142.23000000001</v>
      </c>
      <c r="I77" s="131">
        <v>45.521655152561891</v>
      </c>
      <c r="J77" s="131">
        <v>72433.179999999993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 t="s">
        <v>159</v>
      </c>
      <c r="B78" s="5" t="s">
        <v>206</v>
      </c>
      <c r="C78" s="14">
        <v>98163</v>
      </c>
      <c r="D78" s="131">
        <v>4055944.76</v>
      </c>
      <c r="E78" s="131">
        <v>41.318467854486926</v>
      </c>
      <c r="F78" s="131">
        <v>401632.9</v>
      </c>
      <c r="G78" s="131"/>
      <c r="H78" s="131">
        <v>4457577.66</v>
      </c>
      <c r="I78" s="131">
        <v>45.409957519635711</v>
      </c>
      <c r="J78" s="131">
        <v>335005.97000000003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 t="s">
        <v>159</v>
      </c>
      <c r="B79" s="5" t="s">
        <v>207</v>
      </c>
      <c r="C79" s="14">
        <v>98582</v>
      </c>
      <c r="D79" s="131">
        <v>5620328.4000000004</v>
      </c>
      <c r="E79" s="131">
        <v>57.011710048487558</v>
      </c>
      <c r="F79" s="131">
        <v>418955.73</v>
      </c>
      <c r="G79" s="131"/>
      <c r="H79" s="131">
        <v>6039284.1300000008</v>
      </c>
      <c r="I79" s="131">
        <v>61.261529792457047</v>
      </c>
      <c r="J79" s="131">
        <v>344671.17000000004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 t="s">
        <v>119</v>
      </c>
      <c r="B80" s="5" t="s">
        <v>208</v>
      </c>
      <c r="C80" s="14">
        <v>26214</v>
      </c>
      <c r="D80" s="131">
        <v>1360996.61</v>
      </c>
      <c r="E80" s="131">
        <v>51.918692683299007</v>
      </c>
      <c r="F80" s="131">
        <v>72849.11</v>
      </c>
      <c r="G80" s="131"/>
      <c r="H80" s="131">
        <v>1433845.7200000002</v>
      </c>
      <c r="I80" s="131">
        <v>54.697708094911121</v>
      </c>
      <c r="J80" s="131">
        <v>136629.43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 t="s">
        <v>128</v>
      </c>
      <c r="B81" s="5" t="s">
        <v>209</v>
      </c>
      <c r="C81" s="14">
        <v>12816</v>
      </c>
      <c r="D81" s="131">
        <v>813708.56</v>
      </c>
      <c r="E81" s="131">
        <v>63.491616729088641</v>
      </c>
      <c r="F81" s="131">
        <v>124164.65</v>
      </c>
      <c r="G81" s="131"/>
      <c r="H81" s="131">
        <v>937873.21000000008</v>
      </c>
      <c r="I81" s="131">
        <v>73.179869694132336</v>
      </c>
      <c r="J81" s="131">
        <v>102318.57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 t="s">
        <v>187</v>
      </c>
      <c r="B82" s="5" t="s">
        <v>210</v>
      </c>
      <c r="C82" s="14">
        <v>29253</v>
      </c>
      <c r="D82" s="131">
        <v>3084909.1</v>
      </c>
      <c r="E82" s="131">
        <v>105.45616176118689</v>
      </c>
      <c r="F82" s="131">
        <v>1174655.3</v>
      </c>
      <c r="G82" s="131"/>
      <c r="H82" s="131">
        <v>4259564.4000000004</v>
      </c>
      <c r="I82" s="131">
        <v>145.61119885139988</v>
      </c>
      <c r="J82" s="131">
        <v>140477.52000000002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 t="s">
        <v>128</v>
      </c>
      <c r="B83" s="5" t="s">
        <v>211</v>
      </c>
      <c r="C83" s="14">
        <v>13562</v>
      </c>
      <c r="D83" s="131">
        <v>521262.58</v>
      </c>
      <c r="E83" s="131">
        <v>38.435524258958857</v>
      </c>
      <c r="F83" s="131">
        <v>29279.599999999999</v>
      </c>
      <c r="G83" s="131"/>
      <c r="H83" s="131">
        <v>550542.18000000005</v>
      </c>
      <c r="I83" s="131">
        <v>40.59446836749742</v>
      </c>
      <c r="J83" s="131">
        <v>98404.17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 t="s">
        <v>122</v>
      </c>
      <c r="B84" s="5" t="s">
        <v>212</v>
      </c>
      <c r="C84" s="14">
        <v>3658</v>
      </c>
      <c r="D84" s="131">
        <v>282392.23</v>
      </c>
      <c r="E84" s="131">
        <v>77.198531984691087</v>
      </c>
      <c r="F84" s="131">
        <v>14959.32</v>
      </c>
      <c r="G84" s="131"/>
      <c r="H84" s="131">
        <v>297351.55</v>
      </c>
      <c r="I84" s="131">
        <v>81.288012575177689</v>
      </c>
      <c r="J84" s="131">
        <v>71808.47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 t="s">
        <v>128</v>
      </c>
      <c r="B85" s="5" t="s">
        <v>213</v>
      </c>
      <c r="C85" s="14">
        <v>16817</v>
      </c>
      <c r="D85" s="131">
        <v>1136381.1000000001</v>
      </c>
      <c r="E85" s="131">
        <v>67.573354343818764</v>
      </c>
      <c r="F85" s="131">
        <v>123717.91</v>
      </c>
      <c r="G85" s="131"/>
      <c r="H85" s="131">
        <v>1260099.01</v>
      </c>
      <c r="I85" s="131">
        <v>74.930071356365588</v>
      </c>
      <c r="J85" s="131">
        <v>113447.82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 t="s">
        <v>128</v>
      </c>
      <c r="B86" s="5" t="s">
        <v>214</v>
      </c>
      <c r="C86" s="14">
        <v>20986</v>
      </c>
      <c r="D86" s="131">
        <v>1259312</v>
      </c>
      <c r="E86" s="131">
        <v>60.007242923854001</v>
      </c>
      <c r="F86" s="131">
        <v>200805</v>
      </c>
      <c r="G86" s="131"/>
      <c r="H86" s="131">
        <v>1460117</v>
      </c>
      <c r="I86" s="131">
        <v>69.57576479557801</v>
      </c>
      <c r="J86" s="131">
        <v>126518.25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 t="s">
        <v>128</v>
      </c>
      <c r="B87" s="5" t="s">
        <v>215</v>
      </c>
      <c r="C87" s="14">
        <v>12796</v>
      </c>
      <c r="D87" s="131">
        <v>941939.81</v>
      </c>
      <c r="E87" s="131">
        <v>73.612051422319482</v>
      </c>
      <c r="F87" s="131"/>
      <c r="G87" s="131"/>
      <c r="H87" s="131">
        <v>941939.81</v>
      </c>
      <c r="I87" s="131">
        <v>73.612051422319482</v>
      </c>
      <c r="J87" s="131">
        <v>100465.76000000001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 t="s">
        <v>131</v>
      </c>
      <c r="B88" s="5" t="s">
        <v>216</v>
      </c>
      <c r="C88" s="14">
        <v>5687</v>
      </c>
      <c r="D88" s="131">
        <v>445238</v>
      </c>
      <c r="E88" s="131">
        <v>78.290487075786885</v>
      </c>
      <c r="F88" s="131">
        <v>32591</v>
      </c>
      <c r="G88" s="131"/>
      <c r="H88" s="131">
        <v>477829</v>
      </c>
      <c r="I88" s="131">
        <v>84.021276595744681</v>
      </c>
      <c r="J88" s="131">
        <v>83534.55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 t="s">
        <v>131</v>
      </c>
      <c r="B89" s="5" t="s">
        <v>217</v>
      </c>
      <c r="C89" s="14">
        <v>6432</v>
      </c>
      <c r="D89" s="131">
        <v>596320.31000000006</v>
      </c>
      <c r="E89" s="131">
        <v>92.71149098258708</v>
      </c>
      <c r="F89" s="131">
        <v>496390</v>
      </c>
      <c r="G89" s="131"/>
      <c r="H89" s="131">
        <v>1092710.31</v>
      </c>
      <c r="I89" s="131">
        <v>169.88655317164179</v>
      </c>
      <c r="J89" s="131">
        <v>82479.41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 t="s">
        <v>197</v>
      </c>
      <c r="B90" s="5" t="s">
        <v>218</v>
      </c>
      <c r="C90" s="14">
        <v>176860</v>
      </c>
      <c r="D90" s="131">
        <v>15281679.539999999</v>
      </c>
      <c r="E90" s="131">
        <v>86.4055158882732</v>
      </c>
      <c r="F90" s="131">
        <v>793438</v>
      </c>
      <c r="G90" s="131"/>
      <c r="H90" s="131">
        <v>16075117.539999999</v>
      </c>
      <c r="I90" s="131">
        <v>90.891764898790001</v>
      </c>
      <c r="J90" s="131">
        <v>547682.9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 t="s">
        <v>150</v>
      </c>
      <c r="B91" s="5" t="s">
        <v>219</v>
      </c>
      <c r="C91" s="14">
        <v>72909</v>
      </c>
      <c r="D91" s="131">
        <v>4483590</v>
      </c>
      <c r="E91" s="131">
        <v>61.495700119326834</v>
      </c>
      <c r="F91" s="131">
        <v>431053</v>
      </c>
      <c r="G91" s="131"/>
      <c r="H91" s="131">
        <v>4914643</v>
      </c>
      <c r="I91" s="131">
        <v>67.407905745518391</v>
      </c>
      <c r="J91" s="131">
        <v>262865.07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 t="s">
        <v>125</v>
      </c>
      <c r="B92" s="5" t="s">
        <v>220</v>
      </c>
      <c r="C92" s="14">
        <v>270772</v>
      </c>
      <c r="D92" s="131">
        <v>13243609.369999999</v>
      </c>
      <c r="E92" s="131">
        <v>48.910557110779543</v>
      </c>
      <c r="F92" s="131">
        <v>880286.31</v>
      </c>
      <c r="G92" s="131"/>
      <c r="H92" s="131">
        <v>14123895.68</v>
      </c>
      <c r="I92" s="131">
        <v>52.16158125655533</v>
      </c>
      <c r="J92" s="131">
        <v>813574.85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 t="s">
        <v>131</v>
      </c>
      <c r="B93" s="5" t="s">
        <v>221</v>
      </c>
      <c r="C93" s="14">
        <v>5604</v>
      </c>
      <c r="D93" s="131">
        <v>394609.11</v>
      </c>
      <c r="E93" s="131">
        <v>70.415615631691651</v>
      </c>
      <c r="F93" s="131">
        <v>67257.679999999993</v>
      </c>
      <c r="G93" s="131"/>
      <c r="H93" s="131">
        <v>461866.79</v>
      </c>
      <c r="I93" s="131">
        <v>82.41734296930764</v>
      </c>
      <c r="J93" s="131">
        <v>78714.58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 t="s">
        <v>117</v>
      </c>
      <c r="B94" s="5" t="s">
        <v>222</v>
      </c>
      <c r="C94" s="14">
        <v>44610</v>
      </c>
      <c r="D94" s="131">
        <v>1927719.61</v>
      </c>
      <c r="E94" s="131">
        <v>43.212723828737957</v>
      </c>
      <c r="F94" s="131">
        <v>319172.64</v>
      </c>
      <c r="G94" s="131"/>
      <c r="H94" s="131">
        <v>2246892.25</v>
      </c>
      <c r="I94" s="131">
        <v>50.367456848240302</v>
      </c>
      <c r="J94" s="131">
        <v>186520.47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 t="s">
        <v>128</v>
      </c>
      <c r="B95" s="5" t="s">
        <v>223</v>
      </c>
      <c r="C95" s="14">
        <v>14236</v>
      </c>
      <c r="D95" s="131">
        <v>1158751.82</v>
      </c>
      <c r="E95" s="131">
        <v>81.395885080078685</v>
      </c>
      <c r="F95" s="131">
        <v>84995.66</v>
      </c>
      <c r="G95" s="131"/>
      <c r="H95" s="131">
        <v>1243747.48</v>
      </c>
      <c r="I95" s="131">
        <v>87.366358527676311</v>
      </c>
      <c r="J95" s="131">
        <v>106260.12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 t="s">
        <v>125</v>
      </c>
      <c r="B96" s="5" t="s">
        <v>224</v>
      </c>
      <c r="C96" s="14">
        <v>274956</v>
      </c>
      <c r="D96" s="131">
        <v>14328220</v>
      </c>
      <c r="E96" s="131">
        <v>52.110955934767745</v>
      </c>
      <c r="F96" s="131">
        <v>597260</v>
      </c>
      <c r="G96" s="131"/>
      <c r="H96" s="131">
        <v>14925480</v>
      </c>
      <c r="I96" s="131">
        <v>54.283158032557935</v>
      </c>
      <c r="J96" s="131">
        <v>817063.25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 t="s">
        <v>147</v>
      </c>
      <c r="B97" s="5" t="s">
        <v>225</v>
      </c>
      <c r="C97" s="14">
        <v>228661</v>
      </c>
      <c r="D97" s="131">
        <v>8174074.2000000002</v>
      </c>
      <c r="E97" s="131">
        <v>35.747566047555118</v>
      </c>
      <c r="F97" s="131">
        <v>620425.68000000005</v>
      </c>
      <c r="G97" s="131"/>
      <c r="H97" s="131">
        <v>8794499.8800000008</v>
      </c>
      <c r="I97" s="131">
        <v>38.460865123479742</v>
      </c>
      <c r="J97" s="131">
        <v>689776.55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 t="s">
        <v>159</v>
      </c>
      <c r="B98" s="5" t="s">
        <v>226</v>
      </c>
      <c r="C98" s="14">
        <v>90835</v>
      </c>
      <c r="D98" s="131">
        <v>3910999.06</v>
      </c>
      <c r="E98" s="131">
        <v>43.056080365497884</v>
      </c>
      <c r="F98" s="131">
        <v>325422.45</v>
      </c>
      <c r="G98" s="131"/>
      <c r="H98" s="131">
        <v>4236421.51</v>
      </c>
      <c r="I98" s="131">
        <v>46.638647107392522</v>
      </c>
      <c r="J98" s="131">
        <v>316877.12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159</v>
      </c>
      <c r="B99" s="5" t="s">
        <v>227</v>
      </c>
      <c r="C99" s="14">
        <v>78906</v>
      </c>
      <c r="D99" s="131">
        <v>2875944.35</v>
      </c>
      <c r="E99" s="131">
        <v>36.447727042303498</v>
      </c>
      <c r="F99" s="131">
        <v>255703</v>
      </c>
      <c r="G99" s="131"/>
      <c r="H99" s="131">
        <v>3131647.35</v>
      </c>
      <c r="I99" s="131">
        <v>39.688329784807237</v>
      </c>
      <c r="J99" s="131">
        <v>283110.32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 t="s">
        <v>117</v>
      </c>
      <c r="B100" s="5" t="s">
        <v>228</v>
      </c>
      <c r="C100" s="14">
        <v>66855</v>
      </c>
      <c r="D100" s="131">
        <v>2057919.64</v>
      </c>
      <c r="E100" s="131">
        <v>30.781835913544235</v>
      </c>
      <c r="F100" s="131">
        <v>184770.21</v>
      </c>
      <c r="G100" s="131"/>
      <c r="H100" s="131">
        <v>2242689.85</v>
      </c>
      <c r="I100" s="131">
        <v>33.545581482312471</v>
      </c>
      <c r="J100" s="131">
        <v>243926.82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 t="s">
        <v>125</v>
      </c>
      <c r="B101" s="5" t="s">
        <v>229</v>
      </c>
      <c r="C101" s="14">
        <v>144598</v>
      </c>
      <c r="D101" s="131">
        <v>12371644.9</v>
      </c>
      <c r="E101" s="131">
        <v>85.558893622318436</v>
      </c>
      <c r="F101" s="131">
        <v>263772.39</v>
      </c>
      <c r="G101" s="131"/>
      <c r="H101" s="131">
        <v>12635417.290000001</v>
      </c>
      <c r="I101" s="131">
        <v>87.383070927675348</v>
      </c>
      <c r="J101" s="131">
        <v>461869.17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 t="s">
        <v>119</v>
      </c>
      <c r="B102" s="5" t="s">
        <v>230</v>
      </c>
      <c r="C102" s="14">
        <v>23892</v>
      </c>
      <c r="D102" s="131">
        <v>1322124.1000000001</v>
      </c>
      <c r="E102" s="131">
        <v>55.337523020257834</v>
      </c>
      <c r="F102" s="131">
        <v>114786.85</v>
      </c>
      <c r="G102" s="131"/>
      <c r="H102" s="131">
        <v>1436910.9500000002</v>
      </c>
      <c r="I102" s="131">
        <v>60.141928260505615</v>
      </c>
      <c r="J102" s="131">
        <v>134871.6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 t="s">
        <v>125</v>
      </c>
      <c r="B103" s="5" t="s">
        <v>231</v>
      </c>
      <c r="C103" s="14">
        <v>139047</v>
      </c>
      <c r="D103" s="131">
        <v>9508607.9000000004</v>
      </c>
      <c r="E103" s="131">
        <v>68.384128388242829</v>
      </c>
      <c r="F103" s="131"/>
      <c r="G103" s="131"/>
      <c r="H103" s="131">
        <v>9508607.9000000004</v>
      </c>
      <c r="I103" s="131">
        <v>68.384128388242829</v>
      </c>
      <c r="J103" s="131">
        <v>444415.77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 t="s">
        <v>159</v>
      </c>
      <c r="B104" s="5" t="s">
        <v>232</v>
      </c>
      <c r="C104" s="14">
        <v>81566</v>
      </c>
      <c r="D104" s="131">
        <v>3499942.67</v>
      </c>
      <c r="E104" s="131">
        <v>42.909333178039866</v>
      </c>
      <c r="F104" s="131">
        <v>366737.86</v>
      </c>
      <c r="G104" s="131"/>
      <c r="H104" s="131">
        <v>3866680.53</v>
      </c>
      <c r="I104" s="131">
        <v>47.405543118456215</v>
      </c>
      <c r="J104" s="131">
        <v>288781.82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 t="s">
        <v>159</v>
      </c>
      <c r="B105" s="5" t="s">
        <v>233</v>
      </c>
      <c r="C105" s="14">
        <v>110803</v>
      </c>
      <c r="D105" s="131">
        <v>4327359.24</v>
      </c>
      <c r="E105" s="131">
        <v>39.054531375504276</v>
      </c>
      <c r="F105" s="131">
        <v>502733.47</v>
      </c>
      <c r="G105" s="131"/>
      <c r="H105" s="131">
        <v>4830092.71</v>
      </c>
      <c r="I105" s="131">
        <v>43.591714213514074</v>
      </c>
      <c r="J105" s="131">
        <v>374729.27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 t="s">
        <v>119</v>
      </c>
      <c r="B106" s="5" t="s">
        <v>234</v>
      </c>
      <c r="C106" s="14">
        <v>25639</v>
      </c>
      <c r="D106" s="131">
        <v>1613371.01</v>
      </c>
      <c r="E106" s="131">
        <v>62.926440578805725</v>
      </c>
      <c r="F106" s="131">
        <v>70436.13</v>
      </c>
      <c r="G106" s="131"/>
      <c r="H106" s="131">
        <v>1683807.1400000001</v>
      </c>
      <c r="I106" s="131">
        <v>65.673666679667704</v>
      </c>
      <c r="J106" s="131">
        <v>132621.26999999999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 t="s">
        <v>235</v>
      </c>
      <c r="B107" s="5" t="s">
        <v>236</v>
      </c>
      <c r="C107" s="14">
        <v>22292</v>
      </c>
      <c r="D107" s="131">
        <v>1485821</v>
      </c>
      <c r="E107" s="131">
        <v>66.652655661223761</v>
      </c>
      <c r="F107" s="131">
        <v>95680</v>
      </c>
      <c r="G107" s="131"/>
      <c r="H107" s="131">
        <v>1581501</v>
      </c>
      <c r="I107" s="131">
        <v>70.944778395837076</v>
      </c>
      <c r="J107" s="131">
        <v>122508.16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 t="s">
        <v>128</v>
      </c>
      <c r="B108" s="5" t="s">
        <v>237</v>
      </c>
      <c r="C108" s="14">
        <v>14955</v>
      </c>
      <c r="D108" s="131">
        <v>1265202</v>
      </c>
      <c r="E108" s="131">
        <v>84.600601805416247</v>
      </c>
      <c r="F108" s="131">
        <v>25525</v>
      </c>
      <c r="G108" s="131"/>
      <c r="H108" s="131">
        <v>1290727</v>
      </c>
      <c r="I108" s="131">
        <v>86.307388833166172</v>
      </c>
      <c r="J108" s="131">
        <v>106681.61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 t="s">
        <v>143</v>
      </c>
      <c r="B109" s="5" t="s">
        <v>238</v>
      </c>
      <c r="C109" s="14">
        <v>48495</v>
      </c>
      <c r="D109" s="131">
        <v>2750917.77</v>
      </c>
      <c r="E109" s="131">
        <v>56.725802041447572</v>
      </c>
      <c r="F109" s="131">
        <v>127032.42</v>
      </c>
      <c r="G109" s="131"/>
      <c r="H109" s="131">
        <v>2877950.19</v>
      </c>
      <c r="I109" s="131">
        <v>59.34529724713888</v>
      </c>
      <c r="J109" s="131">
        <v>195730.36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 t="s">
        <v>125</v>
      </c>
      <c r="B110" s="5" t="s">
        <v>239</v>
      </c>
      <c r="C110" s="14">
        <v>238614</v>
      </c>
      <c r="D110" s="131">
        <v>12617833.32</v>
      </c>
      <c r="E110" s="131">
        <v>52.879685684829894</v>
      </c>
      <c r="F110" s="131">
        <v>9882467.3599999994</v>
      </c>
      <c r="G110" s="131" t="s">
        <v>130</v>
      </c>
      <c r="H110" s="131">
        <v>22500300.68</v>
      </c>
      <c r="I110" s="131">
        <v>94.295811142682325</v>
      </c>
      <c r="J110" s="131">
        <v>719832.65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 t="s">
        <v>240</v>
      </c>
      <c r="B111" s="5" t="s">
        <v>241</v>
      </c>
      <c r="C111" s="14">
        <v>237278</v>
      </c>
      <c r="D111" s="131">
        <v>26266590.98</v>
      </c>
      <c r="E111" s="131">
        <v>110.69964758637548</v>
      </c>
      <c r="F111" s="131">
        <v>1522828.76</v>
      </c>
      <c r="G111" s="131"/>
      <c r="H111" s="131">
        <v>27789419.740000002</v>
      </c>
      <c r="I111" s="131">
        <v>117.11755721137233</v>
      </c>
      <c r="J111" s="131">
        <v>708595.1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 t="s">
        <v>117</v>
      </c>
      <c r="B112" s="5" t="s">
        <v>242</v>
      </c>
      <c r="C112" s="14">
        <v>65908</v>
      </c>
      <c r="D112" s="131">
        <v>2667201</v>
      </c>
      <c r="E112" s="131">
        <v>40.4685470656066</v>
      </c>
      <c r="F112" s="131">
        <v>182546</v>
      </c>
      <c r="G112" s="131"/>
      <c r="H112" s="131">
        <v>2849747</v>
      </c>
      <c r="I112" s="131">
        <v>43.238256357346607</v>
      </c>
      <c r="J112" s="131">
        <v>250067.96000000002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 t="s">
        <v>131</v>
      </c>
      <c r="B113" s="5" t="s">
        <v>243</v>
      </c>
      <c r="C113" s="14">
        <v>6023</v>
      </c>
      <c r="D113" s="131">
        <v>458274.09</v>
      </c>
      <c r="E113" s="131">
        <v>76.087346837124358</v>
      </c>
      <c r="F113" s="131">
        <v>6100.08</v>
      </c>
      <c r="G113" s="131"/>
      <c r="H113" s="131">
        <v>464374.17000000004</v>
      </c>
      <c r="I113" s="131">
        <v>77.100144446289235</v>
      </c>
      <c r="J113" s="131">
        <v>79937.23000000001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 t="s">
        <v>131</v>
      </c>
      <c r="B114" s="5" t="s">
        <v>244</v>
      </c>
      <c r="C114" s="14">
        <v>7081</v>
      </c>
      <c r="D114" s="131">
        <v>464726.6</v>
      </c>
      <c r="E114" s="131">
        <v>65.630080497104927</v>
      </c>
      <c r="F114" s="131">
        <v>86445</v>
      </c>
      <c r="G114" s="131"/>
      <c r="H114" s="131">
        <v>551171.6</v>
      </c>
      <c r="I114" s="131">
        <v>77.838101962999573</v>
      </c>
      <c r="J114" s="131">
        <v>87185.400000000009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 t="s">
        <v>159</v>
      </c>
      <c r="B115" s="5" t="s">
        <v>245</v>
      </c>
      <c r="C115" s="14">
        <v>99793</v>
      </c>
      <c r="D115" s="131">
        <v>4176024.12</v>
      </c>
      <c r="E115" s="131">
        <v>41.84686420891245</v>
      </c>
      <c r="F115" s="131"/>
      <c r="G115" s="131"/>
      <c r="H115" s="131">
        <v>4176024.12</v>
      </c>
      <c r="I115" s="131">
        <v>41.84686420891245</v>
      </c>
      <c r="J115" s="131">
        <v>343584.47000000003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 t="s">
        <v>128</v>
      </c>
      <c r="B116" s="5" t="s">
        <v>246</v>
      </c>
      <c r="C116" s="14">
        <v>14408</v>
      </c>
      <c r="D116" s="131">
        <v>683075.7</v>
      </c>
      <c r="E116" s="131">
        <v>47.409473903387003</v>
      </c>
      <c r="F116" s="131">
        <v>134209.85999999999</v>
      </c>
      <c r="G116" s="131"/>
      <c r="H116" s="131">
        <v>817285.55999999994</v>
      </c>
      <c r="I116" s="131">
        <v>56.724428095502496</v>
      </c>
      <c r="J116" s="131">
        <v>103617.88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 t="s">
        <v>131</v>
      </c>
      <c r="B117" s="5" t="s">
        <v>247</v>
      </c>
      <c r="C117" s="14">
        <v>8875</v>
      </c>
      <c r="D117" s="131">
        <v>455405.25</v>
      </c>
      <c r="E117" s="131">
        <v>51.313267605633804</v>
      </c>
      <c r="F117" s="131">
        <v>48560.95</v>
      </c>
      <c r="G117" s="131"/>
      <c r="H117" s="131">
        <v>503966.2</v>
      </c>
      <c r="I117" s="131">
        <v>56.784923943661973</v>
      </c>
      <c r="J117" s="131">
        <v>84244.06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 t="s">
        <v>131</v>
      </c>
      <c r="B118" s="5" t="s">
        <v>248</v>
      </c>
      <c r="C118" s="14">
        <v>6096</v>
      </c>
      <c r="D118" s="131">
        <v>380327.46</v>
      </c>
      <c r="E118" s="131">
        <v>62.389675196850398</v>
      </c>
      <c r="F118" s="131"/>
      <c r="G118" s="131"/>
      <c r="H118" s="131">
        <v>380327.46</v>
      </c>
      <c r="I118" s="131">
        <v>62.389675196850398</v>
      </c>
      <c r="J118" s="131">
        <v>78762.47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 t="s">
        <v>117</v>
      </c>
      <c r="B119" s="5" t="s">
        <v>249</v>
      </c>
      <c r="C119" s="14">
        <v>68951</v>
      </c>
      <c r="D119" s="131">
        <v>2630203</v>
      </c>
      <c r="E119" s="131">
        <v>38.145973227364358</v>
      </c>
      <c r="F119" s="131">
        <v>362280</v>
      </c>
      <c r="G119" s="131"/>
      <c r="H119" s="131">
        <v>2992483</v>
      </c>
      <c r="I119" s="131">
        <v>43.400139229307769</v>
      </c>
      <c r="J119" s="131">
        <v>257369.12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 t="s">
        <v>122</v>
      </c>
      <c r="B120" s="5" t="s">
        <v>250</v>
      </c>
      <c r="C120" s="14">
        <v>2990</v>
      </c>
      <c r="D120" s="131">
        <v>260995.13</v>
      </c>
      <c r="E120" s="131">
        <v>87.289341137123742</v>
      </c>
      <c r="F120" s="131"/>
      <c r="G120" s="131"/>
      <c r="H120" s="131">
        <v>260995.13</v>
      </c>
      <c r="I120" s="131">
        <v>87.289341137123742</v>
      </c>
      <c r="J120" s="131">
        <v>68883.87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 t="s">
        <v>131</v>
      </c>
      <c r="B121" s="5" t="s">
        <v>251</v>
      </c>
      <c r="C121" s="14">
        <v>5497</v>
      </c>
      <c r="D121" s="131">
        <v>443840.71</v>
      </c>
      <c r="E121" s="131">
        <v>80.742352192104789</v>
      </c>
      <c r="F121" s="131">
        <v>6447.27</v>
      </c>
      <c r="G121" s="131"/>
      <c r="H121" s="131">
        <v>450287.98000000004</v>
      </c>
      <c r="I121" s="131">
        <v>81.915222848826645</v>
      </c>
      <c r="J121" s="131">
        <v>83041.5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 t="s">
        <v>122</v>
      </c>
      <c r="B122" s="5" t="s">
        <v>252</v>
      </c>
      <c r="C122" s="14">
        <v>2593</v>
      </c>
      <c r="D122" s="131">
        <v>589163.79</v>
      </c>
      <c r="E122" s="131">
        <v>227.21318549942154</v>
      </c>
      <c r="F122" s="131"/>
      <c r="G122" s="131"/>
      <c r="H122" s="131">
        <v>589163.79</v>
      </c>
      <c r="I122" s="131">
        <v>227.21318549942154</v>
      </c>
      <c r="J122" s="131">
        <v>71478.41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 t="s">
        <v>131</v>
      </c>
      <c r="B123" s="5" t="s">
        <v>253</v>
      </c>
      <c r="C123" s="14">
        <v>9239</v>
      </c>
      <c r="D123" s="131">
        <v>912701.85</v>
      </c>
      <c r="E123" s="131">
        <v>98.787947829851717</v>
      </c>
      <c r="F123" s="131"/>
      <c r="G123" s="131"/>
      <c r="H123" s="131">
        <v>912701.85</v>
      </c>
      <c r="I123" s="131">
        <v>98.787947829851717</v>
      </c>
      <c r="J123" s="131">
        <v>93612.150000000009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 t="s">
        <v>150</v>
      </c>
      <c r="B124" s="5" t="s">
        <v>254</v>
      </c>
      <c r="C124" s="14">
        <v>72857</v>
      </c>
      <c r="D124" s="131">
        <v>5887658.3899999997</v>
      </c>
      <c r="E124" s="131">
        <v>80.811155963050908</v>
      </c>
      <c r="F124" s="131">
        <v>692239.78</v>
      </c>
      <c r="G124" s="131"/>
      <c r="H124" s="131">
        <v>6579898.1699999999</v>
      </c>
      <c r="I124" s="131">
        <v>90.312504906872363</v>
      </c>
      <c r="J124" s="131">
        <v>261155.07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 t="s">
        <v>122</v>
      </c>
      <c r="B125" s="5" t="s">
        <v>255</v>
      </c>
      <c r="C125" s="14">
        <v>3608</v>
      </c>
      <c r="D125" s="131">
        <v>254668.22</v>
      </c>
      <c r="E125" s="131">
        <v>70.584318181818176</v>
      </c>
      <c r="F125" s="131">
        <v>8170.95</v>
      </c>
      <c r="G125" s="131"/>
      <c r="H125" s="131">
        <v>262839.17</v>
      </c>
      <c r="I125" s="131">
        <v>72.84899390243902</v>
      </c>
      <c r="J125" s="131">
        <v>74422.459999999992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 t="s">
        <v>131</v>
      </c>
      <c r="B126" s="5" t="s">
        <v>256</v>
      </c>
      <c r="C126" s="14">
        <v>7804</v>
      </c>
      <c r="D126" s="131">
        <v>657510.68999999994</v>
      </c>
      <c r="E126" s="131">
        <v>84.253035622757551</v>
      </c>
      <c r="F126" s="131">
        <v>61359.33</v>
      </c>
      <c r="G126" s="131"/>
      <c r="H126" s="131">
        <v>718870.0199999999</v>
      </c>
      <c r="I126" s="131">
        <v>92.115584315735504</v>
      </c>
      <c r="J126" s="131">
        <v>84665.38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 t="s">
        <v>150</v>
      </c>
      <c r="B127" s="5" t="s">
        <v>257</v>
      </c>
      <c r="C127" s="14">
        <v>79634</v>
      </c>
      <c r="D127" s="131">
        <v>7882571.04</v>
      </c>
      <c r="E127" s="131">
        <v>98.984994349147343</v>
      </c>
      <c r="F127" s="131">
        <v>242593.07</v>
      </c>
      <c r="G127" s="131"/>
      <c r="H127" s="131">
        <v>8125164.1100000003</v>
      </c>
      <c r="I127" s="131">
        <v>102.03134477735641</v>
      </c>
      <c r="J127" s="131">
        <v>279566.07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 t="s">
        <v>117</v>
      </c>
      <c r="B128" s="5" t="s">
        <v>258</v>
      </c>
      <c r="C128" s="14">
        <v>53552</v>
      </c>
      <c r="D128" s="131">
        <v>2192188.5699999998</v>
      </c>
      <c r="E128" s="131">
        <v>40.935699320286822</v>
      </c>
      <c r="F128" s="131">
        <v>173008.21</v>
      </c>
      <c r="G128" s="131"/>
      <c r="H128" s="131">
        <v>2365196.7799999998</v>
      </c>
      <c r="I128" s="131">
        <v>44.166357559008063</v>
      </c>
      <c r="J128" s="131">
        <v>209898.81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 t="s">
        <v>181</v>
      </c>
      <c r="B129" s="5" t="s">
        <v>259</v>
      </c>
      <c r="C129" s="14">
        <v>59782</v>
      </c>
      <c r="D129" s="131">
        <v>2008216.92</v>
      </c>
      <c r="E129" s="131">
        <v>33.592334147402227</v>
      </c>
      <c r="F129" s="131">
        <v>88425.03</v>
      </c>
      <c r="G129" s="131"/>
      <c r="H129" s="131">
        <v>2096641.95</v>
      </c>
      <c r="I129" s="131">
        <v>35.071458800307781</v>
      </c>
      <c r="J129" s="131">
        <v>222743.76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 t="s">
        <v>197</v>
      </c>
      <c r="B130" s="5" t="s">
        <v>260</v>
      </c>
      <c r="C130" s="14">
        <v>221894</v>
      </c>
      <c r="D130" s="131">
        <v>14372298.060000001</v>
      </c>
      <c r="E130" s="131">
        <v>64.771008048888206</v>
      </c>
      <c r="F130" s="131">
        <v>1376255.14</v>
      </c>
      <c r="G130" s="131"/>
      <c r="H130" s="131">
        <v>15748553.200000001</v>
      </c>
      <c r="I130" s="131">
        <v>70.973316989193037</v>
      </c>
      <c r="J130" s="131">
        <v>676851.85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143</v>
      </c>
      <c r="B131" s="5" t="s">
        <v>261</v>
      </c>
      <c r="C131" s="14">
        <v>55175</v>
      </c>
      <c r="D131" s="131">
        <v>7840305.5300000003</v>
      </c>
      <c r="E131" s="131">
        <v>142.09887684639784</v>
      </c>
      <c r="F131" s="131">
        <v>462519.24</v>
      </c>
      <c r="G131" s="131"/>
      <c r="H131" s="131">
        <v>8302824.7700000005</v>
      </c>
      <c r="I131" s="131">
        <v>150.48164512913459</v>
      </c>
      <c r="J131" s="131">
        <v>213406.16999999998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 t="s">
        <v>128</v>
      </c>
      <c r="B132" s="5" t="s">
        <v>262</v>
      </c>
      <c r="C132" s="14">
        <v>17647</v>
      </c>
      <c r="D132" s="131">
        <v>445090.11</v>
      </c>
      <c r="E132" s="131">
        <v>25.221856972856575</v>
      </c>
      <c r="F132" s="131"/>
      <c r="G132" s="131"/>
      <c r="H132" s="131">
        <v>445090.11</v>
      </c>
      <c r="I132" s="131">
        <v>25.221856972856575</v>
      </c>
      <c r="J132" s="131">
        <v>107434.62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5"/>
      <c r="C133" s="14"/>
      <c r="D133" s="131"/>
      <c r="E133" s="131"/>
      <c r="F133" s="131"/>
      <c r="G133" s="131"/>
      <c r="H133" s="131"/>
      <c r="I133" s="131"/>
      <c r="J133" s="13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361" t="s">
        <v>263</v>
      </c>
      <c r="C134" s="367">
        <f>SUM(C6:C132)</f>
        <v>8476563</v>
      </c>
      <c r="D134" s="367">
        <f t="shared" ref="D134:J134" si="0">SUM(D6:D132)</f>
        <v>445691236.57000005</v>
      </c>
      <c r="E134" s="367"/>
      <c r="F134" s="367">
        <f t="shared" si="0"/>
        <v>65685584.659999989</v>
      </c>
      <c r="G134" s="367"/>
      <c r="H134" s="367">
        <f t="shared" si="0"/>
        <v>511376821.23000008</v>
      </c>
      <c r="I134" s="367"/>
      <c r="J134" s="367">
        <f t="shared" si="0"/>
        <v>31467669.670000009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5"/>
      <c r="C135" s="15"/>
      <c r="D135" s="162"/>
      <c r="E135" s="162"/>
      <c r="F135" s="162"/>
      <c r="G135" s="162"/>
      <c r="H135" s="162"/>
      <c r="I135" s="162"/>
      <c r="J135" s="26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 t="s">
        <v>264</v>
      </c>
      <c r="B136" s="25"/>
      <c r="C136" s="15"/>
      <c r="D136" s="162"/>
      <c r="E136" s="162"/>
      <c r="F136" s="162"/>
      <c r="G136" s="162"/>
      <c r="H136" s="162"/>
      <c r="I136" s="162"/>
      <c r="J136" s="26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 t="s">
        <v>265</v>
      </c>
      <c r="B137" s="25"/>
      <c r="C137" s="15"/>
      <c r="D137" s="162"/>
      <c r="E137" s="162"/>
      <c r="F137" s="162"/>
      <c r="G137" s="162"/>
      <c r="H137" s="162"/>
      <c r="I137" s="162"/>
      <c r="J137" s="26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 t="s">
        <v>266</v>
      </c>
      <c r="B138" s="25"/>
      <c r="C138" s="15"/>
      <c r="D138" s="162"/>
      <c r="E138" s="162"/>
      <c r="F138" s="162"/>
      <c r="G138" s="162"/>
      <c r="H138" s="162"/>
      <c r="I138" s="162"/>
      <c r="J138" s="26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 t="s">
        <v>267</v>
      </c>
      <c r="B139" s="25"/>
      <c r="C139" s="15"/>
      <c r="D139" s="162"/>
      <c r="E139" s="162"/>
      <c r="F139" s="162"/>
      <c r="G139" s="162"/>
      <c r="H139" s="162"/>
      <c r="I139" s="162"/>
      <c r="J139" s="26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5"/>
      <c r="C140" s="15"/>
      <c r="D140" s="162"/>
      <c r="E140" s="162"/>
      <c r="F140" s="162"/>
      <c r="G140" s="162"/>
      <c r="H140" s="162"/>
      <c r="I140" s="162"/>
      <c r="J140" s="26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5" t="s">
        <v>268</v>
      </c>
      <c r="C141" s="15">
        <v>66744.5905511811</v>
      </c>
      <c r="D141" s="15">
        <v>3509379.815511812</v>
      </c>
      <c r="E141" s="58">
        <v>52.579239553814453</v>
      </c>
      <c r="F141" s="15">
        <v>631592.16019230755</v>
      </c>
      <c r="G141" s="15"/>
      <c r="H141" s="15">
        <v>4026589.1435433086</v>
      </c>
      <c r="I141" s="58">
        <v>60.328321895324819</v>
      </c>
      <c r="J141" s="15">
        <v>250852.41314960641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5" t="s">
        <v>269</v>
      </c>
      <c r="C142" s="15">
        <v>26214</v>
      </c>
      <c r="D142" s="15">
        <v>1489371.78</v>
      </c>
      <c r="E142" s="58">
        <v>58.775532545816922</v>
      </c>
      <c r="F142" s="15">
        <v>184962.01500000001</v>
      </c>
      <c r="G142" s="15"/>
      <c r="H142" s="15">
        <v>1581501</v>
      </c>
      <c r="I142" s="58">
        <v>66.016022727272727</v>
      </c>
      <c r="J142" s="15">
        <v>137464.48000000001</v>
      </c>
      <c r="K142" s="1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44"/>
      <c r="B143" s="25" t="s">
        <v>270</v>
      </c>
      <c r="C143" s="15">
        <v>438843</v>
      </c>
      <c r="D143" s="15">
        <v>26266590.98</v>
      </c>
      <c r="E143" s="58">
        <v>227.21318549942154</v>
      </c>
      <c r="F143" s="15">
        <v>24413482.829999998</v>
      </c>
      <c r="G143" s="15"/>
      <c r="H143" s="15">
        <v>37409227.129999995</v>
      </c>
      <c r="I143" s="58">
        <v>290.11549646863313</v>
      </c>
      <c r="J143" s="15">
        <v>1300702.55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44"/>
      <c r="B144" s="25" t="s">
        <v>271</v>
      </c>
      <c r="C144" s="15">
        <v>1408</v>
      </c>
      <c r="D144" s="15">
        <v>92950.56</v>
      </c>
      <c r="E144" s="58">
        <v>25.221856972856575</v>
      </c>
      <c r="F144" s="15">
        <v>2658</v>
      </c>
      <c r="G144" s="15"/>
      <c r="H144" s="15">
        <v>92950.56</v>
      </c>
      <c r="I144" s="58">
        <v>25.221856972856575</v>
      </c>
      <c r="J144" s="15">
        <v>68946.570000000007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44"/>
      <c r="B145" s="5"/>
      <c r="C145" s="14"/>
      <c r="D145" s="57"/>
      <c r="E145" s="57"/>
      <c r="F145" s="57"/>
      <c r="G145" s="57"/>
      <c r="H145" s="57"/>
      <c r="I145" s="57"/>
      <c r="J145" s="14"/>
      <c r="K145" s="2"/>
      <c r="L145" s="2"/>
      <c r="M145" s="2"/>
      <c r="N145" s="25"/>
      <c r="O145" s="66"/>
      <c r="P145" s="2"/>
      <c r="Q145" s="2"/>
      <c r="R145" s="2"/>
      <c r="S145" s="2"/>
      <c r="T145" s="2"/>
      <c r="U145" s="2"/>
      <c r="V145" s="2"/>
    </row>
    <row r="146" spans="1:22">
      <c r="A146" s="44"/>
      <c r="B146" s="228"/>
      <c r="C146" s="228"/>
      <c r="D146" s="228"/>
      <c r="E146" s="228"/>
      <c r="F146" s="228"/>
      <c r="G146" s="228"/>
      <c r="H146" s="228"/>
      <c r="I146" s="368"/>
      <c r="J146" s="22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5"/>
      <c r="C147" s="14"/>
      <c r="D147" s="57"/>
      <c r="E147" s="57"/>
      <c r="F147" s="57"/>
      <c r="G147" s="57"/>
      <c r="H147" s="57"/>
      <c r="I147" s="2"/>
      <c r="J147" s="1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</sheetData>
  <sortState xmlns:xlrd2="http://schemas.microsoft.com/office/spreadsheetml/2017/richdata2" ref="O6:Q132">
    <sortCondition ref="O6:O13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98" orientation="portrait" r:id="rId1"/>
  <headerFooter alignWithMargins="0">
    <oddFooter>&amp;L&amp;9Public Library Statistics 2022–23&amp;C&amp;9&amp;P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O144"/>
  <sheetViews>
    <sheetView zoomScaleNormal="100" workbookViewId="0">
      <pane ySplit="5" topLeftCell="A118" activePane="bottomLeft" state="frozen"/>
      <selection pane="bottomLeft"/>
      <selection activeCell="G34" sqref="G34"/>
    </sheetView>
  </sheetViews>
  <sheetFormatPr defaultColWidth="8.85546875" defaultRowHeight="12.75" outlineLevelCol="1"/>
  <cols>
    <col min="1" max="1" width="17.85546875" customWidth="1"/>
    <col min="2" max="2" width="10.42578125" style="24" customWidth="1" outlineLevel="1"/>
    <col min="3" max="3" width="17.140625" style="340" customWidth="1" outlineLevel="1"/>
    <col min="4" max="4" width="2.7109375" style="340" customWidth="1" outlineLevel="1"/>
    <col min="5" max="5" width="7.7109375" style="46" bestFit="1" customWidth="1"/>
    <col min="6" max="6" width="10.140625" style="39" customWidth="1" outlineLevel="1"/>
    <col min="7" max="7" width="13.7109375" style="39" customWidth="1" outlineLevel="1"/>
    <col min="8" max="8" width="12.85546875" customWidth="1"/>
    <col min="9" max="9" width="9.7109375" bestFit="1" customWidth="1"/>
    <col min="10" max="10" width="9.42578125" bestFit="1" customWidth="1"/>
    <col min="11" max="11" width="11.7109375" bestFit="1" customWidth="1"/>
    <col min="12" max="12" width="9.42578125" bestFit="1" customWidth="1"/>
    <col min="13" max="13" width="9.7109375" bestFit="1" customWidth="1"/>
    <col min="14" max="14" width="13.42578125" bestFit="1" customWidth="1"/>
    <col min="15" max="15" width="9.7109375" bestFit="1" customWidth="1"/>
  </cols>
  <sheetData>
    <row r="1" spans="1:15" ht="15">
      <c r="A1" s="9" t="s">
        <v>272</v>
      </c>
      <c r="B1" s="369"/>
      <c r="C1" s="14"/>
      <c r="D1" s="14"/>
    </row>
    <row r="2" spans="1:15">
      <c r="A2" s="3" t="s">
        <v>273</v>
      </c>
      <c r="B2" s="370"/>
      <c r="C2" s="14"/>
      <c r="D2" s="14"/>
    </row>
    <row r="3" spans="1:15">
      <c r="A3" s="3"/>
      <c r="B3" s="370"/>
      <c r="C3" s="14"/>
      <c r="D3" s="14"/>
    </row>
    <row r="4" spans="1:15" s="91" customFormat="1" ht="33" customHeight="1">
      <c r="B4" s="149" t="s">
        <v>96</v>
      </c>
      <c r="C4" s="147" t="s">
        <v>274</v>
      </c>
      <c r="D4" s="147"/>
      <c r="E4" s="148" t="s">
        <v>98</v>
      </c>
      <c r="F4" s="147" t="s">
        <v>275</v>
      </c>
      <c r="G4" s="147" t="s">
        <v>276</v>
      </c>
      <c r="H4" s="148" t="s">
        <v>277</v>
      </c>
      <c r="I4"/>
      <c r="J4"/>
      <c r="K4"/>
      <c r="L4"/>
      <c r="M4"/>
      <c r="N4"/>
      <c r="O4"/>
    </row>
    <row r="5" spans="1:15" ht="14.25" customHeight="1">
      <c r="B5" s="371"/>
      <c r="C5" s="66" t="s">
        <v>102</v>
      </c>
      <c r="D5" s="66"/>
      <c r="E5" s="150" t="s">
        <v>102</v>
      </c>
      <c r="F5" s="110" t="s">
        <v>102</v>
      </c>
      <c r="G5" s="110" t="s">
        <v>102</v>
      </c>
      <c r="H5" s="110" t="s">
        <v>102</v>
      </c>
    </row>
    <row r="6" spans="1:15" ht="13.5" customHeight="1">
      <c r="A6" s="2" t="s">
        <v>118</v>
      </c>
      <c r="B6" s="33">
        <v>58317</v>
      </c>
      <c r="C6" s="268">
        <v>3377158</v>
      </c>
      <c r="D6" s="372"/>
      <c r="E6" s="323">
        <f t="shared" ref="E6:E52" si="0">SUM(C6/B6)</f>
        <v>57.910352041428744</v>
      </c>
      <c r="F6" s="268">
        <v>166203.03</v>
      </c>
      <c r="G6" s="269">
        <v>62755</v>
      </c>
      <c r="H6" s="269">
        <v>228958.03</v>
      </c>
    </row>
    <row r="7" spans="1:15" ht="13.5" customHeight="1">
      <c r="A7" s="2" t="s">
        <v>278</v>
      </c>
      <c r="B7" s="33">
        <v>29646</v>
      </c>
      <c r="C7" s="268">
        <v>1931301</v>
      </c>
      <c r="D7" s="372"/>
      <c r="E7" s="323">
        <f t="shared" si="0"/>
        <v>65.145415907710984</v>
      </c>
      <c r="F7" s="268">
        <v>94519.62</v>
      </c>
      <c r="G7" s="269">
        <v>51500</v>
      </c>
      <c r="H7" s="269">
        <v>146019.62</v>
      </c>
    </row>
    <row r="8" spans="1:15" ht="13.5" customHeight="1">
      <c r="A8" s="2" t="s">
        <v>121</v>
      </c>
      <c r="B8" s="33">
        <v>47935</v>
      </c>
      <c r="C8" s="268">
        <v>3020000</v>
      </c>
      <c r="D8" s="372"/>
      <c r="E8" s="323">
        <f t="shared" si="0"/>
        <v>63.001981850422446</v>
      </c>
      <c r="F8" s="268">
        <v>136614.71</v>
      </c>
      <c r="G8" s="269">
        <v>59432</v>
      </c>
      <c r="H8" s="269">
        <v>196046.71</v>
      </c>
    </row>
    <row r="9" spans="1:15" ht="13.5" customHeight="1">
      <c r="A9" s="2" t="s">
        <v>123</v>
      </c>
      <c r="B9" s="33">
        <v>2219</v>
      </c>
      <c r="C9" s="268">
        <v>236154</v>
      </c>
      <c r="D9" s="372"/>
      <c r="E9" s="323">
        <f t="shared" si="0"/>
        <v>106.42361424064894</v>
      </c>
      <c r="F9" s="268">
        <v>51206.01</v>
      </c>
      <c r="G9" s="269">
        <v>19235</v>
      </c>
      <c r="H9" s="269">
        <v>70441.009999999995</v>
      </c>
    </row>
    <row r="10" spans="1:15" ht="13.5" customHeight="1">
      <c r="A10" s="2" t="s">
        <v>124</v>
      </c>
      <c r="B10" s="33">
        <v>44939</v>
      </c>
      <c r="C10" s="268">
        <v>2106093</v>
      </c>
      <c r="D10" s="372"/>
      <c r="E10" s="323">
        <f t="shared" si="0"/>
        <v>46.865595585126506</v>
      </c>
      <c r="F10" s="268">
        <v>167429.22</v>
      </c>
      <c r="G10" s="269">
        <v>21072</v>
      </c>
      <c r="H10" s="269">
        <v>188501.22</v>
      </c>
    </row>
    <row r="11" spans="1:15" ht="13.5" customHeight="1">
      <c r="A11" s="2" t="s">
        <v>126</v>
      </c>
      <c r="B11" s="33">
        <v>185880</v>
      </c>
      <c r="C11" s="268">
        <v>6351159</v>
      </c>
      <c r="D11" s="372"/>
      <c r="E11" s="323">
        <f t="shared" si="0"/>
        <v>34.168060038734666</v>
      </c>
      <c r="F11" s="268">
        <v>529758</v>
      </c>
      <c r="G11" s="269">
        <v>50000</v>
      </c>
      <c r="H11" s="269">
        <v>579758</v>
      </c>
    </row>
    <row r="12" spans="1:15" ht="13.5" customHeight="1">
      <c r="A12" s="2" t="s">
        <v>127</v>
      </c>
      <c r="B12" s="33">
        <v>36593</v>
      </c>
      <c r="C12" s="268">
        <v>1258836</v>
      </c>
      <c r="D12" s="14"/>
      <c r="E12" s="323">
        <f t="shared" si="0"/>
        <v>34.401005656819613</v>
      </c>
      <c r="F12" s="268">
        <v>145818.57</v>
      </c>
      <c r="G12" s="269">
        <v>20000</v>
      </c>
      <c r="H12" s="269">
        <v>165818.57</v>
      </c>
    </row>
    <row r="13" spans="1:15" ht="13.5" customHeight="1">
      <c r="A13" s="2" t="s">
        <v>129</v>
      </c>
      <c r="B13" s="33">
        <v>13278</v>
      </c>
      <c r="C13" s="268">
        <v>733711</v>
      </c>
      <c r="D13" s="372"/>
      <c r="E13" s="323">
        <f t="shared" si="0"/>
        <v>55.257644223527642</v>
      </c>
      <c r="F13" s="268">
        <v>37841.82</v>
      </c>
      <c r="G13" s="269">
        <v>61529</v>
      </c>
      <c r="H13" s="269">
        <v>99370.82</v>
      </c>
    </row>
    <row r="14" spans="1:15" ht="13.5" customHeight="1">
      <c r="A14" s="2" t="s">
        <v>132</v>
      </c>
      <c r="B14" s="33">
        <v>8666</v>
      </c>
      <c r="C14" s="268">
        <v>780000</v>
      </c>
      <c r="D14" s="372"/>
      <c r="E14" s="323">
        <f t="shared" si="0"/>
        <v>90.006923609508419</v>
      </c>
      <c r="F14" s="268">
        <v>68625.679999999993</v>
      </c>
      <c r="G14" s="269">
        <v>18827</v>
      </c>
      <c r="H14" s="269">
        <v>87452.680000000008</v>
      </c>
    </row>
    <row r="15" spans="1:15" ht="13.5" customHeight="1">
      <c r="A15" s="2" t="s">
        <v>133</v>
      </c>
      <c r="B15" s="33">
        <v>438843</v>
      </c>
      <c r="C15" s="268">
        <v>12724107</v>
      </c>
      <c r="D15" s="372"/>
      <c r="E15" s="323">
        <f t="shared" si="0"/>
        <v>28.994667796911425</v>
      </c>
      <c r="F15" s="268">
        <v>1250702.55</v>
      </c>
      <c r="G15" s="269">
        <v>50000</v>
      </c>
      <c r="H15" s="269">
        <v>1300702.55</v>
      </c>
    </row>
    <row r="16" spans="1:15" ht="13.5" customHeight="1">
      <c r="A16" s="2" t="s">
        <v>134</v>
      </c>
      <c r="B16" s="33">
        <v>5454</v>
      </c>
      <c r="C16" s="268">
        <v>525432</v>
      </c>
      <c r="D16" s="372"/>
      <c r="E16" s="323">
        <f t="shared" si="0"/>
        <v>96.338833883388332</v>
      </c>
      <c r="F16" s="268">
        <v>55968.97</v>
      </c>
      <c r="G16" s="269">
        <v>20000</v>
      </c>
      <c r="H16" s="269">
        <v>75968.97</v>
      </c>
    </row>
    <row r="17" spans="1:8" ht="13.5" customHeight="1">
      <c r="A17" s="2" t="s">
        <v>135</v>
      </c>
      <c r="B17" s="33">
        <v>7767</v>
      </c>
      <c r="C17" s="268">
        <v>317710</v>
      </c>
      <c r="D17" s="372"/>
      <c r="E17" s="323">
        <f>SUM(C17/B17)</f>
        <v>40.90511136861079</v>
      </c>
      <c r="F17" s="269">
        <v>64433.02</v>
      </c>
      <c r="G17" s="269">
        <v>18128</v>
      </c>
      <c r="H17" s="269">
        <v>82561.02</v>
      </c>
    </row>
    <row r="18" spans="1:8" ht="13.5" customHeight="1">
      <c r="A18" s="2" t="s">
        <v>137</v>
      </c>
      <c r="B18" s="33">
        <v>78891</v>
      </c>
      <c r="C18" s="268">
        <v>4066621</v>
      </c>
      <c r="D18" s="372"/>
      <c r="E18" s="323">
        <f t="shared" si="0"/>
        <v>51.547337465617119</v>
      </c>
      <c r="F18" s="268">
        <v>224839.51</v>
      </c>
      <c r="G18" s="269">
        <v>58538</v>
      </c>
      <c r="H18" s="269">
        <v>283377.51</v>
      </c>
    </row>
    <row r="19" spans="1:8" ht="13.5" customHeight="1">
      <c r="A19" s="2" t="s">
        <v>138</v>
      </c>
      <c r="B19" s="33">
        <v>2407</v>
      </c>
      <c r="C19" s="268">
        <v>183572</v>
      </c>
      <c r="D19" s="372"/>
      <c r="E19" s="323">
        <f>SUM(C19/B19)</f>
        <v>76.265891150810134</v>
      </c>
      <c r="F19" s="268">
        <v>50787.53</v>
      </c>
      <c r="G19" s="269">
        <v>18827</v>
      </c>
      <c r="H19" s="269">
        <v>69614.53</v>
      </c>
    </row>
    <row r="20" spans="1:8" ht="13.5" customHeight="1">
      <c r="A20" s="2" t="s">
        <v>139</v>
      </c>
      <c r="B20" s="33">
        <v>2349</v>
      </c>
      <c r="C20" s="268">
        <v>361000</v>
      </c>
      <c r="D20" s="372"/>
      <c r="E20" s="323">
        <f t="shared" si="0"/>
        <v>153.68241805023413</v>
      </c>
      <c r="F20" s="268">
        <v>51325.17</v>
      </c>
      <c r="G20" s="269">
        <v>21000</v>
      </c>
      <c r="H20" s="269">
        <v>72325.17</v>
      </c>
    </row>
    <row r="21" spans="1:8" ht="13.5" customHeight="1">
      <c r="A21" s="2" t="s">
        <v>141</v>
      </c>
      <c r="B21" s="33">
        <v>1408</v>
      </c>
      <c r="C21" s="268">
        <v>124400</v>
      </c>
      <c r="D21" s="372"/>
      <c r="E21" s="323">
        <f t="shared" si="0"/>
        <v>88.352272727272734</v>
      </c>
      <c r="F21" s="268">
        <v>51612.800000000003</v>
      </c>
      <c r="G21" s="269">
        <v>20400</v>
      </c>
      <c r="H21" s="269">
        <v>72012.800000000003</v>
      </c>
    </row>
    <row r="22" spans="1:8" ht="13.5" customHeight="1">
      <c r="A22" s="2" t="s">
        <v>279</v>
      </c>
      <c r="B22" s="33">
        <v>17541</v>
      </c>
      <c r="C22" s="268">
        <v>835335</v>
      </c>
      <c r="D22" s="372"/>
      <c r="E22" s="323">
        <f t="shared" si="0"/>
        <v>47.621857362750127</v>
      </c>
      <c r="F22" s="268">
        <v>49992.2</v>
      </c>
      <c r="G22" s="269">
        <v>67312</v>
      </c>
      <c r="H22" s="269">
        <v>117304.20000000001</v>
      </c>
    </row>
    <row r="23" spans="1:8" ht="13.5" customHeight="1">
      <c r="A23" s="2" t="s">
        <v>144</v>
      </c>
      <c r="B23" s="33">
        <v>43346</v>
      </c>
      <c r="C23" s="268">
        <v>4066240</v>
      </c>
      <c r="D23" s="372"/>
      <c r="E23" s="323">
        <f t="shared" si="0"/>
        <v>93.808886633138002</v>
      </c>
      <c r="F23" s="268">
        <v>123535.67999999999</v>
      </c>
      <c r="G23" s="269">
        <v>62755</v>
      </c>
      <c r="H23" s="269">
        <v>186290.68</v>
      </c>
    </row>
    <row r="24" spans="1:8" ht="13.5" customHeight="1">
      <c r="A24" s="2" t="s">
        <v>145</v>
      </c>
      <c r="B24" s="33">
        <v>37826</v>
      </c>
      <c r="C24" s="268">
        <v>2639000</v>
      </c>
      <c r="D24" s="372"/>
      <c r="E24" s="323">
        <f t="shared" si="0"/>
        <v>69.766827050177127</v>
      </c>
      <c r="F24" s="268">
        <v>107804.06</v>
      </c>
      <c r="G24" s="269">
        <v>59432</v>
      </c>
      <c r="H24" s="269">
        <v>167236.06</v>
      </c>
    </row>
    <row r="25" spans="1:8" ht="13.5" customHeight="1">
      <c r="A25" s="2" t="s">
        <v>146</v>
      </c>
      <c r="B25" s="33">
        <v>13897</v>
      </c>
      <c r="C25" s="268">
        <v>624461</v>
      </c>
      <c r="D25" s="372"/>
      <c r="E25" s="323">
        <f t="shared" si="0"/>
        <v>44.934949989206302</v>
      </c>
      <c r="F25" s="268">
        <v>81208.41</v>
      </c>
      <c r="G25" s="269">
        <v>17830</v>
      </c>
      <c r="H25" s="269">
        <v>99038.41</v>
      </c>
    </row>
    <row r="26" spans="1:8" ht="13.5" customHeight="1">
      <c r="A26" s="2" t="s">
        <v>148</v>
      </c>
      <c r="B26" s="33">
        <v>141133</v>
      </c>
      <c r="C26" s="268">
        <v>5395500</v>
      </c>
      <c r="D26" s="372"/>
      <c r="E26" s="323">
        <f t="shared" si="0"/>
        <v>38.229896622334962</v>
      </c>
      <c r="F26" s="268">
        <v>402229.05</v>
      </c>
      <c r="G26" s="269">
        <v>58358</v>
      </c>
      <c r="H26" s="269">
        <v>460587.05</v>
      </c>
    </row>
    <row r="27" spans="1:8" ht="13.5" customHeight="1">
      <c r="A27" s="2" t="s">
        <v>149</v>
      </c>
      <c r="B27" s="33">
        <v>188303</v>
      </c>
      <c r="C27" s="268">
        <v>8529827</v>
      </c>
      <c r="D27" s="372"/>
      <c r="E27" s="323">
        <f t="shared" si="0"/>
        <v>45.298412664694666</v>
      </c>
      <c r="F27" s="269">
        <v>569317.55000000005</v>
      </c>
      <c r="G27" s="14">
        <v>20000</v>
      </c>
      <c r="H27" s="269">
        <v>589317.55000000005</v>
      </c>
    </row>
    <row r="28" spans="1:8" ht="13.5" customHeight="1">
      <c r="A28" s="2" t="s">
        <v>151</v>
      </c>
      <c r="B28" s="33">
        <v>92255</v>
      </c>
      <c r="C28" s="268">
        <v>6454979.5</v>
      </c>
      <c r="D28" s="372"/>
      <c r="E28" s="323">
        <f t="shared" si="0"/>
        <v>69.968885155276141</v>
      </c>
      <c r="F28" s="268">
        <v>300420.92</v>
      </c>
      <c r="G28" s="269">
        <v>20131</v>
      </c>
      <c r="H28" s="269">
        <v>320551.92</v>
      </c>
    </row>
    <row r="29" spans="1:8" ht="13.5" customHeight="1">
      <c r="A29" s="171" t="s">
        <v>152</v>
      </c>
      <c r="B29" s="33">
        <v>385242</v>
      </c>
      <c r="C29" s="268">
        <v>18516506</v>
      </c>
      <c r="D29" s="372"/>
      <c r="E29" s="323">
        <f t="shared" si="0"/>
        <v>48.064608739441702</v>
      </c>
      <c r="F29" s="268">
        <v>1097939.7</v>
      </c>
      <c r="G29" s="269">
        <v>50000</v>
      </c>
      <c r="H29" s="269">
        <v>1147939.7</v>
      </c>
    </row>
    <row r="30" spans="1:8" ht="13.5" customHeight="1">
      <c r="A30" s="2" t="s">
        <v>153</v>
      </c>
      <c r="B30" s="33">
        <v>2767</v>
      </c>
      <c r="C30" s="268">
        <v>348330</v>
      </c>
      <c r="D30" s="372"/>
      <c r="E30" s="323">
        <f t="shared" si="0"/>
        <v>125.88724250090351</v>
      </c>
      <c r="F30" s="268">
        <v>40640.53</v>
      </c>
      <c r="G30" s="269">
        <v>30000</v>
      </c>
      <c r="H30" s="269">
        <v>70640.53</v>
      </c>
    </row>
    <row r="31" spans="1:8" ht="13.5" customHeight="1">
      <c r="A31" s="2" t="s">
        <v>154</v>
      </c>
      <c r="B31" s="33">
        <v>354803</v>
      </c>
      <c r="C31" s="268">
        <v>12250560</v>
      </c>
      <c r="D31" s="372"/>
      <c r="E31" s="323">
        <f t="shared" si="0"/>
        <v>34.5277802047897</v>
      </c>
      <c r="F31" s="268">
        <v>1011188.55</v>
      </c>
      <c r="G31" s="269">
        <v>51864</v>
      </c>
      <c r="H31" s="269">
        <v>1063052.55</v>
      </c>
    </row>
    <row r="32" spans="1:8" ht="13.5" customHeight="1">
      <c r="A32" s="2" t="s">
        <v>155</v>
      </c>
      <c r="B32" s="33">
        <v>69352</v>
      </c>
      <c r="C32" s="268">
        <v>2899013</v>
      </c>
      <c r="D32" s="372"/>
      <c r="E32" s="323">
        <f t="shared" si="0"/>
        <v>41.801433267966317</v>
      </c>
      <c r="F32" s="268">
        <v>197652.72</v>
      </c>
      <c r="G32" s="269">
        <v>65631</v>
      </c>
      <c r="H32" s="269">
        <v>263283.72000000003</v>
      </c>
    </row>
    <row r="33" spans="1:8" ht="13.5" customHeight="1">
      <c r="A33" s="2" t="s">
        <v>156</v>
      </c>
      <c r="B33" s="33">
        <v>56037</v>
      </c>
      <c r="C33" s="268">
        <v>2880407</v>
      </c>
      <c r="D33" s="372"/>
      <c r="E33" s="323">
        <f t="shared" si="0"/>
        <v>51.401877331049128</v>
      </c>
      <c r="F33" s="268">
        <v>159974.97</v>
      </c>
      <c r="G33" s="269">
        <v>65361</v>
      </c>
      <c r="H33" s="269">
        <v>225335.97000000003</v>
      </c>
    </row>
    <row r="34" spans="1:8" ht="13.5" customHeight="1">
      <c r="A34" s="2" t="s">
        <v>158</v>
      </c>
      <c r="B34" s="33">
        <v>4015</v>
      </c>
      <c r="C34" s="268">
        <v>567036</v>
      </c>
      <c r="D34" s="372"/>
      <c r="E34" s="323">
        <f t="shared" si="0"/>
        <v>141.2293897882939</v>
      </c>
      <c r="F34" s="268">
        <v>54197.33</v>
      </c>
      <c r="G34" s="269">
        <v>20000</v>
      </c>
      <c r="H34" s="269">
        <v>74197.33</v>
      </c>
    </row>
    <row r="35" spans="1:8" ht="13.5" customHeight="1">
      <c r="A35" s="2" t="s">
        <v>160</v>
      </c>
      <c r="B35" s="33">
        <v>81248</v>
      </c>
      <c r="C35" s="268">
        <v>4129174</v>
      </c>
      <c r="D35" s="372"/>
      <c r="E35" s="323">
        <f t="shared" si="0"/>
        <v>50.821854076408037</v>
      </c>
      <c r="F35" s="268">
        <v>252311.38</v>
      </c>
      <c r="G35" s="269">
        <v>42000</v>
      </c>
      <c r="H35" s="269">
        <v>294311.38</v>
      </c>
    </row>
    <row r="36" spans="1:8" ht="13.5" customHeight="1">
      <c r="A36" s="2" t="s">
        <v>161</v>
      </c>
      <c r="B36" s="33">
        <v>4613</v>
      </c>
      <c r="C36" s="268">
        <v>318153</v>
      </c>
      <c r="D36" s="372"/>
      <c r="E36" s="323">
        <f t="shared" si="0"/>
        <v>68.968783871667029</v>
      </c>
      <c r="F36" s="268">
        <v>56215.57</v>
      </c>
      <c r="G36" s="269">
        <v>18460</v>
      </c>
      <c r="H36" s="269">
        <v>74675.570000000007</v>
      </c>
    </row>
    <row r="37" spans="1:8" ht="13.5" customHeight="1">
      <c r="A37" s="2" t="s">
        <v>162</v>
      </c>
      <c r="B37" s="33">
        <v>3871</v>
      </c>
      <c r="C37" s="268">
        <v>348970</v>
      </c>
      <c r="D37" s="372"/>
      <c r="E37" s="323">
        <f t="shared" si="0"/>
        <v>90.149832084732623</v>
      </c>
      <c r="F37" s="268">
        <v>55322.35</v>
      </c>
      <c r="G37" s="269">
        <v>23710</v>
      </c>
      <c r="H37" s="269">
        <v>79032.350000000006</v>
      </c>
    </row>
    <row r="38" spans="1:8" ht="13.5" customHeight="1">
      <c r="A38" s="171" t="s">
        <v>163</v>
      </c>
      <c r="B38" s="33">
        <v>11424</v>
      </c>
      <c r="C38" s="268">
        <v>1034213</v>
      </c>
      <c r="D38" s="372"/>
      <c r="E38" s="323">
        <f t="shared" si="0"/>
        <v>90.529849439775916</v>
      </c>
      <c r="F38" s="268">
        <v>77440.259999999995</v>
      </c>
      <c r="G38" s="269">
        <v>19235</v>
      </c>
      <c r="H38" s="269">
        <v>96675.260000000009</v>
      </c>
    </row>
    <row r="39" spans="1:8" ht="13.5" customHeight="1">
      <c r="A39" s="2" t="s">
        <v>164</v>
      </c>
      <c r="B39" s="33">
        <v>12680</v>
      </c>
      <c r="C39" s="268">
        <v>559565</v>
      </c>
      <c r="D39" s="372"/>
      <c r="E39" s="323">
        <f t="shared" si="0"/>
        <v>44.129731861198735</v>
      </c>
      <c r="F39" s="268">
        <v>82078.52</v>
      </c>
      <c r="G39" s="269">
        <v>19690</v>
      </c>
      <c r="H39" s="269">
        <v>101768.52</v>
      </c>
    </row>
    <row r="40" spans="1:8" ht="13.5" customHeight="1">
      <c r="A40" s="2" t="s">
        <v>165</v>
      </c>
      <c r="B40" s="33">
        <v>252399</v>
      </c>
      <c r="C40" s="268">
        <v>10011096</v>
      </c>
      <c r="D40" s="372"/>
      <c r="E40" s="323">
        <f t="shared" si="0"/>
        <v>39.66377045867852</v>
      </c>
      <c r="F40" s="268">
        <v>754337.15</v>
      </c>
      <c r="G40" s="269">
        <v>15000</v>
      </c>
      <c r="H40" s="269">
        <v>769337.15</v>
      </c>
    </row>
    <row r="41" spans="1:8" ht="13.5" customHeight="1">
      <c r="A41" s="2" t="s">
        <v>166</v>
      </c>
      <c r="B41" s="33">
        <v>56997</v>
      </c>
      <c r="C41" s="268">
        <v>2628866</v>
      </c>
      <c r="D41" s="372"/>
      <c r="E41" s="323">
        <f t="shared" si="0"/>
        <v>46.122883660543536</v>
      </c>
      <c r="F41" s="268">
        <v>205510.97</v>
      </c>
      <c r="G41" s="269">
        <v>18459</v>
      </c>
      <c r="H41" s="269">
        <v>223969.97000000003</v>
      </c>
    </row>
    <row r="42" spans="1:8" ht="13.5" customHeight="1">
      <c r="A42" s="2" t="s">
        <v>167</v>
      </c>
      <c r="B42" s="33">
        <v>9905</v>
      </c>
      <c r="C42" s="268">
        <v>382582</v>
      </c>
      <c r="D42" s="372"/>
      <c r="E42" s="323">
        <f t="shared" si="0"/>
        <v>38.625138818778396</v>
      </c>
      <c r="F42" s="268">
        <v>69831.210000000006</v>
      </c>
      <c r="G42" s="269">
        <v>17830</v>
      </c>
      <c r="H42" s="269">
        <v>87661.209999999992</v>
      </c>
    </row>
    <row r="43" spans="1:8" ht="13.5" customHeight="1">
      <c r="A43" s="2" t="s">
        <v>168</v>
      </c>
      <c r="B43" s="33">
        <v>8411</v>
      </c>
      <c r="C43" s="268">
        <v>681608</v>
      </c>
      <c r="D43" s="372"/>
      <c r="E43" s="323">
        <f t="shared" si="0"/>
        <v>81.037688740934485</v>
      </c>
      <c r="F43" s="268">
        <v>62754.93</v>
      </c>
      <c r="G43" s="269">
        <v>23971</v>
      </c>
      <c r="H43" s="269">
        <v>86725.930000000008</v>
      </c>
    </row>
    <row r="44" spans="1:8" ht="13.5" customHeight="1">
      <c r="A44" s="2" t="s">
        <v>169</v>
      </c>
      <c r="B44" s="33">
        <v>41142</v>
      </c>
      <c r="C44" s="268">
        <v>2435509</v>
      </c>
      <c r="D44" s="372"/>
      <c r="E44" s="323">
        <f t="shared" si="0"/>
        <v>59.197632589567839</v>
      </c>
      <c r="F44" s="268">
        <v>148783.22</v>
      </c>
      <c r="G44" s="269">
        <v>30000</v>
      </c>
      <c r="H44" s="269">
        <v>178783.22</v>
      </c>
    </row>
    <row r="45" spans="1:8" ht="13.5" customHeight="1">
      <c r="A45" s="2" t="s">
        <v>170</v>
      </c>
      <c r="B45" s="33">
        <v>212210</v>
      </c>
      <c r="C45" s="268">
        <v>9085045</v>
      </c>
      <c r="D45" s="372"/>
      <c r="E45" s="323">
        <f t="shared" si="0"/>
        <v>42.811578153715658</v>
      </c>
      <c r="F45" s="268">
        <v>604798.5</v>
      </c>
      <c r="G45" s="269">
        <v>59171</v>
      </c>
      <c r="H45" s="269">
        <v>663969.5</v>
      </c>
    </row>
    <row r="46" spans="1:8" ht="13.5" customHeight="1">
      <c r="A46" s="2" t="s">
        <v>171</v>
      </c>
      <c r="B46" s="33">
        <v>13075</v>
      </c>
      <c r="C46" s="268">
        <v>747893</v>
      </c>
      <c r="D46" s="372"/>
      <c r="E46" s="323">
        <f t="shared" si="0"/>
        <v>57.200229445506693</v>
      </c>
      <c r="F46" s="268">
        <v>81191.33</v>
      </c>
      <c r="G46" s="269">
        <v>18827</v>
      </c>
      <c r="H46" s="269">
        <v>100018.33</v>
      </c>
    </row>
    <row r="47" spans="1:8" ht="13.5" customHeight="1">
      <c r="A47" s="2" t="s">
        <v>172</v>
      </c>
      <c r="B47" s="33">
        <v>9295</v>
      </c>
      <c r="C47" s="268">
        <v>439100</v>
      </c>
      <c r="D47" s="372"/>
      <c r="E47" s="323">
        <f t="shared" si="0"/>
        <v>47.240451855836469</v>
      </c>
      <c r="F47" s="268">
        <v>70415.33</v>
      </c>
      <c r="G47" s="269">
        <v>18830</v>
      </c>
      <c r="H47" s="269">
        <v>89245.33</v>
      </c>
    </row>
    <row r="48" spans="1:8" ht="13.5" customHeight="1">
      <c r="A48" s="2" t="s">
        <v>173</v>
      </c>
      <c r="B48" s="33">
        <v>161593</v>
      </c>
      <c r="C48" s="268">
        <v>8742129</v>
      </c>
      <c r="D48" s="372"/>
      <c r="E48" s="323">
        <f t="shared" si="0"/>
        <v>54.099676347366533</v>
      </c>
      <c r="F48" s="268">
        <v>460540.05</v>
      </c>
      <c r="G48" s="269">
        <v>50000</v>
      </c>
      <c r="H48" s="269">
        <v>510540.05</v>
      </c>
    </row>
    <row r="49" spans="1:8" ht="13.5" customHeight="1">
      <c r="A49" s="2" t="s">
        <v>174</v>
      </c>
      <c r="B49" s="33">
        <v>4305</v>
      </c>
      <c r="C49" s="268">
        <v>696195</v>
      </c>
      <c r="D49" s="372"/>
      <c r="E49" s="323">
        <f t="shared" si="0"/>
        <v>161.7177700348432</v>
      </c>
      <c r="F49" s="268">
        <v>55597.77</v>
      </c>
      <c r="G49" s="269">
        <v>22302</v>
      </c>
      <c r="H49" s="269">
        <v>77899.77</v>
      </c>
    </row>
    <row r="50" spans="1:8" ht="13.5" customHeight="1">
      <c r="A50" s="2" t="s">
        <v>280</v>
      </c>
      <c r="B50" s="33">
        <v>8978</v>
      </c>
      <c r="C50" s="268">
        <v>833948.44</v>
      </c>
      <c r="D50" s="372"/>
      <c r="E50" s="323">
        <f t="shared" si="0"/>
        <v>92.887997326798839</v>
      </c>
      <c r="F50" s="268">
        <v>57899.65</v>
      </c>
      <c r="G50" s="269">
        <v>35000</v>
      </c>
      <c r="H50" s="269">
        <v>92899.650000000009</v>
      </c>
    </row>
    <row r="51" spans="1:8" ht="13.5" customHeight="1">
      <c r="A51" s="2" t="s">
        <v>176</v>
      </c>
      <c r="B51" s="33">
        <v>33112</v>
      </c>
      <c r="C51" s="268">
        <v>2588196</v>
      </c>
      <c r="D51" s="373"/>
      <c r="E51" s="323">
        <f t="shared" si="0"/>
        <v>78.16489490215028</v>
      </c>
      <c r="F51" s="268">
        <v>133123.78</v>
      </c>
      <c r="G51" s="269">
        <v>24000</v>
      </c>
      <c r="H51" s="269">
        <v>157123.78</v>
      </c>
    </row>
    <row r="52" spans="1:8" ht="13.5" customHeight="1">
      <c r="A52" s="2" t="s">
        <v>177</v>
      </c>
      <c r="B52" s="33">
        <v>11582</v>
      </c>
      <c r="C52" s="268">
        <v>533046</v>
      </c>
      <c r="D52" s="373"/>
      <c r="E52" s="323">
        <f t="shared" si="0"/>
        <v>46.023657399412883</v>
      </c>
      <c r="F52" s="268">
        <v>74267.77</v>
      </c>
      <c r="G52" s="269">
        <v>19166</v>
      </c>
      <c r="H52" s="269">
        <v>93433.77</v>
      </c>
    </row>
    <row r="53" spans="1:8">
      <c r="A53" s="2" t="s">
        <v>178</v>
      </c>
      <c r="B53" s="33">
        <v>27340</v>
      </c>
      <c r="C53" s="268">
        <v>1607915</v>
      </c>
      <c r="D53" s="372"/>
      <c r="E53" s="323">
        <f>SUM(C53/B53)</f>
        <v>58.811814191660574</v>
      </c>
      <c r="F53" s="268">
        <v>77918.58</v>
      </c>
      <c r="G53" s="269">
        <v>62755</v>
      </c>
      <c r="H53" s="269">
        <v>140673.58000000002</v>
      </c>
    </row>
    <row r="54" spans="1:8">
      <c r="A54" s="2" t="s">
        <v>179</v>
      </c>
      <c r="B54" s="33">
        <v>13392</v>
      </c>
      <c r="C54" s="268">
        <v>675364</v>
      </c>
      <c r="D54" s="268"/>
      <c r="E54" s="267">
        <v>50.43040621266428</v>
      </c>
      <c r="F54" s="268">
        <v>82094.78</v>
      </c>
      <c r="G54" s="269">
        <v>18827</v>
      </c>
      <c r="H54" s="271">
        <v>100921.78</v>
      </c>
    </row>
    <row r="55" spans="1:8">
      <c r="A55" s="2" t="s">
        <v>180</v>
      </c>
      <c r="B55" s="33">
        <v>4893</v>
      </c>
      <c r="C55" s="268">
        <v>231778</v>
      </c>
      <c r="D55" s="268"/>
      <c r="E55" s="267">
        <v>47.369303086041285</v>
      </c>
      <c r="F55" s="268">
        <v>58826.91</v>
      </c>
      <c r="G55" s="269">
        <v>19235</v>
      </c>
      <c r="H55" s="271">
        <v>78061.91</v>
      </c>
    </row>
    <row r="56" spans="1:8" ht="13.5" customHeight="1">
      <c r="A56" s="5" t="s">
        <v>182</v>
      </c>
      <c r="B56" s="33">
        <v>68704</v>
      </c>
      <c r="C56" s="268">
        <v>3006384.89</v>
      </c>
      <c r="D56" s="268"/>
      <c r="E56" s="267">
        <v>43.758513187005128</v>
      </c>
      <c r="F56" s="268">
        <v>236703.35999999999</v>
      </c>
      <c r="G56" s="269">
        <v>18535</v>
      </c>
      <c r="H56" s="271">
        <v>255238.36</v>
      </c>
    </row>
    <row r="57" spans="1:8">
      <c r="A57" s="2" t="s">
        <v>183</v>
      </c>
      <c r="B57" s="33">
        <v>2861</v>
      </c>
      <c r="C57" s="268">
        <v>255350</v>
      </c>
      <c r="D57" s="268"/>
      <c r="E57" s="267">
        <v>89.255505068157987</v>
      </c>
      <c r="F57" s="268">
        <v>51270.71</v>
      </c>
      <c r="G57" s="269">
        <v>21000</v>
      </c>
      <c r="H57" s="271">
        <v>72270.710000000006</v>
      </c>
    </row>
    <row r="58" spans="1:8">
      <c r="A58" s="2" t="s">
        <v>281</v>
      </c>
      <c r="B58" s="33">
        <v>215612</v>
      </c>
      <c r="C58" s="268">
        <v>9735628</v>
      </c>
      <c r="D58" s="268"/>
      <c r="E58" s="267">
        <v>45.153460846335086</v>
      </c>
      <c r="F58" s="268">
        <v>649494.19999999995</v>
      </c>
      <c r="G58" s="269">
        <v>15000</v>
      </c>
      <c r="H58" s="271">
        <v>664494.20000000007</v>
      </c>
    </row>
    <row r="59" spans="1:8">
      <c r="A59" s="2" t="s">
        <v>185</v>
      </c>
      <c r="B59" s="33">
        <v>19300</v>
      </c>
      <c r="C59" s="268">
        <v>1114435</v>
      </c>
      <c r="D59" s="268"/>
      <c r="E59" s="267">
        <v>57.742746113989639</v>
      </c>
      <c r="F59" s="268">
        <v>69121.86</v>
      </c>
      <c r="G59" s="269">
        <v>50000</v>
      </c>
      <c r="H59" s="271">
        <v>119121.86</v>
      </c>
    </row>
    <row r="60" spans="1:8">
      <c r="A60" s="2" t="s">
        <v>186</v>
      </c>
      <c r="B60" s="33">
        <v>154834</v>
      </c>
      <c r="C60" s="268">
        <v>8930052</v>
      </c>
      <c r="D60" s="268"/>
      <c r="E60" s="267">
        <v>57.675006781456268</v>
      </c>
      <c r="F60" s="268">
        <v>441276.9</v>
      </c>
      <c r="G60" s="269">
        <v>50902</v>
      </c>
      <c r="H60" s="271">
        <v>492178.9</v>
      </c>
    </row>
    <row r="61" spans="1:8">
      <c r="A61" s="2" t="s">
        <v>188</v>
      </c>
      <c r="B61" s="33">
        <v>14062</v>
      </c>
      <c r="C61" s="268">
        <v>412243</v>
      </c>
      <c r="D61" s="268"/>
      <c r="E61" s="267">
        <v>29.31610012800455</v>
      </c>
      <c r="F61" s="268">
        <v>80413.87</v>
      </c>
      <c r="G61" s="269">
        <v>17288</v>
      </c>
      <c r="H61" s="271">
        <v>97701.87</v>
      </c>
    </row>
    <row r="62" spans="1:8">
      <c r="A62" s="2" t="s">
        <v>282</v>
      </c>
      <c r="B62" s="33">
        <v>190939</v>
      </c>
      <c r="C62" s="268">
        <v>15509413</v>
      </c>
      <c r="D62" s="268"/>
      <c r="E62" s="267">
        <v>81.227056808719013</v>
      </c>
      <c r="F62" s="268">
        <v>544176.15</v>
      </c>
      <c r="G62" s="269">
        <v>50000</v>
      </c>
      <c r="H62" s="271">
        <v>594176.15</v>
      </c>
    </row>
    <row r="63" spans="1:8">
      <c r="A63" s="2" t="s">
        <v>190</v>
      </c>
      <c r="B63" s="33">
        <v>18080</v>
      </c>
      <c r="C63" s="268">
        <v>1292491</v>
      </c>
      <c r="D63" s="268"/>
      <c r="E63" s="267">
        <v>71.487334070796464</v>
      </c>
      <c r="F63" s="268">
        <v>51528.35</v>
      </c>
      <c r="G63" s="269">
        <v>67312</v>
      </c>
      <c r="H63" s="271">
        <v>118840.35</v>
      </c>
    </row>
    <row r="64" spans="1:8">
      <c r="A64" s="2" t="s">
        <v>191</v>
      </c>
      <c r="B64" s="33">
        <v>6458</v>
      </c>
      <c r="C64" s="268">
        <v>473067</v>
      </c>
      <c r="D64" s="268"/>
      <c r="E64" s="267">
        <v>73.252864663982663</v>
      </c>
      <c r="F64" s="268">
        <v>64346.82</v>
      </c>
      <c r="G64" s="269">
        <v>19689</v>
      </c>
      <c r="H64" s="271">
        <v>84035.82</v>
      </c>
    </row>
    <row r="65" spans="1:8">
      <c r="A65" s="2" t="s">
        <v>192</v>
      </c>
      <c r="B65" s="33">
        <v>31718</v>
      </c>
      <c r="C65" s="268">
        <v>1513491</v>
      </c>
      <c r="D65" s="268"/>
      <c r="E65" s="267">
        <v>47.717100699918028</v>
      </c>
      <c r="F65" s="268">
        <v>90396.65</v>
      </c>
      <c r="G65" s="269">
        <v>67312</v>
      </c>
      <c r="H65" s="271">
        <v>157708.65000000002</v>
      </c>
    </row>
    <row r="66" spans="1:8">
      <c r="A66" s="2" t="s">
        <v>193</v>
      </c>
      <c r="B66" s="33">
        <v>23173</v>
      </c>
      <c r="C66" s="268">
        <v>1379881</v>
      </c>
      <c r="D66" s="268"/>
      <c r="E66" s="267">
        <v>59.546929616363869</v>
      </c>
      <c r="F66" s="268">
        <v>106380.22</v>
      </c>
      <c r="G66" s="269">
        <v>17288</v>
      </c>
      <c r="H66" s="271">
        <v>123668.22</v>
      </c>
    </row>
    <row r="67" spans="1:8">
      <c r="A67" s="2" t="s">
        <v>194</v>
      </c>
      <c r="B67" s="33">
        <v>128362</v>
      </c>
      <c r="C67" s="268">
        <v>6417300</v>
      </c>
      <c r="D67" s="268"/>
      <c r="E67" s="267">
        <v>49.993767625932911</v>
      </c>
      <c r="F67" s="268">
        <v>365831.87</v>
      </c>
      <c r="G67" s="269">
        <v>57625</v>
      </c>
      <c r="H67" s="271">
        <v>423456.87</v>
      </c>
    </row>
    <row r="68" spans="1:8">
      <c r="A68" s="2" t="s">
        <v>195</v>
      </c>
      <c r="B68" s="33">
        <v>9582</v>
      </c>
      <c r="C68" s="268">
        <v>506731</v>
      </c>
      <c r="D68" s="268"/>
      <c r="E68" s="267">
        <v>52.883635984136923</v>
      </c>
      <c r="F68" s="268">
        <v>69766.05</v>
      </c>
      <c r="G68" s="269">
        <v>24855</v>
      </c>
      <c r="H68" s="271">
        <v>94621.05</v>
      </c>
    </row>
    <row r="69" spans="1:8">
      <c r="A69" s="2" t="s">
        <v>196</v>
      </c>
      <c r="B69" s="33">
        <v>6113</v>
      </c>
      <c r="C69" s="268">
        <v>472359</v>
      </c>
      <c r="D69" s="268"/>
      <c r="E69" s="267">
        <v>77.271225257647643</v>
      </c>
      <c r="F69" s="268">
        <v>50052.57</v>
      </c>
      <c r="G69" s="269">
        <v>33000</v>
      </c>
      <c r="H69" s="271">
        <v>83052.570000000007</v>
      </c>
    </row>
    <row r="70" spans="1:8">
      <c r="A70" s="2" t="s">
        <v>198</v>
      </c>
      <c r="B70" s="33">
        <v>221859</v>
      </c>
      <c r="C70" s="268">
        <v>10400000</v>
      </c>
      <c r="D70" s="268"/>
      <c r="E70" s="267">
        <v>46.876619835120508</v>
      </c>
      <c r="F70" s="268">
        <v>632298.15</v>
      </c>
      <c r="G70" s="269">
        <v>52385</v>
      </c>
      <c r="H70" s="271">
        <v>684683.15</v>
      </c>
    </row>
    <row r="71" spans="1:8">
      <c r="A71" s="2" t="s">
        <v>199</v>
      </c>
      <c r="B71" s="33">
        <v>42566</v>
      </c>
      <c r="C71" s="268">
        <v>4295586</v>
      </c>
      <c r="D71" s="268"/>
      <c r="E71" s="267">
        <v>100.91589531551003</v>
      </c>
      <c r="F71" s="268">
        <v>160938.26999999999</v>
      </c>
      <c r="G71" s="269">
        <v>18000</v>
      </c>
      <c r="H71" s="271">
        <v>178938.27000000002</v>
      </c>
    </row>
    <row r="72" spans="1:8">
      <c r="A72" s="2" t="s">
        <v>200</v>
      </c>
      <c r="B72" s="33">
        <v>11438</v>
      </c>
      <c r="C72" s="268">
        <v>700579</v>
      </c>
      <c r="D72" s="268"/>
      <c r="E72" s="267">
        <v>61.250131141808005</v>
      </c>
      <c r="F72" s="268">
        <v>78539.820000000007</v>
      </c>
      <c r="G72" s="269">
        <v>19689</v>
      </c>
      <c r="H72" s="271">
        <v>98228.82</v>
      </c>
    </row>
    <row r="73" spans="1:8">
      <c r="A73" s="2" t="s">
        <v>201</v>
      </c>
      <c r="B73" s="33">
        <v>43783</v>
      </c>
      <c r="C73" s="268">
        <v>2251035</v>
      </c>
      <c r="D73" s="268"/>
      <c r="E73" s="267">
        <v>51.413448141972914</v>
      </c>
      <c r="F73" s="268">
        <v>124781.13</v>
      </c>
      <c r="G73" s="269">
        <v>62755</v>
      </c>
      <c r="H73" s="271">
        <v>187536.13</v>
      </c>
    </row>
    <row r="74" spans="1:8">
      <c r="A74" s="2" t="s">
        <v>202</v>
      </c>
      <c r="B74" s="33">
        <v>20740</v>
      </c>
      <c r="C74" s="268">
        <v>1640369.76</v>
      </c>
      <c r="D74" s="268"/>
      <c r="E74" s="267">
        <v>79.092081002892968</v>
      </c>
      <c r="F74" s="268">
        <v>102739.52</v>
      </c>
      <c r="G74" s="269">
        <v>22000</v>
      </c>
      <c r="H74" s="271">
        <v>124739.52</v>
      </c>
    </row>
    <row r="75" spans="1:8">
      <c r="A75" s="2" t="s">
        <v>203</v>
      </c>
      <c r="B75" s="33">
        <v>254905</v>
      </c>
      <c r="C75" s="268">
        <v>10079239</v>
      </c>
      <c r="D75" s="268"/>
      <c r="E75" s="267">
        <v>39.541158470802849</v>
      </c>
      <c r="F75" s="268">
        <v>726479.25</v>
      </c>
      <c r="G75" s="269">
        <v>50000</v>
      </c>
      <c r="H75" s="271">
        <v>776479.25</v>
      </c>
    </row>
    <row r="76" spans="1:8">
      <c r="A76" s="2" t="s">
        <v>204</v>
      </c>
      <c r="B76" s="33">
        <v>7670</v>
      </c>
      <c r="C76" s="268">
        <v>579845</v>
      </c>
      <c r="D76" s="268"/>
      <c r="E76" s="267">
        <v>75.599087353324634</v>
      </c>
      <c r="F76" s="268">
        <v>68977.850000000006</v>
      </c>
      <c r="G76" s="269">
        <v>20194</v>
      </c>
      <c r="H76" s="271">
        <v>89171.85</v>
      </c>
    </row>
    <row r="77" spans="1:8">
      <c r="A77" s="2" t="s">
        <v>205</v>
      </c>
      <c r="B77" s="33">
        <v>3474</v>
      </c>
      <c r="C77" s="268">
        <v>174500</v>
      </c>
      <c r="D77" s="268"/>
      <c r="E77" s="267">
        <v>50.23028209556707</v>
      </c>
      <c r="F77" s="268">
        <v>53828.480000000003</v>
      </c>
      <c r="G77" s="269">
        <v>18827</v>
      </c>
      <c r="H77" s="271">
        <v>72655.48</v>
      </c>
    </row>
    <row r="78" spans="1:8">
      <c r="A78" s="2" t="s">
        <v>206</v>
      </c>
      <c r="B78" s="33">
        <v>98163</v>
      </c>
      <c r="C78" s="268">
        <v>5068361</v>
      </c>
      <c r="D78" s="268"/>
      <c r="E78" s="267">
        <v>51.632091521245279</v>
      </c>
      <c r="F78" s="268">
        <v>279764.07</v>
      </c>
      <c r="G78" s="269">
        <v>61529</v>
      </c>
      <c r="H78" s="271">
        <v>341293.07</v>
      </c>
    </row>
    <row r="79" spans="1:8">
      <c r="A79" s="2" t="s">
        <v>207</v>
      </c>
      <c r="B79" s="33">
        <v>98582</v>
      </c>
      <c r="C79" s="268">
        <v>4469605</v>
      </c>
      <c r="D79" s="268"/>
      <c r="E79" s="267">
        <v>45.338956401777203</v>
      </c>
      <c r="F79" s="268">
        <v>280958.21999999997</v>
      </c>
      <c r="G79" s="269">
        <v>65631</v>
      </c>
      <c r="H79" s="268">
        <v>346589.22000000003</v>
      </c>
    </row>
    <row r="80" spans="1:8">
      <c r="A80" s="2" t="s">
        <v>208</v>
      </c>
      <c r="B80" s="33">
        <v>26214</v>
      </c>
      <c r="C80" s="268">
        <v>1528587</v>
      </c>
      <c r="D80" s="268"/>
      <c r="E80" s="267">
        <v>58.311856260013734</v>
      </c>
      <c r="F80" s="268">
        <v>118637.48</v>
      </c>
      <c r="G80" s="269">
        <v>18827</v>
      </c>
      <c r="H80" s="268">
        <v>137464.48000000001</v>
      </c>
    </row>
    <row r="81" spans="1:8">
      <c r="A81" s="2" t="s">
        <v>209</v>
      </c>
      <c r="B81" s="33">
        <v>12816</v>
      </c>
      <c r="C81" s="268">
        <v>620470</v>
      </c>
      <c r="D81" s="268"/>
      <c r="E81" s="267">
        <v>48.413701622971288</v>
      </c>
      <c r="F81" s="268">
        <v>72156.12</v>
      </c>
      <c r="G81" s="269">
        <v>30000</v>
      </c>
      <c r="H81" s="268">
        <v>102156.12</v>
      </c>
    </row>
    <row r="82" spans="1:8">
      <c r="A82" s="2" t="s">
        <v>210</v>
      </c>
      <c r="B82" s="33">
        <v>29253</v>
      </c>
      <c r="C82" s="268">
        <v>2782035</v>
      </c>
      <c r="D82" s="268"/>
      <c r="E82" s="267">
        <v>95.102553584247772</v>
      </c>
      <c r="F82" s="268">
        <v>111521.22</v>
      </c>
      <c r="G82" s="269">
        <v>29475</v>
      </c>
      <c r="H82" s="268">
        <v>140996.22</v>
      </c>
    </row>
    <row r="83" spans="1:8">
      <c r="A83" s="2" t="s">
        <v>211</v>
      </c>
      <c r="B83" s="33">
        <v>13562</v>
      </c>
      <c r="C83" s="268">
        <v>416235</v>
      </c>
      <c r="D83" s="268"/>
      <c r="E83" s="267">
        <v>30.691269724229464</v>
      </c>
      <c r="F83" s="268">
        <v>80948.77</v>
      </c>
      <c r="G83" s="269">
        <v>18128</v>
      </c>
      <c r="H83" s="268">
        <v>99076.77</v>
      </c>
    </row>
    <row r="84" spans="1:8">
      <c r="A84" s="2" t="s">
        <v>212</v>
      </c>
      <c r="B84" s="33">
        <v>3658</v>
      </c>
      <c r="C84" s="268">
        <v>340617</v>
      </c>
      <c r="D84" s="268"/>
      <c r="E84" s="267">
        <v>93.115636960087485</v>
      </c>
      <c r="F84" s="268">
        <v>51953.82</v>
      </c>
      <c r="G84" s="269">
        <v>20000</v>
      </c>
      <c r="H84" s="268">
        <v>71953.820000000007</v>
      </c>
    </row>
    <row r="85" spans="1:8">
      <c r="A85" s="2" t="s">
        <v>213</v>
      </c>
      <c r="B85" s="33">
        <v>16817</v>
      </c>
      <c r="C85" s="268">
        <v>961488</v>
      </c>
      <c r="D85" s="268"/>
      <c r="E85" s="267">
        <v>57.1735743592793</v>
      </c>
      <c r="F85" s="268">
        <v>93858.97</v>
      </c>
      <c r="G85" s="269">
        <v>19700</v>
      </c>
      <c r="H85" s="268">
        <v>113558.97</v>
      </c>
    </row>
    <row r="86" spans="1:8">
      <c r="A86" s="2" t="s">
        <v>214</v>
      </c>
      <c r="B86" s="33">
        <v>20986</v>
      </c>
      <c r="C86" s="268">
        <v>1766930</v>
      </c>
      <c r="D86" s="268"/>
      <c r="E86" s="267">
        <v>84.195654245687606</v>
      </c>
      <c r="F86" s="268">
        <v>59810.45</v>
      </c>
      <c r="G86" s="269">
        <v>67312</v>
      </c>
      <c r="H86" s="268">
        <v>127122.45000000001</v>
      </c>
    </row>
    <row r="87" spans="1:8">
      <c r="A87" s="2" t="s">
        <v>215</v>
      </c>
      <c r="B87" s="33">
        <v>12796</v>
      </c>
      <c r="C87" s="268">
        <v>839936</v>
      </c>
      <c r="D87" s="268"/>
      <c r="E87" s="267">
        <v>65.640512660206312</v>
      </c>
      <c r="F87" s="268">
        <v>81350.460000000006</v>
      </c>
      <c r="G87" s="269">
        <v>19235</v>
      </c>
      <c r="H87" s="268">
        <v>100585.45999999999</v>
      </c>
    </row>
    <row r="88" spans="1:8">
      <c r="A88" s="2" t="s">
        <v>216</v>
      </c>
      <c r="B88" s="33">
        <v>5687</v>
      </c>
      <c r="C88" s="268">
        <v>474204</v>
      </c>
      <c r="D88" s="268"/>
      <c r="E88" s="267">
        <v>83.383857921575526</v>
      </c>
      <c r="F88" s="268">
        <v>62520.3</v>
      </c>
      <c r="G88" s="269">
        <v>21000</v>
      </c>
      <c r="H88" s="268">
        <v>83520.3</v>
      </c>
    </row>
    <row r="89" spans="1:8">
      <c r="A89" s="2" t="s">
        <v>217</v>
      </c>
      <c r="B89" s="33">
        <v>6432</v>
      </c>
      <c r="C89" s="268">
        <v>592130</v>
      </c>
      <c r="D89" s="268"/>
      <c r="E89" s="267">
        <v>92.06001243781094</v>
      </c>
      <c r="F89" s="268">
        <v>63213.06</v>
      </c>
      <c r="G89" s="269">
        <v>19235</v>
      </c>
      <c r="H89" s="268">
        <v>82448.06</v>
      </c>
    </row>
    <row r="90" spans="1:8">
      <c r="A90" s="2" t="s">
        <v>218</v>
      </c>
      <c r="B90" s="33">
        <v>176860</v>
      </c>
      <c r="C90" s="268">
        <v>11492698</v>
      </c>
      <c r="D90" s="268"/>
      <c r="E90" s="267">
        <v>64.981895284405738</v>
      </c>
      <c r="F90" s="268">
        <v>504501</v>
      </c>
      <c r="G90" s="269">
        <v>50495</v>
      </c>
      <c r="H90" s="268">
        <v>554996</v>
      </c>
    </row>
    <row r="91" spans="1:8">
      <c r="A91" s="2" t="s">
        <v>219</v>
      </c>
      <c r="B91" s="33">
        <v>72909</v>
      </c>
      <c r="C91" s="268">
        <v>5854993</v>
      </c>
      <c r="D91" s="268"/>
      <c r="E91" s="267">
        <v>80.305490405848388</v>
      </c>
      <c r="F91" s="268">
        <v>233915.82</v>
      </c>
      <c r="G91" s="269">
        <v>31500</v>
      </c>
      <c r="H91" s="271">
        <v>265415.82</v>
      </c>
    </row>
    <row r="92" spans="1:8">
      <c r="A92" s="2" t="s">
        <v>220</v>
      </c>
      <c r="B92" s="33">
        <v>270772</v>
      </c>
      <c r="C92" s="268">
        <v>14606067</v>
      </c>
      <c r="D92" s="268"/>
      <c r="E92" s="267">
        <v>53.942309396835711</v>
      </c>
      <c r="F92" s="268">
        <v>771700.2</v>
      </c>
      <c r="G92" s="269">
        <v>50000</v>
      </c>
      <c r="H92" s="271">
        <v>821700.20000000007</v>
      </c>
    </row>
    <row r="93" spans="1:8">
      <c r="A93" s="2" t="s">
        <v>283</v>
      </c>
      <c r="B93" s="33">
        <v>5604</v>
      </c>
      <c r="C93" s="268">
        <v>336126</v>
      </c>
      <c r="D93" s="268"/>
      <c r="E93" s="267">
        <v>59.979657387580296</v>
      </c>
      <c r="F93" s="268">
        <v>59895.98</v>
      </c>
      <c r="G93" s="269">
        <v>18830</v>
      </c>
      <c r="H93" s="271">
        <v>78725.98</v>
      </c>
    </row>
    <row r="94" spans="1:8">
      <c r="A94" s="2" t="s">
        <v>222</v>
      </c>
      <c r="B94" s="33">
        <v>44610</v>
      </c>
      <c r="C94" s="268">
        <v>3017851</v>
      </c>
      <c r="D94" s="268"/>
      <c r="E94" s="267">
        <v>67.649652544272584</v>
      </c>
      <c r="F94" s="268">
        <v>169433.57</v>
      </c>
      <c r="G94" s="269">
        <v>18130</v>
      </c>
      <c r="H94" s="271">
        <v>187563.57</v>
      </c>
    </row>
    <row r="95" spans="1:8">
      <c r="A95" s="2" t="s">
        <v>223</v>
      </c>
      <c r="B95" s="33">
        <v>14236</v>
      </c>
      <c r="C95" s="268">
        <v>857400</v>
      </c>
      <c r="D95" s="268"/>
      <c r="E95" s="267">
        <v>60.227592020230404</v>
      </c>
      <c r="F95" s="268">
        <v>86203.12</v>
      </c>
      <c r="G95" s="269">
        <v>20000</v>
      </c>
      <c r="H95" s="271">
        <v>106203.12</v>
      </c>
    </row>
    <row r="96" spans="1:8">
      <c r="A96" s="2" t="s">
        <v>224</v>
      </c>
      <c r="B96" s="33">
        <v>274956</v>
      </c>
      <c r="C96" s="268">
        <v>16020444</v>
      </c>
      <c r="D96" s="268"/>
      <c r="E96" s="267">
        <v>58.26548247719635</v>
      </c>
      <c r="F96" s="268">
        <v>783624.6</v>
      </c>
      <c r="G96" s="269">
        <v>50000</v>
      </c>
      <c r="H96" s="271">
        <v>833624.6</v>
      </c>
    </row>
    <row r="97" spans="1:8">
      <c r="A97" s="2" t="s">
        <v>225</v>
      </c>
      <c r="B97" s="33">
        <v>228661</v>
      </c>
      <c r="C97" s="268">
        <v>9200478</v>
      </c>
      <c r="D97" s="268"/>
      <c r="E97" s="267">
        <v>40.236323640673312</v>
      </c>
      <c r="F97" s="268">
        <v>651683.85</v>
      </c>
      <c r="G97" s="269">
        <v>50000</v>
      </c>
      <c r="H97" s="271">
        <v>701683.85</v>
      </c>
    </row>
    <row r="98" spans="1:8">
      <c r="A98" s="2" t="s">
        <v>226</v>
      </c>
      <c r="B98" s="33">
        <v>90835</v>
      </c>
      <c r="C98" s="268">
        <v>3634178</v>
      </c>
      <c r="D98" s="268"/>
      <c r="E98" s="267">
        <v>40.008564980459077</v>
      </c>
      <c r="F98" s="268">
        <v>258879.27</v>
      </c>
      <c r="G98" s="269">
        <v>61529</v>
      </c>
      <c r="H98" s="271">
        <v>320408.27</v>
      </c>
    </row>
    <row r="99" spans="1:8">
      <c r="A99" s="2" t="s">
        <v>227</v>
      </c>
      <c r="B99" s="33">
        <v>78906</v>
      </c>
      <c r="C99" s="268">
        <v>2875944</v>
      </c>
      <c r="D99" s="268"/>
      <c r="E99" s="267">
        <v>36.447722606645883</v>
      </c>
      <c r="F99" s="268">
        <v>263816.62</v>
      </c>
      <c r="G99" s="269">
        <v>22594</v>
      </c>
      <c r="H99" s="271">
        <v>286410.62</v>
      </c>
    </row>
    <row r="100" spans="1:8">
      <c r="A100" s="171" t="s">
        <v>228</v>
      </c>
      <c r="B100" s="33">
        <v>66855</v>
      </c>
      <c r="C100" s="268">
        <v>1901076</v>
      </c>
      <c r="D100" s="268"/>
      <c r="E100" s="267">
        <v>28.435808840026922</v>
      </c>
      <c r="F100" s="268">
        <v>230661.92</v>
      </c>
      <c r="G100" s="269">
        <v>17500</v>
      </c>
      <c r="H100" s="271">
        <v>248161.91999999998</v>
      </c>
    </row>
    <row r="101" spans="1:8">
      <c r="A101" s="2" t="s">
        <v>229</v>
      </c>
      <c r="B101" s="72">
        <v>144598</v>
      </c>
      <c r="C101" s="262">
        <v>12431625</v>
      </c>
      <c r="D101" s="262"/>
      <c r="E101" s="131">
        <v>85.973699497918361</v>
      </c>
      <c r="F101" s="262">
        <v>412104.47</v>
      </c>
      <c r="G101" s="262">
        <v>57625</v>
      </c>
      <c r="H101" s="262">
        <v>469729.47</v>
      </c>
    </row>
    <row r="102" spans="1:8">
      <c r="A102" s="2" t="s">
        <v>230</v>
      </c>
      <c r="B102" s="72">
        <v>23892</v>
      </c>
      <c r="C102" s="262">
        <v>1213137</v>
      </c>
      <c r="D102" s="262"/>
      <c r="E102" s="131">
        <v>50.775866398794577</v>
      </c>
      <c r="F102" s="262">
        <v>113462.55</v>
      </c>
      <c r="G102" s="262">
        <v>21942</v>
      </c>
      <c r="H102" s="262">
        <v>135404.54999999999</v>
      </c>
    </row>
    <row r="103" spans="1:8">
      <c r="A103" s="2" t="s">
        <v>284</v>
      </c>
      <c r="B103" s="72">
        <v>139047</v>
      </c>
      <c r="C103" s="262">
        <v>10484382</v>
      </c>
      <c r="D103" s="262"/>
      <c r="E103" s="131">
        <v>75.401713089818557</v>
      </c>
      <c r="F103" s="262">
        <v>396284.12</v>
      </c>
      <c r="G103" s="262">
        <v>57625</v>
      </c>
      <c r="H103" s="262">
        <v>453909.12</v>
      </c>
    </row>
    <row r="104" spans="1:8">
      <c r="A104" s="2" t="s">
        <v>232</v>
      </c>
      <c r="B104" s="72">
        <v>81566</v>
      </c>
      <c r="C104" s="262">
        <v>4122149</v>
      </c>
      <c r="D104" s="262"/>
      <c r="E104" s="131">
        <v>50.537589191574924</v>
      </c>
      <c r="F104" s="262">
        <v>232462.62</v>
      </c>
      <c r="G104" s="262">
        <v>61529</v>
      </c>
      <c r="H104" s="262">
        <v>293991.62</v>
      </c>
    </row>
    <row r="105" spans="1:8">
      <c r="A105" s="2" t="s">
        <v>233</v>
      </c>
      <c r="B105" s="72">
        <v>110803</v>
      </c>
      <c r="C105" s="262">
        <v>3623938</v>
      </c>
      <c r="D105" s="262"/>
      <c r="E105" s="131">
        <v>32.706136115448139</v>
      </c>
      <c r="F105" s="262">
        <v>357317.07</v>
      </c>
      <c r="G105" s="262">
        <v>20000</v>
      </c>
      <c r="H105" s="262">
        <v>377317.07</v>
      </c>
    </row>
    <row r="106" spans="1:8">
      <c r="A106" s="2" t="s">
        <v>234</v>
      </c>
      <c r="B106" s="72">
        <v>25639</v>
      </c>
      <c r="C106" s="262">
        <v>1650276</v>
      </c>
      <c r="D106" s="262"/>
      <c r="E106" s="131">
        <v>64.365848902063263</v>
      </c>
      <c r="F106" s="262">
        <v>115303.22</v>
      </c>
      <c r="G106" s="262">
        <v>18193</v>
      </c>
      <c r="H106" s="262">
        <v>133496.22</v>
      </c>
    </row>
    <row r="107" spans="1:8">
      <c r="A107" s="2" t="s">
        <v>236</v>
      </c>
      <c r="B107" s="72">
        <v>22292</v>
      </c>
      <c r="C107" s="262">
        <v>1581501</v>
      </c>
      <c r="D107" s="262"/>
      <c r="E107" s="131">
        <v>70.944778395837076</v>
      </c>
      <c r="F107" s="262">
        <v>102964.16</v>
      </c>
      <c r="G107" s="262">
        <v>20000</v>
      </c>
      <c r="H107" s="262">
        <v>122964.16</v>
      </c>
    </row>
    <row r="108" spans="1:8">
      <c r="A108" s="2" t="s">
        <v>237</v>
      </c>
      <c r="B108" s="72">
        <v>14955</v>
      </c>
      <c r="C108" s="262">
        <v>1326673</v>
      </c>
      <c r="D108" s="262"/>
      <c r="E108" s="131">
        <v>88.710999665663664</v>
      </c>
      <c r="F108" s="262">
        <v>42621.61</v>
      </c>
      <c r="G108" s="262">
        <v>64117</v>
      </c>
      <c r="H108" s="262">
        <v>106738.61</v>
      </c>
    </row>
    <row r="109" spans="1:8">
      <c r="A109" s="2" t="s">
        <v>238</v>
      </c>
      <c r="B109" s="72">
        <v>48495</v>
      </c>
      <c r="C109" s="262">
        <v>1843632</v>
      </c>
      <c r="D109" s="262"/>
      <c r="E109" s="131">
        <v>38.016950201051657</v>
      </c>
      <c r="F109" s="262">
        <v>138210.71</v>
      </c>
      <c r="G109" s="262">
        <v>59432</v>
      </c>
      <c r="H109" s="262">
        <v>197642.71</v>
      </c>
    </row>
    <row r="110" spans="1:8">
      <c r="A110" s="2" t="s">
        <v>239</v>
      </c>
      <c r="B110" s="72">
        <v>238614</v>
      </c>
      <c r="C110" s="262">
        <v>9328702</v>
      </c>
      <c r="D110" s="262"/>
      <c r="E110" s="131">
        <v>39.095367413479508</v>
      </c>
      <c r="F110" s="262">
        <v>680049.9</v>
      </c>
      <c r="G110" s="262">
        <v>50000</v>
      </c>
      <c r="H110" s="262">
        <v>730049.9</v>
      </c>
    </row>
    <row r="111" spans="1:8">
      <c r="A111" s="2" t="s">
        <v>241</v>
      </c>
      <c r="B111" s="72">
        <v>237278</v>
      </c>
      <c r="C111" s="262">
        <v>16529384</v>
      </c>
      <c r="D111" s="262"/>
      <c r="E111" s="131">
        <v>69.662522442030024</v>
      </c>
      <c r="F111" s="262">
        <v>676242.3</v>
      </c>
      <c r="G111" s="262">
        <v>50000</v>
      </c>
      <c r="H111" s="262">
        <v>726242.3</v>
      </c>
    </row>
    <row r="112" spans="1:8">
      <c r="A112" s="2" t="s">
        <v>242</v>
      </c>
      <c r="B112" s="72">
        <v>65908</v>
      </c>
      <c r="C112" s="262">
        <v>2885218</v>
      </c>
      <c r="D112" s="262"/>
      <c r="E112" s="131">
        <v>43.776445954967528</v>
      </c>
      <c r="F112" s="262">
        <v>232719.66</v>
      </c>
      <c r="G112" s="262">
        <v>19235</v>
      </c>
      <c r="H112" s="262">
        <v>251954.66000000003</v>
      </c>
    </row>
    <row r="113" spans="1:8">
      <c r="A113" s="2" t="s">
        <v>243</v>
      </c>
      <c r="B113" s="72">
        <v>6023</v>
      </c>
      <c r="C113" s="262">
        <v>474088</v>
      </c>
      <c r="D113" s="262"/>
      <c r="E113" s="131">
        <v>78.712933753943219</v>
      </c>
      <c r="F113" s="262">
        <v>61093.13</v>
      </c>
      <c r="G113" s="262">
        <v>18827</v>
      </c>
      <c r="H113" s="262">
        <v>79920.13</v>
      </c>
    </row>
    <row r="114" spans="1:8">
      <c r="A114" s="2" t="s">
        <v>244</v>
      </c>
      <c r="B114" s="72">
        <v>7081</v>
      </c>
      <c r="C114" s="262">
        <v>577131</v>
      </c>
      <c r="D114" s="262"/>
      <c r="E114" s="131">
        <v>81.504166078237532</v>
      </c>
      <c r="F114" s="262">
        <v>67293.2</v>
      </c>
      <c r="G114" s="262">
        <v>20200</v>
      </c>
      <c r="H114" s="262">
        <v>87493.200000000012</v>
      </c>
    </row>
    <row r="115" spans="1:8">
      <c r="A115" s="2" t="s">
        <v>245</v>
      </c>
      <c r="B115" s="72">
        <v>99793</v>
      </c>
      <c r="C115" s="262">
        <v>3377269</v>
      </c>
      <c r="D115" s="262"/>
      <c r="E115" s="131">
        <v>33.842744481075826</v>
      </c>
      <c r="F115" s="262">
        <v>284409.57</v>
      </c>
      <c r="G115" s="262">
        <v>61529</v>
      </c>
      <c r="H115" s="262">
        <v>345938.57</v>
      </c>
    </row>
    <row r="116" spans="1:8">
      <c r="A116" s="2" t="s">
        <v>246</v>
      </c>
      <c r="B116" s="72">
        <v>14408</v>
      </c>
      <c r="C116" s="262">
        <v>2227878</v>
      </c>
      <c r="D116" s="262"/>
      <c r="E116" s="131">
        <v>154.62784564131039</v>
      </c>
      <c r="F116" s="262">
        <v>83817.38</v>
      </c>
      <c r="G116" s="262">
        <v>20000</v>
      </c>
      <c r="H116" s="262">
        <v>103817.38</v>
      </c>
    </row>
    <row r="117" spans="1:8">
      <c r="A117" s="2" t="s">
        <v>247</v>
      </c>
      <c r="B117" s="72">
        <v>8875</v>
      </c>
      <c r="C117" s="262">
        <v>500871</v>
      </c>
      <c r="D117" s="262"/>
      <c r="E117" s="131">
        <v>56.436169014084506</v>
      </c>
      <c r="F117" s="262">
        <v>25293.71</v>
      </c>
      <c r="G117" s="262">
        <v>59432</v>
      </c>
      <c r="H117" s="262">
        <v>84725.709999999992</v>
      </c>
    </row>
    <row r="118" spans="1:8">
      <c r="A118" s="2" t="s">
        <v>248</v>
      </c>
      <c r="B118" s="72">
        <v>6096</v>
      </c>
      <c r="C118" s="262">
        <v>260515</v>
      </c>
      <c r="D118" s="262"/>
      <c r="E118" s="131">
        <v>42.735400262467195</v>
      </c>
      <c r="F118" s="262">
        <v>60443.12</v>
      </c>
      <c r="G118" s="262">
        <v>18459</v>
      </c>
      <c r="H118" s="262">
        <v>78902.12000000001</v>
      </c>
    </row>
    <row r="119" spans="1:8">
      <c r="A119" s="2" t="s">
        <v>249</v>
      </c>
      <c r="B119" s="72">
        <v>68951</v>
      </c>
      <c r="C119" s="262">
        <v>2936420</v>
      </c>
      <c r="D119" s="262"/>
      <c r="E119" s="131">
        <v>42.587054574988038</v>
      </c>
      <c r="F119" s="262">
        <v>196509.87</v>
      </c>
      <c r="G119" s="262">
        <v>61529</v>
      </c>
      <c r="H119" s="262">
        <v>258038.87</v>
      </c>
    </row>
    <row r="120" spans="1:8">
      <c r="A120" s="2" t="s">
        <v>250</v>
      </c>
      <c r="B120" s="72">
        <v>2990</v>
      </c>
      <c r="C120" s="262">
        <v>205296</v>
      </c>
      <c r="D120" s="262"/>
      <c r="E120" s="131">
        <v>68.660869565217396</v>
      </c>
      <c r="F120" s="262">
        <v>50818.57</v>
      </c>
      <c r="G120" s="262">
        <v>18128</v>
      </c>
      <c r="H120" s="262">
        <v>68946.570000000007</v>
      </c>
    </row>
    <row r="121" spans="1:8">
      <c r="A121" s="2" t="s">
        <v>251</v>
      </c>
      <c r="B121" s="72">
        <v>5497</v>
      </c>
      <c r="C121" s="262">
        <v>428809</v>
      </c>
      <c r="D121" s="262"/>
      <c r="E121" s="131">
        <v>78.007822448608337</v>
      </c>
      <c r="F121" s="262">
        <v>58978.8</v>
      </c>
      <c r="G121" s="262">
        <v>24000</v>
      </c>
      <c r="H121" s="262">
        <v>82978.8</v>
      </c>
    </row>
    <row r="122" spans="1:8">
      <c r="A122" s="2" t="s">
        <v>252</v>
      </c>
      <c r="B122" s="72">
        <v>2593</v>
      </c>
      <c r="C122" s="262">
        <v>351069</v>
      </c>
      <c r="D122" s="262"/>
      <c r="E122" s="131">
        <v>135.39105283455456</v>
      </c>
      <c r="F122" s="262">
        <v>21506.91</v>
      </c>
      <c r="G122" s="262">
        <v>50000</v>
      </c>
      <c r="H122" s="262">
        <v>71506.91</v>
      </c>
    </row>
    <row r="123" spans="1:8">
      <c r="A123" s="2" t="s">
        <v>253</v>
      </c>
      <c r="B123" s="72">
        <v>9239</v>
      </c>
      <c r="C123" s="262">
        <v>819089.85</v>
      </c>
      <c r="D123" s="262"/>
      <c r="E123" s="131">
        <v>88.655682433163761</v>
      </c>
      <c r="F123" s="262">
        <v>73449.5</v>
      </c>
      <c r="G123" s="262">
        <v>20194</v>
      </c>
      <c r="H123" s="262">
        <v>93643.5</v>
      </c>
    </row>
    <row r="124" spans="1:8">
      <c r="A124" s="2" t="s">
        <v>254</v>
      </c>
      <c r="B124" s="72">
        <v>72857</v>
      </c>
      <c r="C124" s="262">
        <v>6178168</v>
      </c>
      <c r="D124" s="262"/>
      <c r="E124" s="131">
        <v>84.798550585393301</v>
      </c>
      <c r="F124" s="262">
        <v>207642.62</v>
      </c>
      <c r="G124" s="262">
        <v>57625</v>
      </c>
      <c r="H124" s="262">
        <v>265267.62</v>
      </c>
    </row>
    <row r="125" spans="1:8">
      <c r="A125" s="2" t="s">
        <v>255</v>
      </c>
      <c r="B125" s="72">
        <v>3608</v>
      </c>
      <c r="C125" s="262">
        <v>277944</v>
      </c>
      <c r="D125" s="262"/>
      <c r="E125" s="131">
        <v>77.035476718403544</v>
      </c>
      <c r="F125" s="262">
        <v>55164.66</v>
      </c>
      <c r="G125" s="262">
        <v>19235</v>
      </c>
      <c r="H125" s="262">
        <v>74399.66</v>
      </c>
    </row>
    <row r="126" spans="1:8">
      <c r="A126" s="2" t="s">
        <v>256</v>
      </c>
      <c r="B126" s="72">
        <v>7804</v>
      </c>
      <c r="C126" s="262">
        <v>519710</v>
      </c>
      <c r="D126" s="262"/>
      <c r="E126" s="131">
        <v>66.595335725269095</v>
      </c>
      <c r="F126" s="262">
        <v>59495.98</v>
      </c>
      <c r="G126" s="262">
        <v>25500</v>
      </c>
      <c r="H126" s="262">
        <v>84995.98000000001</v>
      </c>
    </row>
    <row r="127" spans="1:8">
      <c r="A127" s="2" t="s">
        <v>257</v>
      </c>
      <c r="B127" s="72">
        <v>79634</v>
      </c>
      <c r="C127" s="262">
        <v>6889054</v>
      </c>
      <c r="D127" s="262"/>
      <c r="E127" s="131">
        <v>86.508953462089053</v>
      </c>
      <c r="F127" s="262">
        <v>226957.07</v>
      </c>
      <c r="G127" s="262">
        <v>57625</v>
      </c>
      <c r="H127" s="262">
        <v>284582.07</v>
      </c>
    </row>
    <row r="128" spans="1:8">
      <c r="A128" s="2" t="s">
        <v>258</v>
      </c>
      <c r="B128" s="72">
        <v>53552</v>
      </c>
      <c r="C128" s="262">
        <v>2296282</v>
      </c>
      <c r="D128" s="262"/>
      <c r="E128" s="131">
        <v>42.879481625336119</v>
      </c>
      <c r="F128" s="262">
        <v>176161.36</v>
      </c>
      <c r="G128" s="262">
        <v>35000</v>
      </c>
      <c r="H128" s="262">
        <v>211161.36000000002</v>
      </c>
    </row>
    <row r="129" spans="1:15">
      <c r="A129" s="2" t="s">
        <v>285</v>
      </c>
      <c r="B129" s="72">
        <v>59782</v>
      </c>
      <c r="C129" s="262">
        <v>1637183</v>
      </c>
      <c r="D129" s="262"/>
      <c r="E129" s="131">
        <v>27.385885383560268</v>
      </c>
      <c r="F129" s="262">
        <v>170378.86</v>
      </c>
      <c r="G129" s="262">
        <v>58538</v>
      </c>
      <c r="H129" s="262">
        <v>228916.86000000002</v>
      </c>
    </row>
    <row r="130" spans="1:15">
      <c r="A130" s="2" t="s">
        <v>260</v>
      </c>
      <c r="B130" s="72">
        <v>221894</v>
      </c>
      <c r="C130" s="262">
        <v>15971426</v>
      </c>
      <c r="D130" s="262"/>
      <c r="E130" s="131">
        <v>71.977728104410218</v>
      </c>
      <c r="F130" s="262">
        <v>632397.9</v>
      </c>
      <c r="G130" s="262">
        <v>52300</v>
      </c>
      <c r="H130" s="262">
        <v>684697.9</v>
      </c>
    </row>
    <row r="131" spans="1:15">
      <c r="A131" s="2" t="s">
        <v>261</v>
      </c>
      <c r="B131" s="72">
        <v>55175</v>
      </c>
      <c r="C131" s="262">
        <v>8110387</v>
      </c>
      <c r="D131" s="262"/>
      <c r="E131" s="131">
        <v>146.99387403715451</v>
      </c>
      <c r="F131" s="262">
        <v>157248.92000000001</v>
      </c>
      <c r="G131" s="262">
        <v>57625</v>
      </c>
      <c r="H131" s="262">
        <v>214873.91999999998</v>
      </c>
    </row>
    <row r="132" spans="1:15">
      <c r="A132" s="2" t="s">
        <v>286</v>
      </c>
      <c r="B132" s="72">
        <v>17647</v>
      </c>
      <c r="C132" s="262">
        <v>256565</v>
      </c>
      <c r="D132" s="262"/>
      <c r="E132" s="131">
        <v>14.538731795772653</v>
      </c>
      <c r="F132" s="262">
        <v>90629.119999999995</v>
      </c>
      <c r="G132" s="262">
        <v>17290</v>
      </c>
      <c r="H132" s="262">
        <v>107919.12</v>
      </c>
    </row>
    <row r="133" spans="1:15">
      <c r="A133" s="2"/>
      <c r="B133" s="374"/>
      <c r="C133" s="14"/>
      <c r="D133" s="14"/>
      <c r="E133" s="57"/>
      <c r="F133" s="14"/>
      <c r="G133" s="14"/>
      <c r="H133" s="14"/>
    </row>
    <row r="134" spans="1:15">
      <c r="A134" s="7"/>
      <c r="B134" s="68"/>
      <c r="C134" s="263"/>
      <c r="D134" s="263"/>
      <c r="E134" s="58"/>
      <c r="F134" s="263"/>
      <c r="G134" s="263"/>
      <c r="H134" s="263"/>
    </row>
    <row r="135" spans="1:15">
      <c r="A135" s="2"/>
      <c r="B135" s="374"/>
      <c r="C135" s="14"/>
      <c r="D135" s="14"/>
      <c r="E135" s="57"/>
      <c r="F135" s="14"/>
      <c r="G135" s="14"/>
      <c r="H135" s="14"/>
    </row>
    <row r="136" spans="1:15" s="339" customFormat="1">
      <c r="A136" s="7" t="s">
        <v>263</v>
      </c>
      <c r="B136" s="375">
        <f>SUM(B6:B132)</f>
        <v>8476563</v>
      </c>
      <c r="C136" s="375">
        <f>SUM(C6:C132)</f>
        <v>444928398.44</v>
      </c>
      <c r="D136" s="375"/>
      <c r="E136" s="375"/>
      <c r="F136" s="375">
        <f>SUM(F6:F132)</f>
        <v>27314831.470000014</v>
      </c>
      <c r="G136" s="375">
        <f>SUM(G6:G132)</f>
        <v>4543425</v>
      </c>
      <c r="H136" s="375">
        <f>SUM(H6:H132)</f>
        <v>31858256.47000001</v>
      </c>
      <c r="I136" s="89"/>
      <c r="J136" s="89"/>
      <c r="K136" s="89"/>
      <c r="L136" s="89"/>
      <c r="M136" s="89"/>
      <c r="N136" s="89"/>
      <c r="O136" s="89"/>
    </row>
    <row r="137" spans="1:15">
      <c r="A137" s="7"/>
      <c r="B137" s="68"/>
      <c r="C137" s="263"/>
      <c r="D137" s="263"/>
      <c r="E137" s="162"/>
      <c r="F137" s="263"/>
      <c r="G137" s="263"/>
      <c r="H137" s="263"/>
    </row>
    <row r="138" spans="1:15">
      <c r="A138" s="2" t="s">
        <v>267</v>
      </c>
      <c r="B138" s="72"/>
      <c r="C138" s="262"/>
      <c r="D138" s="262"/>
      <c r="E138" s="131"/>
      <c r="F138" s="262"/>
      <c r="G138" s="262"/>
      <c r="H138" s="262"/>
    </row>
    <row r="139" spans="1:15">
      <c r="A139" s="7"/>
      <c r="B139" s="68"/>
      <c r="C139" s="263"/>
      <c r="D139" s="263"/>
      <c r="E139" s="162"/>
      <c r="F139" s="263"/>
      <c r="G139" s="263"/>
      <c r="H139" s="263"/>
    </row>
    <row r="140" spans="1:15">
      <c r="A140" s="7" t="s">
        <v>268</v>
      </c>
      <c r="B140" s="68">
        <f>AVERAGE(B6:B132)</f>
        <v>66744.5905511811</v>
      </c>
      <c r="C140" s="68">
        <f>AVERAGE(C6:C132)</f>
        <v>3503373.2160629919</v>
      </c>
      <c r="D140" s="68"/>
      <c r="E140" s="349">
        <f>AVERAGE(E6:E132)</f>
        <v>64.680298588594596</v>
      </c>
      <c r="F140" s="68">
        <f>AVERAGE(F6:F132)</f>
        <v>215077.41314960641</v>
      </c>
      <c r="G140" s="68">
        <f>AVERAGE(G6:G132)</f>
        <v>35775</v>
      </c>
      <c r="H140" s="68">
        <f>AVERAGE(H6:H132)</f>
        <v>250852.41314960638</v>
      </c>
      <c r="I140" s="89"/>
    </row>
    <row r="141" spans="1:15">
      <c r="A141" s="7" t="s">
        <v>269</v>
      </c>
      <c r="B141" s="68">
        <f>MEDIAN(B6:B132)</f>
        <v>26214</v>
      </c>
      <c r="C141" s="68">
        <f>MEDIAN(C6:C132)</f>
        <v>1637183</v>
      </c>
      <c r="D141" s="68"/>
      <c r="E141" s="349">
        <f>MEDIAN(E6:E132)</f>
        <v>58.26548247719635</v>
      </c>
      <c r="F141" s="68">
        <f>MEDIAN(F6:F132)</f>
        <v>106380.22</v>
      </c>
      <c r="G141" s="68">
        <f>MEDIAN(G6:G132)</f>
        <v>24000</v>
      </c>
      <c r="H141" s="68">
        <f>MEDIAN(H6:H132)</f>
        <v>137464.48000000001</v>
      </c>
      <c r="I141" s="89"/>
    </row>
    <row r="142" spans="1:15">
      <c r="A142" s="7" t="s">
        <v>270</v>
      </c>
      <c r="B142" s="68">
        <f>MAX(B6:B132)</f>
        <v>438843</v>
      </c>
      <c r="C142" s="68">
        <f>MAX(C6:C132)</f>
        <v>18516506</v>
      </c>
      <c r="D142" s="68"/>
      <c r="E142" s="349">
        <f>MAX(E6:E132)</f>
        <v>161.7177700348432</v>
      </c>
      <c r="F142" s="68">
        <f>MAX(F6:F132)</f>
        <v>1250702.55</v>
      </c>
      <c r="G142" s="68">
        <f>MAX(G6:G132)</f>
        <v>67312</v>
      </c>
      <c r="H142" s="68">
        <f>MAX(H6:H132)</f>
        <v>1300702.55</v>
      </c>
      <c r="I142" s="89"/>
    </row>
    <row r="143" spans="1:15">
      <c r="A143" s="7" t="s">
        <v>271</v>
      </c>
      <c r="B143" s="68">
        <f>MIN(B6:B132)</f>
        <v>1408</v>
      </c>
      <c r="C143" s="68">
        <f>MIN(C6:C132)</f>
        <v>124400</v>
      </c>
      <c r="D143" s="68"/>
      <c r="E143" s="349">
        <f>MIN(E6:E132)</f>
        <v>14.538731795772653</v>
      </c>
      <c r="F143" s="68">
        <f>MIN(F6:F132)</f>
        <v>21506.91</v>
      </c>
      <c r="G143" s="68">
        <f>MIN(G6:G132)</f>
        <v>15000</v>
      </c>
      <c r="H143" s="68">
        <f>MIN(H6:H132)</f>
        <v>68946.570000000007</v>
      </c>
      <c r="I143" s="89"/>
    </row>
    <row r="144" spans="1:15">
      <c r="C144" s="131"/>
      <c r="D144" s="14"/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AB63"/>
  <sheetViews>
    <sheetView zoomScaleNormal="100" workbookViewId="0">
      <pane ySplit="9" topLeftCell="A20" activePane="bottomLeft" state="frozen"/>
      <selection pane="bottomLeft"/>
    </sheetView>
  </sheetViews>
  <sheetFormatPr defaultColWidth="8.85546875" defaultRowHeight="12.75"/>
  <cols>
    <col min="1" max="1" width="10.140625" style="128" customWidth="1"/>
    <col min="2" max="2" width="16.85546875" style="128" customWidth="1"/>
    <col min="3" max="3" width="13" style="128" customWidth="1"/>
    <col min="4" max="4" width="9.140625" style="128" customWidth="1"/>
    <col min="5" max="5" width="15.7109375" style="128" customWidth="1"/>
    <col min="6" max="6" width="9.85546875" style="128" customWidth="1"/>
    <col min="7" max="7" width="12.5703125" style="128" customWidth="1"/>
    <col min="8" max="8" width="9.140625" style="128" customWidth="1"/>
    <col min="9" max="9" width="6.42578125" style="128" bestFit="1" customWidth="1"/>
    <col min="10" max="10" width="12.5703125" style="128" customWidth="1"/>
    <col min="11" max="11" width="9.28515625" style="128" bestFit="1" customWidth="1"/>
    <col min="12" max="12" width="10.5703125" style="128" bestFit="1" customWidth="1"/>
    <col min="13" max="13" width="12.42578125" style="128" customWidth="1"/>
    <col min="14" max="14" width="8.5703125" style="128" customWidth="1"/>
    <col min="15" max="15" width="8.140625" style="128" customWidth="1"/>
    <col min="16" max="16384" width="8.85546875" style="128"/>
  </cols>
  <sheetData>
    <row r="1" spans="1:28" ht="15">
      <c r="A1" s="9" t="s">
        <v>287</v>
      </c>
    </row>
    <row r="2" spans="1:28">
      <c r="A2" s="2"/>
      <c r="F2" s="5"/>
    </row>
    <row r="3" spans="1:28" ht="13.5" customHeight="1">
      <c r="A3" s="31" t="s">
        <v>95</v>
      </c>
    </row>
    <row r="4" spans="1:28" ht="14.25" customHeight="1"/>
    <row r="5" spans="1:28">
      <c r="A5" s="3" t="s">
        <v>288</v>
      </c>
    </row>
    <row r="6" spans="1:28" ht="12.75" customHeight="1"/>
    <row r="8" spans="1:28" ht="39" customHeight="1">
      <c r="B8" s="105" t="s">
        <v>96</v>
      </c>
      <c r="C8" s="105" t="s">
        <v>115</v>
      </c>
      <c r="D8" s="129" t="s">
        <v>98</v>
      </c>
      <c r="E8" s="105" t="s">
        <v>274</v>
      </c>
      <c r="F8" s="129" t="s">
        <v>98</v>
      </c>
      <c r="G8" s="105" t="s">
        <v>289</v>
      </c>
    </row>
    <row r="9" spans="1:28">
      <c r="C9" s="129" t="s">
        <v>102</v>
      </c>
      <c r="D9" s="129" t="s">
        <v>102</v>
      </c>
      <c r="E9" s="129" t="s">
        <v>102</v>
      </c>
      <c r="F9" s="129" t="s">
        <v>102</v>
      </c>
      <c r="G9" s="129" t="s">
        <v>102</v>
      </c>
    </row>
    <row r="10" spans="1:28">
      <c r="A10" s="6" t="s">
        <v>290</v>
      </c>
      <c r="M10" s="2"/>
      <c r="N10" s="2"/>
      <c r="O10" s="33"/>
      <c r="R10" s="2"/>
      <c r="S10" s="2"/>
      <c r="T10" s="33"/>
      <c r="V10" s="2"/>
      <c r="W10" s="2"/>
      <c r="X10" s="33"/>
      <c r="Z10" s="2"/>
      <c r="AA10" s="2"/>
      <c r="AB10" s="33"/>
    </row>
    <row r="11" spans="1:28">
      <c r="A11" s="2"/>
      <c r="M11" s="2"/>
      <c r="N11" s="2"/>
      <c r="O11" s="33"/>
      <c r="R11" s="2"/>
      <c r="S11" s="2"/>
      <c r="T11" s="33"/>
      <c r="V11" s="2"/>
      <c r="W11" s="2"/>
      <c r="X11" s="33"/>
      <c r="Z11" s="2"/>
      <c r="AA11" s="5"/>
      <c r="AB11" s="33"/>
    </row>
    <row r="12" spans="1:28">
      <c r="A12" s="7" t="s">
        <v>291</v>
      </c>
      <c r="M12" s="2"/>
      <c r="N12" s="2"/>
      <c r="O12" s="33"/>
      <c r="R12" s="2"/>
      <c r="S12" s="2"/>
      <c r="T12" s="33"/>
      <c r="V12" s="2"/>
      <c r="W12" s="2"/>
      <c r="X12" s="33"/>
      <c r="Z12" s="2"/>
      <c r="AA12" s="2"/>
      <c r="AB12" s="33"/>
    </row>
    <row r="13" spans="1:28">
      <c r="A13" s="2" t="s">
        <v>240</v>
      </c>
      <c r="B13" s="33">
        <v>237278</v>
      </c>
      <c r="C13" s="269">
        <v>27789419.740000002</v>
      </c>
      <c r="D13" s="323">
        <v>117.11755721137233</v>
      </c>
      <c r="E13" s="271">
        <v>16529384</v>
      </c>
      <c r="F13" s="253">
        <v>69.662522442030024</v>
      </c>
      <c r="G13" s="271">
        <v>726242.3</v>
      </c>
      <c r="M13" s="2"/>
      <c r="N13" s="2"/>
      <c r="O13" s="33"/>
      <c r="R13" s="2"/>
      <c r="S13" s="2"/>
      <c r="T13" s="33"/>
      <c r="V13" s="2"/>
      <c r="W13" s="171"/>
      <c r="X13" s="33"/>
      <c r="Z13" s="2"/>
      <c r="AA13" s="2"/>
      <c r="AB13" s="33"/>
    </row>
    <row r="14" spans="1:28">
      <c r="A14" s="2"/>
      <c r="C14" s="324"/>
      <c r="D14" s="325"/>
      <c r="E14" s="324"/>
      <c r="F14" s="325"/>
      <c r="G14" s="324"/>
      <c r="M14" s="2"/>
      <c r="N14" s="2"/>
      <c r="O14" s="33"/>
      <c r="R14" s="2"/>
      <c r="S14" s="2"/>
      <c r="T14" s="33"/>
      <c r="V14" s="2"/>
      <c r="W14" s="2"/>
      <c r="X14" s="33"/>
      <c r="Z14" s="2"/>
      <c r="AA14" s="2"/>
      <c r="AB14" s="33"/>
    </row>
    <row r="15" spans="1:28">
      <c r="A15" s="7" t="s">
        <v>292</v>
      </c>
      <c r="B15" s="2"/>
      <c r="C15" s="269"/>
      <c r="D15" s="323"/>
      <c r="E15" s="269"/>
      <c r="F15" s="323"/>
      <c r="G15" s="271"/>
      <c r="M15" s="2"/>
      <c r="N15" s="2"/>
      <c r="O15" s="33"/>
      <c r="R15" s="2"/>
      <c r="S15" s="2"/>
      <c r="T15" s="33"/>
      <c r="V15" s="2"/>
      <c r="W15" s="2"/>
      <c r="X15" s="33"/>
      <c r="Z15" s="2"/>
      <c r="AA15" s="2"/>
      <c r="AB15" s="33"/>
    </row>
    <row r="16" spans="1:28">
      <c r="A16" s="7" t="s">
        <v>268</v>
      </c>
      <c r="B16" s="326">
        <v>154710.58333333334</v>
      </c>
      <c r="C16" s="359">
        <v>9181247.8341666665</v>
      </c>
      <c r="D16" s="356">
        <v>59.344665609495571</v>
      </c>
      <c r="E16" s="327">
        <v>5177035.6016666666</v>
      </c>
      <c r="F16" s="328">
        <v>65.17311899249809</v>
      </c>
      <c r="G16" s="327">
        <v>489873</v>
      </c>
      <c r="M16" s="2"/>
      <c r="N16" s="2"/>
      <c r="O16" s="33"/>
      <c r="R16" s="2"/>
      <c r="S16" s="2"/>
      <c r="T16" s="33"/>
      <c r="V16" s="2"/>
      <c r="W16" s="2"/>
      <c r="X16" s="33"/>
      <c r="Z16" s="2"/>
      <c r="AA16" s="2"/>
      <c r="AB16" s="33"/>
    </row>
    <row r="17" spans="1:28">
      <c r="A17" s="7" t="s">
        <v>269</v>
      </c>
      <c r="B17" s="326">
        <v>139047</v>
      </c>
      <c r="C17" s="359">
        <v>8275397.9100000001</v>
      </c>
      <c r="D17" s="356">
        <v>59.515112947420654</v>
      </c>
      <c r="E17" s="327">
        <v>2442239</v>
      </c>
      <c r="F17" s="328">
        <v>57.618650805553969</v>
      </c>
      <c r="G17" s="327">
        <v>444416</v>
      </c>
      <c r="M17" s="2"/>
      <c r="N17" s="2"/>
      <c r="O17" s="33"/>
      <c r="R17" s="2"/>
      <c r="S17" s="2"/>
      <c r="T17" s="33"/>
      <c r="V17" s="2"/>
      <c r="W17" s="2"/>
      <c r="X17" s="33"/>
      <c r="Z17" s="2"/>
      <c r="AA17" s="2"/>
      <c r="AB17" s="33"/>
    </row>
    <row r="18" spans="1:28">
      <c r="A18" s="7" t="s">
        <v>270</v>
      </c>
      <c r="B18" s="326">
        <v>438843</v>
      </c>
      <c r="C18" s="359">
        <v>22500300.68</v>
      </c>
      <c r="D18" s="356">
        <v>51.271868709310617</v>
      </c>
      <c r="E18" s="327">
        <v>16529384</v>
      </c>
      <c r="F18" s="328">
        <v>146.99387403715451</v>
      </c>
      <c r="G18" s="327">
        <v>1264676</v>
      </c>
      <c r="M18" s="2"/>
      <c r="N18" s="2"/>
      <c r="O18" s="33"/>
      <c r="R18" s="2"/>
      <c r="S18" s="2"/>
      <c r="T18" s="33"/>
      <c r="V18" s="2"/>
      <c r="W18" s="2"/>
      <c r="X18" s="33"/>
      <c r="Z18" s="2"/>
      <c r="AA18" s="2"/>
      <c r="AB18" s="33"/>
    </row>
    <row r="19" spans="1:28">
      <c r="A19" s="7" t="s">
        <v>271</v>
      </c>
      <c r="B19" s="326">
        <v>14062</v>
      </c>
      <c r="C19" s="359">
        <v>430792.08</v>
      </c>
      <c r="D19" s="356">
        <v>30.635192717963307</v>
      </c>
      <c r="E19" s="327">
        <v>361000</v>
      </c>
      <c r="F19" s="328">
        <v>30.691269724229464</v>
      </c>
      <c r="G19" s="327">
        <v>97628</v>
      </c>
      <c r="M19" s="2"/>
      <c r="N19" s="2"/>
      <c r="O19" s="33"/>
      <c r="R19" s="2"/>
      <c r="S19" s="2"/>
      <c r="T19" s="33"/>
      <c r="V19" s="2"/>
      <c r="W19" s="2"/>
      <c r="X19" s="33"/>
      <c r="Z19" s="2"/>
      <c r="AA19" s="2"/>
      <c r="AB19" s="33"/>
    </row>
    <row r="20" spans="1:28">
      <c r="A20" s="7"/>
      <c r="B20" s="2"/>
      <c r="C20" s="269"/>
      <c r="D20" s="323"/>
      <c r="E20" s="269"/>
      <c r="F20" s="323"/>
      <c r="G20" s="271"/>
      <c r="M20" s="2"/>
      <c r="N20" s="2"/>
      <c r="O20" s="33"/>
      <c r="R20" s="2"/>
      <c r="S20" s="2"/>
      <c r="T20" s="33"/>
      <c r="V20" s="2"/>
      <c r="W20" s="2"/>
      <c r="X20" s="33"/>
    </row>
    <row r="21" spans="1:28">
      <c r="A21" s="7" t="s">
        <v>293</v>
      </c>
      <c r="B21" s="2"/>
      <c r="C21" s="269"/>
      <c r="D21" s="323"/>
      <c r="E21" s="269"/>
      <c r="F21" s="323"/>
      <c r="G21" s="271"/>
      <c r="M21" s="2"/>
      <c r="N21" s="2"/>
      <c r="O21" s="33"/>
      <c r="R21" s="2"/>
      <c r="S21" s="2"/>
      <c r="T21" s="33"/>
      <c r="V21" s="2"/>
      <c r="W21" s="2"/>
      <c r="X21" s="33"/>
    </row>
    <row r="22" spans="1:28">
      <c r="A22" s="7" t="s">
        <v>268</v>
      </c>
      <c r="B22" s="329">
        <v>64290.105263157893</v>
      </c>
      <c r="C22" s="360">
        <v>3585519.6863157889</v>
      </c>
      <c r="D22" s="357">
        <v>55.770941292431012</v>
      </c>
      <c r="E22" s="271">
        <v>3171702.5211111107</v>
      </c>
      <c r="F22" s="323">
        <v>60.047857361938945</v>
      </c>
      <c r="G22" s="271">
        <v>242502</v>
      </c>
      <c r="M22" s="2"/>
      <c r="N22" s="171"/>
      <c r="O22" s="33"/>
      <c r="R22" s="2"/>
      <c r="S22" s="171"/>
      <c r="T22" s="33"/>
      <c r="V22" s="2"/>
      <c r="W22" s="2"/>
      <c r="X22" s="33"/>
    </row>
    <row r="23" spans="1:28">
      <c r="A23" s="7" t="s">
        <v>269</v>
      </c>
      <c r="B23" s="329">
        <v>50743.5</v>
      </c>
      <c r="C23" s="360">
        <v>2591054.0550000002</v>
      </c>
      <c r="D23" s="357">
        <v>51.0617922492536</v>
      </c>
      <c r="E23" s="271">
        <v>2201187.5</v>
      </c>
      <c r="F23" s="323">
        <v>54.011041760957369</v>
      </c>
      <c r="G23" s="271">
        <v>202038</v>
      </c>
      <c r="M23" s="2"/>
      <c r="N23" s="2"/>
      <c r="O23" s="33"/>
      <c r="R23" s="2"/>
      <c r="S23" s="2"/>
      <c r="T23" s="33"/>
      <c r="V23" s="2"/>
      <c r="W23" s="2"/>
      <c r="X23" s="33"/>
    </row>
    <row r="24" spans="1:28">
      <c r="A24" s="7" t="s">
        <v>270</v>
      </c>
      <c r="B24" s="329">
        <v>221894</v>
      </c>
      <c r="C24" s="360">
        <v>16075117.539999999</v>
      </c>
      <c r="D24" s="357">
        <v>72.445030239663978</v>
      </c>
      <c r="E24" s="271">
        <v>15971426</v>
      </c>
      <c r="F24" s="323">
        <v>141.2293897882939</v>
      </c>
      <c r="G24" s="271">
        <v>677245</v>
      </c>
      <c r="M24" s="2"/>
      <c r="N24" s="2"/>
      <c r="O24" s="33"/>
      <c r="R24" s="2"/>
      <c r="S24" s="2"/>
      <c r="T24" s="33"/>
      <c r="V24" s="2"/>
      <c r="W24" s="2"/>
      <c r="X24" s="33"/>
    </row>
    <row r="25" spans="1:28">
      <c r="A25" s="7" t="s">
        <v>271</v>
      </c>
      <c r="B25" s="329">
        <v>8411</v>
      </c>
      <c r="C25" s="360">
        <v>643213.27</v>
      </c>
      <c r="D25" s="357">
        <v>76.472865295446439</v>
      </c>
      <c r="E25" s="271">
        <v>236154</v>
      </c>
      <c r="F25" s="323">
        <v>28.435808840026922</v>
      </c>
      <c r="G25" s="271">
        <v>86780</v>
      </c>
      <c r="M25" s="2"/>
      <c r="N25" s="2"/>
      <c r="O25" s="33"/>
      <c r="R25" s="2"/>
      <c r="S25" s="2"/>
      <c r="T25" s="33"/>
      <c r="V25" s="2"/>
      <c r="W25" s="2"/>
      <c r="X25" s="33"/>
    </row>
    <row r="26" spans="1:28">
      <c r="A26" s="7"/>
      <c r="B26" s="2"/>
      <c r="C26" s="269"/>
      <c r="D26" s="323"/>
      <c r="E26" s="324"/>
      <c r="F26" s="323"/>
      <c r="G26" s="271"/>
      <c r="M26" s="2"/>
      <c r="N26" s="2"/>
      <c r="O26" s="33"/>
      <c r="R26" s="2"/>
      <c r="S26" s="2"/>
      <c r="T26" s="33"/>
      <c r="V26" s="2"/>
      <c r="W26" s="2"/>
      <c r="X26" s="33"/>
    </row>
    <row r="27" spans="1:28">
      <c r="A27" s="7" t="s">
        <v>294</v>
      </c>
      <c r="B27" s="2"/>
      <c r="C27" s="269"/>
      <c r="D27" s="323"/>
      <c r="E27" s="269"/>
      <c r="F27" s="323"/>
      <c r="G27" s="271"/>
      <c r="M27" s="2"/>
      <c r="N27" s="2"/>
      <c r="O27" s="33"/>
      <c r="R27" s="2"/>
      <c r="S27" s="2"/>
      <c r="T27" s="33"/>
      <c r="V27" s="2"/>
      <c r="W27" s="2"/>
      <c r="X27" s="33"/>
    </row>
    <row r="28" spans="1:28">
      <c r="A28" s="7" t="s">
        <v>268</v>
      </c>
      <c r="B28" s="326">
        <v>174562.8</v>
      </c>
      <c r="C28" s="359">
        <v>10075231.965</v>
      </c>
      <c r="D28" s="358">
        <v>57.716947511153585</v>
      </c>
      <c r="E28" s="271">
        <v>3584613.65</v>
      </c>
      <c r="F28" s="253">
        <v>64.242567830349728</v>
      </c>
      <c r="G28" s="271">
        <v>541360</v>
      </c>
      <c r="M28" s="2"/>
      <c r="N28" s="2"/>
      <c r="O28" s="33"/>
      <c r="R28" s="2"/>
      <c r="S28" s="2"/>
      <c r="T28" s="33"/>
      <c r="V28" s="2"/>
      <c r="W28" s="2"/>
      <c r="X28" s="33"/>
    </row>
    <row r="29" spans="1:28">
      <c r="A29" s="7" t="s">
        <v>269</v>
      </c>
      <c r="B29" s="326">
        <v>171568.5</v>
      </c>
      <c r="C29" s="359">
        <v>7866694.79</v>
      </c>
      <c r="D29" s="358">
        <v>45.851626551494007</v>
      </c>
      <c r="E29" s="271">
        <v>1375809</v>
      </c>
      <c r="F29" s="253">
        <v>54.572311722519387</v>
      </c>
      <c r="G29" s="271">
        <v>534648</v>
      </c>
      <c r="M29" s="2"/>
      <c r="N29" s="2"/>
      <c r="O29" s="33"/>
      <c r="R29" s="2"/>
      <c r="S29" s="2"/>
      <c r="T29" s="33"/>
      <c r="V29" s="2"/>
      <c r="W29" s="2"/>
      <c r="X29" s="33"/>
    </row>
    <row r="30" spans="1:28">
      <c r="A30" s="7" t="s">
        <v>270</v>
      </c>
      <c r="B30" s="326">
        <v>354803</v>
      </c>
      <c r="C30" s="359">
        <v>37409227.129999995</v>
      </c>
      <c r="D30" s="358">
        <v>105.43661448747613</v>
      </c>
      <c r="E30" s="271">
        <v>18516506</v>
      </c>
      <c r="F30" s="253">
        <v>153.68241805023413</v>
      </c>
      <c r="G30" s="271">
        <v>1054876</v>
      </c>
      <c r="M30" s="2"/>
      <c r="N30" s="2"/>
      <c r="O30" s="33"/>
      <c r="R30" s="2"/>
      <c r="S30" s="2"/>
      <c r="T30" s="33"/>
      <c r="V30" s="2"/>
      <c r="W30" s="2"/>
      <c r="X30" s="33"/>
    </row>
    <row r="31" spans="1:28">
      <c r="A31" s="7" t="s">
        <v>271</v>
      </c>
      <c r="B31" s="326">
        <v>59782</v>
      </c>
      <c r="C31" s="359">
        <v>2096641.95</v>
      </c>
      <c r="D31" s="358">
        <v>35.071458800307781</v>
      </c>
      <c r="E31" s="271">
        <v>255360</v>
      </c>
      <c r="F31" s="253">
        <v>27.385885383560268</v>
      </c>
      <c r="G31" s="271">
        <v>222744</v>
      </c>
      <c r="M31" s="2"/>
      <c r="N31" s="2"/>
      <c r="O31" s="33"/>
      <c r="R31" s="2"/>
      <c r="S31" s="2"/>
      <c r="T31" s="33"/>
      <c r="V31" s="2"/>
      <c r="W31" s="171"/>
      <c r="X31" s="33"/>
    </row>
    <row r="32" spans="1:28">
      <c r="A32" s="2"/>
      <c r="B32" s="2"/>
      <c r="C32" s="269"/>
      <c r="D32" s="323"/>
      <c r="E32" s="269"/>
      <c r="F32" s="323"/>
      <c r="G32" s="271"/>
      <c r="M32" s="2"/>
      <c r="N32" s="2"/>
      <c r="O32" s="33"/>
      <c r="R32" s="2"/>
      <c r="S32" s="2"/>
      <c r="T32" s="33"/>
      <c r="V32" s="2"/>
      <c r="W32" s="2"/>
      <c r="X32" s="33"/>
    </row>
    <row r="33" spans="1:24">
      <c r="A33" s="8" t="s">
        <v>295</v>
      </c>
      <c r="B33" s="2"/>
      <c r="C33" s="269"/>
      <c r="D33" s="323"/>
      <c r="E33" s="269"/>
      <c r="F33" s="323"/>
      <c r="G33" s="271"/>
      <c r="M33" s="2"/>
      <c r="N33" s="2"/>
      <c r="O33" s="33"/>
      <c r="V33" s="2"/>
      <c r="W33" s="2"/>
      <c r="X33" s="33"/>
    </row>
    <row r="34" spans="1:24">
      <c r="A34" s="2"/>
      <c r="B34" s="2"/>
      <c r="C34" s="269"/>
      <c r="D34" s="323"/>
      <c r="E34" s="269"/>
      <c r="F34" s="323"/>
      <c r="G34" s="271"/>
      <c r="M34" s="2"/>
      <c r="N34" s="2"/>
      <c r="O34" s="33"/>
      <c r="V34" s="2"/>
      <c r="W34" s="2"/>
      <c r="X34" s="33"/>
    </row>
    <row r="35" spans="1:24">
      <c r="A35" s="7" t="s">
        <v>296</v>
      </c>
      <c r="B35" s="2"/>
      <c r="C35" s="269"/>
      <c r="D35" s="323"/>
      <c r="E35" s="269"/>
      <c r="F35" s="323"/>
      <c r="G35" s="271"/>
      <c r="M35" s="2"/>
      <c r="N35" s="2"/>
      <c r="O35" s="33"/>
      <c r="V35" s="2"/>
      <c r="W35" s="2"/>
      <c r="X35" s="33"/>
    </row>
    <row r="36" spans="1:24">
      <c r="A36" s="7" t="s">
        <v>268</v>
      </c>
      <c r="B36" s="326">
        <v>8752.0555555555547</v>
      </c>
      <c r="C36" s="359">
        <v>651612.71555555554</v>
      </c>
      <c r="D36" s="358">
        <v>74.45253419831532</v>
      </c>
      <c r="E36" s="271">
        <v>2986889.598867924</v>
      </c>
      <c r="F36" s="323">
        <v>68.101485928539191</v>
      </c>
      <c r="G36" s="271">
        <v>88684</v>
      </c>
      <c r="M36" s="2"/>
      <c r="N36" s="2"/>
      <c r="O36" s="33"/>
      <c r="V36" s="2"/>
      <c r="W36" s="2"/>
      <c r="X36" s="33"/>
    </row>
    <row r="37" spans="1:24">
      <c r="A37" s="7" t="s">
        <v>269</v>
      </c>
      <c r="B37" s="329">
        <v>7785.5</v>
      </c>
      <c r="C37" s="360">
        <v>550856.89</v>
      </c>
      <c r="D37" s="357">
        <v>70.754208464453157</v>
      </c>
      <c r="E37" s="268">
        <v>961488</v>
      </c>
      <c r="F37" s="323">
        <v>64.981895284405738</v>
      </c>
      <c r="G37" s="271">
        <v>85925</v>
      </c>
      <c r="M37" s="2"/>
      <c r="N37" s="2"/>
      <c r="O37" s="33"/>
      <c r="R37" s="2"/>
      <c r="S37" s="2"/>
      <c r="T37" s="33"/>
      <c r="V37" s="2"/>
      <c r="W37" s="2"/>
      <c r="X37" s="33"/>
    </row>
    <row r="38" spans="1:24">
      <c r="A38" s="7" t="s">
        <v>270</v>
      </c>
      <c r="B38" s="329">
        <v>20986</v>
      </c>
      <c r="C38" s="360">
        <v>1494769.01</v>
      </c>
      <c r="D38" s="357">
        <v>71.22696130753836</v>
      </c>
      <c r="E38" s="268">
        <v>16020444</v>
      </c>
      <c r="F38" s="323">
        <v>161.7177700348432</v>
      </c>
      <c r="G38" s="271">
        <v>126518</v>
      </c>
      <c r="M38" s="2"/>
      <c r="N38" s="2"/>
      <c r="O38" s="33"/>
      <c r="R38" s="2"/>
      <c r="S38" s="2"/>
      <c r="T38" s="33"/>
      <c r="V38" s="2"/>
      <c r="W38" s="2"/>
      <c r="X38" s="33"/>
    </row>
    <row r="39" spans="1:24">
      <c r="A39" s="7" t="s">
        <v>271</v>
      </c>
      <c r="B39" s="329">
        <v>1408</v>
      </c>
      <c r="C39" s="360">
        <v>92950.56</v>
      </c>
      <c r="D39" s="357">
        <v>66.016022727272727</v>
      </c>
      <c r="E39" s="268">
        <v>124400</v>
      </c>
      <c r="F39" s="323">
        <v>14.538731795772653</v>
      </c>
      <c r="G39" s="271">
        <v>68884</v>
      </c>
      <c r="M39" s="2"/>
      <c r="N39" s="2"/>
      <c r="O39" s="33"/>
      <c r="V39" s="2"/>
      <c r="W39" s="2"/>
      <c r="X39" s="33"/>
    </row>
    <row r="40" spans="1:24">
      <c r="A40" s="2"/>
      <c r="B40" s="2"/>
      <c r="C40" s="269"/>
      <c r="D40" s="269"/>
      <c r="E40" s="269"/>
      <c r="F40" s="269"/>
      <c r="G40" s="271"/>
      <c r="M40" s="2"/>
      <c r="N40" s="2"/>
      <c r="O40" s="33"/>
      <c r="V40" s="2"/>
      <c r="W40" s="2"/>
      <c r="X40" s="33"/>
    </row>
    <row r="41" spans="1:24">
      <c r="A41" s="7" t="s">
        <v>297</v>
      </c>
      <c r="B41" s="2"/>
      <c r="C41" s="269"/>
      <c r="D41" s="269"/>
      <c r="E41" s="269"/>
      <c r="F41" s="269"/>
      <c r="G41" s="271"/>
      <c r="M41" s="2"/>
      <c r="N41" s="2"/>
      <c r="O41" s="33"/>
      <c r="V41" s="2"/>
      <c r="W41" s="2"/>
      <c r="X41" s="33"/>
    </row>
    <row r="42" spans="1:24" ht="12.75" customHeight="1">
      <c r="A42" s="2" t="s">
        <v>157</v>
      </c>
      <c r="B42" s="33">
        <v>4015</v>
      </c>
      <c r="C42" s="271">
        <v>556907</v>
      </c>
      <c r="D42" s="378">
        <v>138.70660024906601</v>
      </c>
      <c r="E42" s="271">
        <v>567036</v>
      </c>
      <c r="F42" s="379">
        <v>141.2293897882939</v>
      </c>
      <c r="G42" s="330">
        <v>74377</v>
      </c>
      <c r="M42" s="2"/>
      <c r="N42" s="2"/>
      <c r="O42" s="331"/>
      <c r="V42" s="2"/>
      <c r="W42" s="2"/>
      <c r="X42" s="33"/>
    </row>
    <row r="43" spans="1:24" ht="12.75" customHeight="1">
      <c r="A43" s="2"/>
      <c r="M43" s="2"/>
      <c r="N43" s="2"/>
      <c r="O43" s="33"/>
      <c r="V43" s="2"/>
      <c r="W43" s="2"/>
      <c r="X43" s="33"/>
    </row>
    <row r="44" spans="1:24">
      <c r="A44" s="332"/>
      <c r="B44" s="2"/>
      <c r="C44" s="2"/>
      <c r="D44" s="2"/>
      <c r="E44" s="2"/>
      <c r="F44" s="2"/>
      <c r="G44" s="333"/>
      <c r="M44" s="2"/>
      <c r="N44" s="2"/>
      <c r="O44" s="33"/>
      <c r="V44" s="2"/>
      <c r="W44" s="2"/>
      <c r="X44" s="33"/>
    </row>
    <row r="45" spans="1:24">
      <c r="A45" s="99" t="s">
        <v>298</v>
      </c>
      <c r="M45" s="2"/>
      <c r="N45" s="2"/>
      <c r="O45" s="33"/>
      <c r="V45" s="2"/>
      <c r="W45" s="2"/>
      <c r="X45" s="33"/>
    </row>
    <row r="46" spans="1:24">
      <c r="A46" s="2"/>
      <c r="B46" s="2"/>
      <c r="C46" s="2"/>
      <c r="D46" s="2"/>
      <c r="E46" s="2"/>
      <c r="F46" s="2"/>
      <c r="G46" s="2"/>
      <c r="M46" s="2"/>
      <c r="N46" s="2"/>
      <c r="O46" s="33"/>
      <c r="V46" s="2"/>
      <c r="W46" s="2"/>
      <c r="X46" s="33"/>
    </row>
    <row r="47" spans="1:24">
      <c r="M47" s="2"/>
      <c r="N47" s="2"/>
      <c r="O47" s="33"/>
      <c r="V47" s="2"/>
      <c r="W47" s="2"/>
      <c r="X47" s="33"/>
    </row>
    <row r="48" spans="1:24">
      <c r="M48" s="2"/>
      <c r="N48" s="2"/>
      <c r="O48" s="33"/>
    </row>
    <row r="49" spans="13:15">
      <c r="M49" s="2"/>
      <c r="N49" s="2"/>
      <c r="O49" s="33"/>
    </row>
    <row r="50" spans="13:15">
      <c r="M50" s="2"/>
      <c r="N50" s="2"/>
      <c r="O50" s="33"/>
    </row>
    <row r="51" spans="13:15">
      <c r="M51" s="2"/>
      <c r="N51" s="2"/>
      <c r="O51" s="33"/>
    </row>
    <row r="52" spans="13:15">
      <c r="M52" s="2"/>
      <c r="N52" s="2"/>
      <c r="O52" s="33"/>
    </row>
    <row r="53" spans="13:15">
      <c r="M53" s="2"/>
      <c r="N53" s="2"/>
      <c r="O53" s="33"/>
    </row>
    <row r="54" spans="13:15">
      <c r="M54" s="2"/>
      <c r="N54" s="2"/>
      <c r="O54" s="33"/>
    </row>
    <row r="55" spans="13:15">
      <c r="M55" s="2"/>
      <c r="N55" s="2"/>
      <c r="O55" s="33"/>
    </row>
    <row r="56" spans="13:15">
      <c r="M56" s="2"/>
      <c r="N56" s="2"/>
      <c r="O56" s="33"/>
    </row>
    <row r="57" spans="13:15">
      <c r="M57" s="2"/>
      <c r="N57" s="2"/>
      <c r="O57" s="33"/>
    </row>
    <row r="58" spans="13:15">
      <c r="M58" s="2"/>
      <c r="N58" s="2"/>
      <c r="O58" s="33"/>
    </row>
    <row r="59" spans="13:15">
      <c r="M59" s="2"/>
      <c r="N59" s="2"/>
      <c r="O59" s="33"/>
    </row>
    <row r="60" spans="13:15">
      <c r="M60" s="2"/>
      <c r="N60" s="2"/>
      <c r="O60" s="33"/>
    </row>
    <row r="61" spans="13:15">
      <c r="M61" s="2"/>
      <c r="N61" s="2"/>
      <c r="O61" s="33"/>
    </row>
    <row r="62" spans="13:15">
      <c r="M62" s="2"/>
      <c r="N62" s="2"/>
      <c r="O62" s="33"/>
    </row>
    <row r="63" spans="13:15">
      <c r="M63" s="2"/>
      <c r="N63" s="2"/>
      <c r="O63" s="33"/>
    </row>
  </sheetData>
  <sortState xmlns:xlrd2="http://schemas.microsoft.com/office/spreadsheetml/2017/richdata2" ref="M10:O63">
    <sortCondition ref="N10:N6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C101"/>
  <sheetViews>
    <sheetView zoomScaleNormal="100" workbookViewId="0">
      <pane ySplit="4" topLeftCell="A77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17" style="123" customWidth="1"/>
    <col min="2" max="2" width="12" style="121" customWidth="1"/>
    <col min="3" max="3" width="16.42578125" style="64" customWidth="1"/>
    <col min="4" max="4" width="7.5703125" style="122" customWidth="1"/>
    <col min="5" max="5" width="17.5703125" customWidth="1"/>
    <col min="6" max="6" width="8" customWidth="1"/>
    <col min="7" max="7" width="12.7109375" customWidth="1"/>
    <col min="8" max="14" width="13.7109375" style="122" customWidth="1"/>
    <col min="15" max="15" width="15.28515625" style="122" bestFit="1" customWidth="1"/>
    <col min="16" max="17" width="13.7109375" style="122" customWidth="1"/>
    <col min="18" max="18" width="14.42578125" style="122" customWidth="1"/>
    <col min="19" max="19" width="19.7109375" style="122" customWidth="1"/>
    <col min="20" max="20" width="18.7109375" style="123" bestFit="1" customWidth="1"/>
    <col min="21" max="21" width="15.28515625" style="2" bestFit="1" customWidth="1"/>
    <col min="22" max="22" width="12.28515625" style="11" bestFit="1" customWidth="1"/>
    <col min="23" max="23" width="12.28515625" style="11" customWidth="1"/>
    <col min="24" max="24" width="11.42578125" style="125" customWidth="1"/>
    <col min="25" max="25" width="12.140625" style="125" bestFit="1" customWidth="1"/>
    <col min="26" max="26" width="10.85546875" style="11" bestFit="1" customWidth="1"/>
    <col min="27" max="27" width="11.42578125" style="125" bestFit="1" customWidth="1"/>
    <col min="28" max="28" width="9" style="125" bestFit="1" customWidth="1"/>
    <col min="29" max="29" width="10.7109375" style="125" bestFit="1" customWidth="1"/>
    <col min="30" max="16384" width="8.85546875" style="123"/>
  </cols>
  <sheetData>
    <row r="1" spans="1:29" ht="16.5" customHeight="1">
      <c r="A1" s="9" t="s">
        <v>299</v>
      </c>
      <c r="B1" s="177"/>
      <c r="D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28"/>
      <c r="X1" s="227"/>
      <c r="Y1" s="227"/>
      <c r="AA1" s="227"/>
      <c r="AB1" s="227"/>
      <c r="AC1" s="227"/>
    </row>
    <row r="2" spans="1:29" ht="11.45" customHeight="1">
      <c r="A2" s="128"/>
      <c r="B2" s="177"/>
      <c r="D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28"/>
      <c r="X2" s="227"/>
      <c r="Y2" s="227"/>
      <c r="AA2" s="227"/>
      <c r="AB2" s="227"/>
      <c r="AC2" s="227"/>
    </row>
    <row r="3" spans="1:29" s="124" customFormat="1" ht="23.1" customHeight="1">
      <c r="A3" s="102"/>
      <c r="B3" s="147" t="s">
        <v>96</v>
      </c>
      <c r="C3" s="151" t="s">
        <v>115</v>
      </c>
      <c r="D3" s="148" t="s">
        <v>98</v>
      </c>
      <c r="E3" s="147" t="s">
        <v>300</v>
      </c>
      <c r="F3" s="148" t="s">
        <v>98</v>
      </c>
      <c r="G3" s="148" t="s">
        <v>301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s="124" customFormat="1" ht="12" customHeight="1">
      <c r="A4" s="102"/>
      <c r="B4" s="147"/>
      <c r="C4" s="198" t="s">
        <v>302</v>
      </c>
      <c r="D4" s="150" t="s">
        <v>102</v>
      </c>
      <c r="E4" s="110" t="s">
        <v>303</v>
      </c>
      <c r="F4" s="150" t="s">
        <v>102</v>
      </c>
      <c r="G4" s="150" t="s">
        <v>102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" customHeight="1">
      <c r="A5" s="2" t="s">
        <v>118</v>
      </c>
      <c r="B5" s="14">
        <v>58317</v>
      </c>
      <c r="C5" s="131">
        <v>3985241</v>
      </c>
      <c r="D5" s="131">
        <v>68.3375516573212</v>
      </c>
      <c r="E5" s="266">
        <v>3377158</v>
      </c>
      <c r="F5" s="170">
        <v>57.910352041428744</v>
      </c>
      <c r="G5" s="266">
        <v>228958.03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28"/>
      <c r="X5" s="227"/>
      <c r="Y5" s="227"/>
      <c r="AA5" s="227"/>
      <c r="AB5" s="227"/>
      <c r="AC5" s="227"/>
    </row>
    <row r="6" spans="1:29" ht="14.25" customHeight="1">
      <c r="A6" s="2" t="s">
        <v>278</v>
      </c>
      <c r="B6" s="14">
        <v>29646</v>
      </c>
      <c r="C6" s="131">
        <v>1812764.68</v>
      </c>
      <c r="D6" s="131">
        <v>61.147024219118933</v>
      </c>
      <c r="E6" s="266">
        <v>1931301</v>
      </c>
      <c r="F6" s="170">
        <v>65.145415907710984</v>
      </c>
      <c r="G6" s="266">
        <v>146019.62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28"/>
      <c r="X6" s="227"/>
      <c r="Y6" s="227"/>
      <c r="AA6" s="227"/>
      <c r="AB6" s="227"/>
      <c r="AC6" s="227"/>
    </row>
    <row r="7" spans="1:29" ht="14.25" customHeight="1">
      <c r="A7" s="2" t="s">
        <v>123</v>
      </c>
      <c r="B7" s="14">
        <v>2219</v>
      </c>
      <c r="C7" s="131">
        <v>257899.97</v>
      </c>
      <c r="D7" s="131">
        <v>116.22351059035601</v>
      </c>
      <c r="E7" s="266">
        <v>236154</v>
      </c>
      <c r="F7" s="170">
        <v>106.42361424064894</v>
      </c>
      <c r="G7" s="266">
        <v>70441.009999999995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28"/>
      <c r="X7" s="227"/>
      <c r="Y7" s="227"/>
      <c r="AA7" s="227"/>
      <c r="AB7" s="227"/>
      <c r="AC7" s="227"/>
    </row>
    <row r="8" spans="1:29" ht="14.25" customHeight="1">
      <c r="A8" s="2" t="s">
        <v>304</v>
      </c>
      <c r="B8" s="14">
        <v>44939</v>
      </c>
      <c r="C8" s="131">
        <v>2531566.7400000002</v>
      </c>
      <c r="D8" s="131">
        <v>56.333401722334727</v>
      </c>
      <c r="E8" s="266">
        <v>2106093</v>
      </c>
      <c r="F8" s="170">
        <v>46.865595585126506</v>
      </c>
      <c r="G8" s="266">
        <v>188501.22</v>
      </c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28"/>
      <c r="X8" s="227"/>
      <c r="Y8" s="227"/>
      <c r="AA8" s="227"/>
      <c r="AB8" s="227"/>
      <c r="AC8" s="227"/>
    </row>
    <row r="9" spans="1:29" ht="14.25" customHeight="1">
      <c r="A9" s="2" t="s">
        <v>126</v>
      </c>
      <c r="B9" s="14">
        <v>185880</v>
      </c>
      <c r="C9" s="131">
        <v>6881488.8399999999</v>
      </c>
      <c r="D9" s="131">
        <v>37.021136432106736</v>
      </c>
      <c r="E9" s="266">
        <v>6351159</v>
      </c>
      <c r="F9" s="170">
        <v>34.168060038734666</v>
      </c>
      <c r="G9" s="266">
        <v>579758</v>
      </c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28"/>
      <c r="X9" s="227"/>
      <c r="Y9" s="227"/>
      <c r="AA9" s="227"/>
      <c r="AB9" s="227"/>
      <c r="AC9" s="227"/>
    </row>
    <row r="10" spans="1:29" ht="14.25" customHeight="1">
      <c r="A10" s="2" t="s">
        <v>127</v>
      </c>
      <c r="B10" s="14">
        <v>36593</v>
      </c>
      <c r="C10" s="131">
        <v>2285403.4</v>
      </c>
      <c r="D10" s="131">
        <v>62.454660727461537</v>
      </c>
      <c r="E10" s="266">
        <v>1258836</v>
      </c>
      <c r="F10" s="170">
        <v>34.401005656819613</v>
      </c>
      <c r="G10" s="266">
        <v>165818.57</v>
      </c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28"/>
      <c r="X10" s="227"/>
      <c r="Y10" s="227"/>
      <c r="AA10" s="227"/>
      <c r="AB10" s="227"/>
      <c r="AC10" s="227"/>
    </row>
    <row r="11" spans="1:29" ht="14.25" customHeight="1">
      <c r="A11" s="2" t="s">
        <v>305</v>
      </c>
      <c r="B11" s="14">
        <v>19721</v>
      </c>
      <c r="C11" s="131">
        <v>1481111.75</v>
      </c>
      <c r="D11" s="131">
        <v>75.10327823132701</v>
      </c>
      <c r="E11" s="266">
        <v>1173679</v>
      </c>
      <c r="F11" s="170">
        <v>59.514172709294662</v>
      </c>
      <c r="G11" s="266">
        <v>257147.72</v>
      </c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28"/>
      <c r="X11" s="227"/>
      <c r="Y11" s="227"/>
      <c r="AA11" s="227"/>
      <c r="AB11" s="227"/>
      <c r="AC11" s="227"/>
    </row>
    <row r="12" spans="1:29" ht="14.25" customHeight="1">
      <c r="A12" s="2" t="s">
        <v>306</v>
      </c>
      <c r="B12" s="14">
        <v>438843</v>
      </c>
      <c r="C12" s="131">
        <v>13060719</v>
      </c>
      <c r="D12" s="131">
        <v>29.761712047360902</v>
      </c>
      <c r="E12" s="266">
        <v>12724107</v>
      </c>
      <c r="F12" s="170">
        <v>28.994667796911425</v>
      </c>
      <c r="G12" s="266">
        <v>1300702.55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28"/>
      <c r="X12" s="227"/>
      <c r="Y12" s="227"/>
      <c r="AA12" s="227"/>
      <c r="AB12" s="227"/>
      <c r="AC12" s="227"/>
    </row>
    <row r="13" spans="1:29" ht="14.25" customHeight="1">
      <c r="A13" s="2" t="s">
        <v>307</v>
      </c>
      <c r="B13" s="14">
        <v>78891</v>
      </c>
      <c r="C13" s="131">
        <v>4744817.4799999995</v>
      </c>
      <c r="D13" s="131">
        <v>60.143964203774821</v>
      </c>
      <c r="E13" s="266">
        <v>4066621</v>
      </c>
      <c r="F13" s="170">
        <v>51.547337465617119</v>
      </c>
      <c r="G13" s="266">
        <v>283377.51</v>
      </c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28"/>
      <c r="X13" s="227"/>
      <c r="Y13" s="227"/>
      <c r="AA13" s="227"/>
      <c r="AB13" s="227"/>
      <c r="AC13" s="227"/>
    </row>
    <row r="14" spans="1:29" ht="14.25" customHeight="1">
      <c r="A14" s="2" t="s">
        <v>139</v>
      </c>
      <c r="B14" s="14">
        <v>2349</v>
      </c>
      <c r="C14" s="131">
        <v>537122.25</v>
      </c>
      <c r="D14" s="131">
        <v>228.65996168582376</v>
      </c>
      <c r="E14" s="266">
        <v>361000</v>
      </c>
      <c r="F14" s="170">
        <v>153.68241805023413</v>
      </c>
      <c r="G14" s="266">
        <v>72325.17</v>
      </c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28"/>
      <c r="X14" s="227"/>
      <c r="Y14" s="227"/>
      <c r="AA14" s="227"/>
      <c r="AB14" s="227"/>
      <c r="AC14" s="227"/>
    </row>
    <row r="15" spans="1:29" ht="14.25" customHeight="1">
      <c r="A15" s="2" t="s">
        <v>308</v>
      </c>
      <c r="B15" s="14">
        <v>17541</v>
      </c>
      <c r="C15" s="131">
        <v>643213.27</v>
      </c>
      <c r="D15" s="131">
        <v>36.669133458753777</v>
      </c>
      <c r="E15" s="266">
        <v>835335</v>
      </c>
      <c r="F15" s="170">
        <v>47.621857362750127</v>
      </c>
      <c r="G15" s="266">
        <v>117304.20000000001</v>
      </c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28"/>
      <c r="X15" s="227"/>
      <c r="Y15" s="227"/>
      <c r="AA15" s="227"/>
      <c r="AB15" s="227"/>
      <c r="AC15" s="227"/>
    </row>
    <row r="16" spans="1:29" ht="14.25" customHeight="1">
      <c r="A16" s="2" t="s">
        <v>144</v>
      </c>
      <c r="B16" s="14">
        <v>43346</v>
      </c>
      <c r="C16" s="131">
        <v>3759872.2</v>
      </c>
      <c r="D16" s="131">
        <v>86.740926498408157</v>
      </c>
      <c r="E16" s="266">
        <v>4066240</v>
      </c>
      <c r="F16" s="170">
        <v>93.808886633138002</v>
      </c>
      <c r="G16" s="266">
        <v>186290.68</v>
      </c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28"/>
      <c r="X16" s="227"/>
      <c r="Y16" s="227"/>
      <c r="AA16" s="227"/>
      <c r="AB16" s="227"/>
      <c r="AC16" s="227"/>
    </row>
    <row r="17" spans="1:29" ht="14.25" customHeight="1">
      <c r="A17" s="2" t="s">
        <v>148</v>
      </c>
      <c r="B17" s="14">
        <v>141133</v>
      </c>
      <c r="C17" s="131">
        <v>5358381</v>
      </c>
      <c r="D17" s="131">
        <v>37.966889388024065</v>
      </c>
      <c r="E17" s="266">
        <v>5395500</v>
      </c>
      <c r="F17" s="170">
        <v>38.229896622334962</v>
      </c>
      <c r="G17" s="266">
        <v>460587.05</v>
      </c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28"/>
      <c r="X17" s="227"/>
      <c r="Y17" s="227"/>
      <c r="AA17" s="227"/>
      <c r="AB17" s="227"/>
      <c r="AC17" s="227"/>
    </row>
    <row r="18" spans="1:29" ht="14.25" customHeight="1">
      <c r="A18" s="2" t="s">
        <v>309</v>
      </c>
      <c r="B18" s="14">
        <v>188303</v>
      </c>
      <c r="C18" s="131">
        <v>6938889.6999999993</v>
      </c>
      <c r="D18" s="131">
        <v>36.849597191760083</v>
      </c>
      <c r="E18" s="266">
        <v>8529827</v>
      </c>
      <c r="F18" s="170">
        <v>45.298412664694666</v>
      </c>
      <c r="G18" s="266">
        <v>589317.55000000005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28"/>
      <c r="X18" s="227"/>
      <c r="Y18" s="227"/>
      <c r="AA18" s="227"/>
      <c r="AB18" s="227"/>
      <c r="AC18" s="227"/>
    </row>
    <row r="19" spans="1:29" ht="14.25" customHeight="1">
      <c r="A19" s="2" t="s">
        <v>151</v>
      </c>
      <c r="B19" s="14">
        <v>92255</v>
      </c>
      <c r="C19" s="131">
        <v>6836611.9500000002</v>
      </c>
      <c r="D19" s="131">
        <v>74.105598070565279</v>
      </c>
      <c r="E19" s="266">
        <v>6454979.5</v>
      </c>
      <c r="F19" s="170">
        <v>69.968885155276141</v>
      </c>
      <c r="G19" s="266">
        <v>320551.92</v>
      </c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28"/>
      <c r="X19" s="227"/>
      <c r="Y19" s="227"/>
      <c r="AA19" s="227"/>
      <c r="AB19" s="227"/>
      <c r="AC19" s="227"/>
    </row>
    <row r="20" spans="1:29" ht="14.25" customHeight="1">
      <c r="A20" s="2" t="s">
        <v>310</v>
      </c>
      <c r="B20" s="14">
        <v>385242</v>
      </c>
      <c r="C20" s="131">
        <v>17945749</v>
      </c>
      <c r="D20" s="131">
        <v>46.583054287954063</v>
      </c>
      <c r="E20" s="266">
        <v>18516506</v>
      </c>
      <c r="F20" s="170">
        <v>48.064608739441702</v>
      </c>
      <c r="G20" s="266">
        <v>1147939.7</v>
      </c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28"/>
      <c r="X20" s="227"/>
      <c r="Y20" s="227"/>
      <c r="AA20" s="227"/>
      <c r="AB20" s="227"/>
      <c r="AC20" s="227"/>
    </row>
    <row r="21" spans="1:29" ht="14.25" customHeight="1">
      <c r="A21" s="2" t="s">
        <v>154</v>
      </c>
      <c r="B21" s="14">
        <v>354803</v>
      </c>
      <c r="C21" s="131">
        <v>37409227.129999995</v>
      </c>
      <c r="D21" s="131">
        <v>105.43661448747613</v>
      </c>
      <c r="E21" s="266">
        <v>12250560</v>
      </c>
      <c r="F21" s="170">
        <v>34.5277802047897</v>
      </c>
      <c r="G21" s="266">
        <v>1063052.55</v>
      </c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28"/>
      <c r="X21" s="227"/>
      <c r="Y21" s="227"/>
      <c r="AA21" s="227"/>
      <c r="AB21" s="227"/>
      <c r="AC21" s="227"/>
    </row>
    <row r="22" spans="1:29" ht="14.25" customHeight="1">
      <c r="A22" s="2" t="s">
        <v>311</v>
      </c>
      <c r="B22" s="14">
        <v>100353</v>
      </c>
      <c r="C22" s="131">
        <v>5452185.4199999999</v>
      </c>
      <c r="D22" s="131">
        <v>54.330069056231501</v>
      </c>
      <c r="E22" s="266">
        <v>5002588</v>
      </c>
      <c r="F22" s="170">
        <v>49.849909818341253</v>
      </c>
      <c r="G22" s="266">
        <v>667622.57000000007</v>
      </c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28"/>
      <c r="X22" s="227"/>
      <c r="Y22" s="227"/>
      <c r="AA22" s="227"/>
      <c r="AB22" s="227"/>
      <c r="AC22" s="227"/>
    </row>
    <row r="23" spans="1:29" ht="14.25" customHeight="1">
      <c r="A23" s="2" t="s">
        <v>312</v>
      </c>
      <c r="B23" s="14">
        <v>88249</v>
      </c>
      <c r="C23" s="131">
        <v>3948837.1799999997</v>
      </c>
      <c r="D23" s="131">
        <v>44.74653741118879</v>
      </c>
      <c r="E23" s="266">
        <v>4958687</v>
      </c>
      <c r="F23" s="170">
        <v>56.189724529456427</v>
      </c>
      <c r="G23" s="266">
        <v>560176.85000000009</v>
      </c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28"/>
      <c r="X23" s="227"/>
      <c r="Y23" s="227"/>
      <c r="AA23" s="227"/>
      <c r="AB23" s="227"/>
      <c r="AC23" s="227"/>
    </row>
    <row r="24" spans="1:29" ht="14.25" customHeight="1">
      <c r="A24" s="2" t="s">
        <v>313</v>
      </c>
      <c r="B24" s="14">
        <v>69352</v>
      </c>
      <c r="C24" s="131">
        <v>2663282.63</v>
      </c>
      <c r="D24" s="131">
        <v>38.402391135079014</v>
      </c>
      <c r="E24" s="266">
        <v>2899013</v>
      </c>
      <c r="F24" s="170">
        <v>41.801433267966317</v>
      </c>
      <c r="G24" s="266">
        <v>263283.72000000003</v>
      </c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28"/>
      <c r="X24" s="227"/>
      <c r="Y24" s="227"/>
      <c r="AA24" s="227"/>
      <c r="AB24" s="227"/>
      <c r="AC24" s="227"/>
    </row>
    <row r="25" spans="1:29" ht="14.25" customHeight="1">
      <c r="A25" s="2" t="s">
        <v>314</v>
      </c>
      <c r="B25" s="14">
        <v>69315</v>
      </c>
      <c r="C25" s="131">
        <v>5631542.4199999999</v>
      </c>
      <c r="D25" s="131">
        <v>81.245652744716153</v>
      </c>
      <c r="E25" s="266">
        <v>3614118</v>
      </c>
      <c r="F25" s="170">
        <v>52.140489071629517</v>
      </c>
      <c r="G25" s="266">
        <v>324706.79000000004</v>
      </c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28"/>
      <c r="X25" s="227"/>
      <c r="Y25" s="227"/>
      <c r="AA25" s="227"/>
      <c r="AB25" s="227"/>
      <c r="AC25" s="227"/>
    </row>
    <row r="26" spans="1:29" ht="14.25" customHeight="1">
      <c r="A26" s="2" t="s">
        <v>158</v>
      </c>
      <c r="B26" s="14">
        <v>4015</v>
      </c>
      <c r="C26" s="131">
        <v>556907</v>
      </c>
      <c r="D26" s="131">
        <v>138.70660024906601</v>
      </c>
      <c r="E26" s="266">
        <v>567036</v>
      </c>
      <c r="F26" s="170">
        <v>141.2293897882939</v>
      </c>
      <c r="G26" s="266">
        <v>74197.33</v>
      </c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28"/>
      <c r="X26" s="227"/>
      <c r="Y26" s="227"/>
      <c r="AA26" s="227"/>
      <c r="AB26" s="227"/>
      <c r="AC26" s="227"/>
    </row>
    <row r="27" spans="1:29" ht="14.25" customHeight="1">
      <c r="A27" s="2" t="s">
        <v>160</v>
      </c>
      <c r="B27" s="14">
        <v>81248</v>
      </c>
      <c r="C27" s="170">
        <v>3804043.7399999998</v>
      </c>
      <c r="D27" s="131">
        <v>46.820152372981482</v>
      </c>
      <c r="E27" s="266">
        <v>4129174</v>
      </c>
      <c r="F27" s="170">
        <v>50.821854076408037</v>
      </c>
      <c r="G27" s="266">
        <v>294311.38</v>
      </c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28"/>
      <c r="X27" s="227"/>
      <c r="Y27" s="227"/>
      <c r="AA27" s="227"/>
      <c r="AB27" s="227"/>
      <c r="AC27" s="227"/>
    </row>
    <row r="28" spans="1:29" ht="14.25" customHeight="1">
      <c r="A28" s="2" t="s">
        <v>165</v>
      </c>
      <c r="B28" s="14">
        <v>252399</v>
      </c>
      <c r="C28" s="131">
        <v>8444658.5399999991</v>
      </c>
      <c r="D28" s="131">
        <v>33.457575267730853</v>
      </c>
      <c r="E28" s="266">
        <v>10011096</v>
      </c>
      <c r="F28" s="170">
        <v>39.66377045867852</v>
      </c>
      <c r="G28" s="266">
        <v>769337.15</v>
      </c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28"/>
      <c r="X28" s="227"/>
      <c r="Y28" s="227"/>
      <c r="AA28" s="227"/>
      <c r="AB28" s="227"/>
      <c r="AC28" s="227"/>
    </row>
    <row r="29" spans="1:29" ht="14.25" customHeight="1">
      <c r="A29" s="2" t="s">
        <v>168</v>
      </c>
      <c r="B29" s="14">
        <v>8411</v>
      </c>
      <c r="C29" s="170">
        <v>646148.18000000005</v>
      </c>
      <c r="D29" s="131">
        <v>76.821802401616935</v>
      </c>
      <c r="E29" s="266">
        <v>681608</v>
      </c>
      <c r="F29" s="170">
        <v>81.037688740934485</v>
      </c>
      <c r="G29" s="266">
        <v>86725.930000000008</v>
      </c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28"/>
      <c r="X29" s="227"/>
      <c r="Y29" s="227"/>
      <c r="AA29" s="227"/>
      <c r="AB29" s="227"/>
      <c r="AC29" s="227"/>
    </row>
    <row r="30" spans="1:29" ht="14.25" customHeight="1">
      <c r="A30" s="2" t="s">
        <v>169</v>
      </c>
      <c r="B30" s="14">
        <v>41142</v>
      </c>
      <c r="C30" s="131">
        <v>2654767.41</v>
      </c>
      <c r="D30" s="131">
        <v>64.526941082105878</v>
      </c>
      <c r="E30" s="270">
        <v>2435509</v>
      </c>
      <c r="F30" s="195">
        <v>59.197632589567839</v>
      </c>
      <c r="G30" s="270">
        <v>178783.22</v>
      </c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28"/>
      <c r="X30" s="227"/>
      <c r="Y30" s="227"/>
      <c r="AA30" s="227"/>
      <c r="AB30" s="227"/>
      <c r="AC30" s="227"/>
    </row>
    <row r="31" spans="1:29" ht="14.25" customHeight="1">
      <c r="A31" s="2" t="s">
        <v>170</v>
      </c>
      <c r="B31" s="14">
        <v>212210</v>
      </c>
      <c r="C31" s="170">
        <v>8708729.4700000007</v>
      </c>
      <c r="D31" s="131">
        <v>41.038261486263607</v>
      </c>
      <c r="E31" s="266">
        <v>9085045</v>
      </c>
      <c r="F31" s="170">
        <v>42.811578153715658</v>
      </c>
      <c r="G31" s="266">
        <v>663969.5</v>
      </c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28"/>
      <c r="X31" s="227"/>
      <c r="Y31" s="227"/>
      <c r="AA31" s="227"/>
      <c r="AB31" s="227"/>
      <c r="AC31" s="227"/>
    </row>
    <row r="32" spans="1:29" ht="14.25" customHeight="1">
      <c r="A32" s="2" t="s">
        <v>173</v>
      </c>
      <c r="B32" s="14">
        <v>161593</v>
      </c>
      <c r="C32" s="170">
        <v>8247971.0500000007</v>
      </c>
      <c r="D32" s="131">
        <v>51.041635776302194</v>
      </c>
      <c r="E32" s="266">
        <v>8742129</v>
      </c>
      <c r="F32" s="170">
        <v>54.099676347366533</v>
      </c>
      <c r="G32" s="266">
        <v>510540.05</v>
      </c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28"/>
      <c r="X32" s="227"/>
      <c r="Y32" s="227"/>
      <c r="AA32" s="227"/>
      <c r="AB32" s="227"/>
      <c r="AC32" s="227"/>
    </row>
    <row r="33" spans="1:29" ht="14.25" customHeight="1">
      <c r="A33" s="2" t="s">
        <v>280</v>
      </c>
      <c r="B33" s="14">
        <v>8978</v>
      </c>
      <c r="C33" s="170">
        <v>865550.67</v>
      </c>
      <c r="D33" s="131">
        <v>96.407960570282924</v>
      </c>
      <c r="E33" s="266">
        <v>833948.44</v>
      </c>
      <c r="F33" s="170">
        <v>92.887997326798839</v>
      </c>
      <c r="G33" s="266">
        <v>92899.650000000009</v>
      </c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28"/>
      <c r="X33" s="227"/>
      <c r="Y33" s="227"/>
      <c r="AA33" s="227"/>
      <c r="AB33" s="227"/>
      <c r="AC33" s="227"/>
    </row>
    <row r="34" spans="1:29" ht="14.25" customHeight="1">
      <c r="A34" s="2" t="s">
        <v>315</v>
      </c>
      <c r="B34" s="14">
        <v>33112</v>
      </c>
      <c r="C34" s="131">
        <v>2650541.37</v>
      </c>
      <c r="D34" s="131">
        <v>80.047758214544572</v>
      </c>
      <c r="E34" s="266">
        <v>2588196</v>
      </c>
      <c r="F34" s="170">
        <v>78.16489490215028</v>
      </c>
      <c r="G34" s="266">
        <v>157123.78</v>
      </c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28"/>
      <c r="X34" s="227"/>
      <c r="Y34" s="227"/>
      <c r="AA34" s="227"/>
      <c r="AB34" s="227"/>
      <c r="AC34" s="227"/>
    </row>
    <row r="35" spans="1:29" ht="14.25" customHeight="1">
      <c r="A35" s="2" t="s">
        <v>316</v>
      </c>
      <c r="B35" s="14">
        <v>3608</v>
      </c>
      <c r="C35" s="170">
        <v>262839.17</v>
      </c>
      <c r="D35" s="131">
        <v>72.84899390243902</v>
      </c>
      <c r="E35" s="266">
        <v>277944</v>
      </c>
      <c r="F35" s="170">
        <v>77.035476718403544</v>
      </c>
      <c r="G35" s="266">
        <v>74399.66</v>
      </c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28"/>
      <c r="X35" s="227"/>
      <c r="Y35" s="227"/>
      <c r="AA35" s="227"/>
      <c r="AB35" s="227"/>
      <c r="AC35" s="227"/>
    </row>
    <row r="36" spans="1:29" ht="14.25" customHeight="1">
      <c r="A36" s="2" t="s">
        <v>179</v>
      </c>
      <c r="B36" s="14">
        <v>13392</v>
      </c>
      <c r="C36" s="170">
        <v>742163.66</v>
      </c>
      <c r="D36" s="131">
        <v>55.418433393070494</v>
      </c>
      <c r="E36" s="266">
        <v>675364</v>
      </c>
      <c r="F36" s="170">
        <v>50.43040621266428</v>
      </c>
      <c r="G36" s="266">
        <v>100921.78</v>
      </c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28"/>
      <c r="X36" s="227"/>
      <c r="Y36" s="227"/>
      <c r="AA36" s="227"/>
      <c r="AB36" s="227"/>
      <c r="AC36" s="227"/>
    </row>
    <row r="37" spans="1:29" ht="14.25" customHeight="1">
      <c r="A37" s="2" t="s">
        <v>182</v>
      </c>
      <c r="B37" s="14">
        <v>68704</v>
      </c>
      <c r="C37" s="170">
        <v>3490422.1599999997</v>
      </c>
      <c r="D37" s="131">
        <v>50.803769212855144</v>
      </c>
      <c r="E37" s="266">
        <v>3006384.89</v>
      </c>
      <c r="F37" s="170">
        <v>43.758513187005128</v>
      </c>
      <c r="G37" s="266">
        <v>255238.36</v>
      </c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28"/>
      <c r="X37" s="227"/>
      <c r="Y37" s="227"/>
      <c r="AA37" s="227"/>
      <c r="AB37" s="227"/>
      <c r="AC37" s="227"/>
    </row>
    <row r="38" spans="1:29" ht="14.25" customHeight="1">
      <c r="A38" s="2" t="s">
        <v>317</v>
      </c>
      <c r="B38" s="14">
        <v>215612</v>
      </c>
      <c r="C38" s="170">
        <v>9566458.209999999</v>
      </c>
      <c r="D38" s="131">
        <v>44.368857994916787</v>
      </c>
      <c r="E38" s="266">
        <v>9735628</v>
      </c>
      <c r="F38" s="170">
        <v>45.153460846335086</v>
      </c>
      <c r="G38" s="266">
        <v>664494.20000000007</v>
      </c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28"/>
      <c r="X38" s="227"/>
      <c r="Y38" s="227"/>
      <c r="AA38" s="227"/>
      <c r="AB38" s="227"/>
      <c r="AC38" s="227"/>
    </row>
    <row r="39" spans="1:29" ht="14.25" customHeight="1">
      <c r="A39" s="2" t="s">
        <v>185</v>
      </c>
      <c r="B39" s="14">
        <v>19300</v>
      </c>
      <c r="C39" s="170">
        <v>1299299</v>
      </c>
      <c r="D39" s="131">
        <v>67.321191709844555</v>
      </c>
      <c r="E39" s="266">
        <v>1114435</v>
      </c>
      <c r="F39" s="170">
        <v>57.742746113989639</v>
      </c>
      <c r="G39" s="266">
        <v>119121.86</v>
      </c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28"/>
      <c r="X39" s="227"/>
      <c r="Y39" s="227"/>
      <c r="AA39" s="227"/>
      <c r="AB39" s="227"/>
      <c r="AC39" s="227"/>
    </row>
    <row r="40" spans="1:29" ht="14.25" customHeight="1">
      <c r="A40" s="2" t="s">
        <v>186</v>
      </c>
      <c r="B40" s="14">
        <v>154834</v>
      </c>
      <c r="C40" s="195">
        <v>9078138.6400000006</v>
      </c>
      <c r="D40" s="131">
        <v>58.631428755957998</v>
      </c>
      <c r="E40" s="270">
        <v>8930052</v>
      </c>
      <c r="F40" s="195">
        <v>57.675006781456268</v>
      </c>
      <c r="G40" s="270">
        <v>492178.9</v>
      </c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28"/>
      <c r="X40" s="227"/>
      <c r="Y40" s="227"/>
      <c r="AA40" s="227"/>
      <c r="AB40" s="227"/>
      <c r="AC40" s="227"/>
    </row>
    <row r="41" spans="1:29" ht="14.25" customHeight="1">
      <c r="A41" s="2" t="s">
        <v>282</v>
      </c>
      <c r="B41" s="14">
        <v>190939</v>
      </c>
      <c r="C41" s="170">
        <v>16493441.879999999</v>
      </c>
      <c r="D41" s="131">
        <v>86.380686397226327</v>
      </c>
      <c r="E41" s="266">
        <v>15509413</v>
      </c>
      <c r="F41" s="170">
        <v>81.227056808719013</v>
      </c>
      <c r="G41" s="266">
        <v>594176.15</v>
      </c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28"/>
      <c r="X41" s="227"/>
      <c r="Y41" s="227"/>
      <c r="AA41" s="227"/>
      <c r="AB41" s="227"/>
      <c r="AC41" s="227"/>
    </row>
    <row r="42" spans="1:29" ht="14.25" customHeight="1">
      <c r="A42" s="2" t="s">
        <v>190</v>
      </c>
      <c r="B42" s="14">
        <v>18080</v>
      </c>
      <c r="C42" s="131">
        <v>1424306.63</v>
      </c>
      <c r="D42" s="131">
        <v>78.778021570796454</v>
      </c>
      <c r="E42" s="266">
        <v>1292491</v>
      </c>
      <c r="F42" s="170">
        <v>71.487334070796464</v>
      </c>
      <c r="G42" s="266">
        <v>118840.35</v>
      </c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28"/>
      <c r="X42" s="227"/>
      <c r="Y42" s="227"/>
      <c r="AA42" s="227"/>
      <c r="AB42" s="227"/>
      <c r="AC42" s="227"/>
    </row>
    <row r="43" spans="1:29" ht="14.25" customHeight="1">
      <c r="A43" s="2" t="s">
        <v>192</v>
      </c>
      <c r="B43" s="14">
        <v>31718</v>
      </c>
      <c r="C43" s="170">
        <v>1411494.55</v>
      </c>
      <c r="D43" s="131">
        <v>44.501373037392021</v>
      </c>
      <c r="E43" s="266">
        <v>1513491</v>
      </c>
      <c r="F43" s="170">
        <v>47.717100699918028</v>
      </c>
      <c r="G43" s="266">
        <v>157708.65000000002</v>
      </c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28"/>
      <c r="X43" s="227"/>
      <c r="Y43" s="227"/>
      <c r="AA43" s="227"/>
      <c r="AB43" s="227"/>
      <c r="AC43" s="227"/>
    </row>
    <row r="44" spans="1:29" ht="14.25" customHeight="1">
      <c r="A44" s="2" t="s">
        <v>193</v>
      </c>
      <c r="B44" s="14">
        <v>23173</v>
      </c>
      <c r="C44" s="170">
        <v>1551088.43</v>
      </c>
      <c r="D44" s="131">
        <v>66.935158589738052</v>
      </c>
      <c r="E44" s="266">
        <v>1379881</v>
      </c>
      <c r="F44" s="170">
        <v>59.546929616363869</v>
      </c>
      <c r="G44" s="266">
        <v>123668.22</v>
      </c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28"/>
      <c r="X44" s="227"/>
      <c r="Y44" s="227"/>
      <c r="AA44" s="227"/>
      <c r="AB44" s="227"/>
      <c r="AC44" s="227"/>
    </row>
    <row r="45" spans="1:29" ht="14.25" customHeight="1">
      <c r="A45" s="2" t="s">
        <v>318</v>
      </c>
      <c r="B45" s="14">
        <v>128362</v>
      </c>
      <c r="C45" s="170">
        <v>6622053.2699999996</v>
      </c>
      <c r="D45" s="131">
        <v>51.588891338558135</v>
      </c>
      <c r="E45" s="266">
        <v>6417300</v>
      </c>
      <c r="F45" s="170">
        <v>49.993767625932911</v>
      </c>
      <c r="G45" s="266">
        <v>423456.87</v>
      </c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28"/>
      <c r="X45" s="227"/>
      <c r="Y45" s="227"/>
      <c r="AA45" s="227"/>
      <c r="AB45" s="227"/>
      <c r="AC45" s="227"/>
    </row>
    <row r="46" spans="1:29" ht="14.25" customHeight="1">
      <c r="A46" s="2" t="s">
        <v>196</v>
      </c>
      <c r="B46" s="14">
        <v>6113</v>
      </c>
      <c r="C46" s="170">
        <v>502021</v>
      </c>
      <c r="D46" s="131">
        <v>82.12350727956813</v>
      </c>
      <c r="E46" s="266">
        <v>472359</v>
      </c>
      <c r="F46" s="170">
        <v>77.271225257647643</v>
      </c>
      <c r="G46" s="266">
        <v>83052.570000000007</v>
      </c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28"/>
      <c r="X46" s="227"/>
      <c r="Y46" s="227"/>
      <c r="AA46" s="227"/>
      <c r="AB46" s="227"/>
      <c r="AC46" s="227"/>
    </row>
    <row r="47" spans="1:29" ht="14.25" customHeight="1">
      <c r="A47" s="2" t="s">
        <v>198</v>
      </c>
      <c r="B47" s="14">
        <v>221859</v>
      </c>
      <c r="C47" s="170">
        <v>10656748</v>
      </c>
      <c r="D47" s="131">
        <v>48.033877372565456</v>
      </c>
      <c r="E47" s="266">
        <v>10400000</v>
      </c>
      <c r="F47" s="170">
        <v>46.876619835120508</v>
      </c>
      <c r="G47" s="266">
        <v>684683.15</v>
      </c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28"/>
      <c r="X47" s="227"/>
      <c r="Y47" s="227"/>
      <c r="AA47" s="227"/>
      <c r="AB47" s="227"/>
      <c r="AC47" s="227"/>
    </row>
    <row r="48" spans="1:29" ht="14.25" customHeight="1">
      <c r="A48" s="2" t="s">
        <v>199</v>
      </c>
      <c r="B48" s="14">
        <v>56628</v>
      </c>
      <c r="C48" s="170">
        <v>5086298.7300000004</v>
      </c>
      <c r="D48" s="131">
        <v>89.81950148336513</v>
      </c>
      <c r="E48" s="266">
        <v>4707829</v>
      </c>
      <c r="F48" s="170">
        <v>83.136063431517982</v>
      </c>
      <c r="G48" s="266">
        <v>276640.14</v>
      </c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28"/>
      <c r="X48" s="227"/>
      <c r="Y48" s="227"/>
      <c r="AA48" s="227"/>
      <c r="AB48" s="227"/>
      <c r="AC48" s="227"/>
    </row>
    <row r="49" spans="1:29" ht="14.25" customHeight="1">
      <c r="A49" s="2" t="s">
        <v>202</v>
      </c>
      <c r="B49" s="14">
        <v>20740</v>
      </c>
      <c r="C49" s="170">
        <v>1879453.43</v>
      </c>
      <c r="D49" s="131">
        <v>90.619741080038565</v>
      </c>
      <c r="E49" s="266">
        <v>1640369.76</v>
      </c>
      <c r="F49" s="170">
        <v>79.092081002892968</v>
      </c>
      <c r="G49" s="266">
        <v>124739.52</v>
      </c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28"/>
      <c r="X49" s="227"/>
      <c r="Y49" s="227"/>
      <c r="AA49" s="227"/>
      <c r="AB49" s="227"/>
      <c r="AC49" s="227"/>
    </row>
    <row r="50" spans="1:29" ht="14.25" customHeight="1">
      <c r="A50" s="2" t="s">
        <v>203</v>
      </c>
      <c r="B50" s="14">
        <v>254905</v>
      </c>
      <c r="C50" s="170">
        <v>13274843.5</v>
      </c>
      <c r="D50" s="131">
        <v>52.07761126694259</v>
      </c>
      <c r="E50" s="266">
        <v>10079239</v>
      </c>
      <c r="F50" s="170">
        <v>39.541158470802849</v>
      </c>
      <c r="G50" s="266">
        <v>776479.25</v>
      </c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28"/>
      <c r="X50" s="227"/>
      <c r="Y50" s="227"/>
      <c r="AA50" s="227"/>
      <c r="AB50" s="227"/>
      <c r="AC50" s="227"/>
    </row>
    <row r="51" spans="1:29" customFormat="1" ht="11.45" customHeight="1">
      <c r="A51" s="63" t="s">
        <v>319</v>
      </c>
      <c r="B51" s="14">
        <v>72668</v>
      </c>
      <c r="C51" s="170">
        <v>4779721.25</v>
      </c>
      <c r="D51" s="131">
        <v>65.774773628006827</v>
      </c>
      <c r="E51" s="266">
        <v>4040085.85</v>
      </c>
      <c r="F51" s="170">
        <v>55.596491578136181</v>
      </c>
      <c r="G51" s="266">
        <v>400061.53</v>
      </c>
      <c r="H51" s="39"/>
      <c r="I51" s="39"/>
      <c r="J51" s="39"/>
      <c r="K51" s="39"/>
      <c r="L51" s="39"/>
      <c r="M51" s="39"/>
      <c r="N51" s="39"/>
      <c r="O51" s="39"/>
      <c r="P51" s="14"/>
      <c r="Q51" s="39"/>
      <c r="R51" s="39"/>
      <c r="S51" s="39"/>
      <c r="V51" s="128"/>
      <c r="W51" s="128"/>
      <c r="X51" s="128"/>
    </row>
    <row r="52" spans="1:29" ht="14.25" customHeight="1">
      <c r="A52" s="2" t="s">
        <v>206</v>
      </c>
      <c r="B52" s="14">
        <v>98163</v>
      </c>
      <c r="C52" s="170">
        <v>4457577.66</v>
      </c>
      <c r="D52" s="131">
        <v>45.409957519635711</v>
      </c>
      <c r="E52" s="262">
        <v>5068361</v>
      </c>
      <c r="F52" s="131">
        <v>51.632091521245279</v>
      </c>
      <c r="G52" s="262">
        <v>341293.07</v>
      </c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28"/>
      <c r="X52" s="227"/>
      <c r="Y52" s="227"/>
      <c r="AA52" s="227"/>
      <c r="AB52" s="227"/>
      <c r="AC52" s="227"/>
    </row>
    <row r="53" spans="1:29" ht="12.75">
      <c r="A53" s="63" t="s">
        <v>207</v>
      </c>
      <c r="B53" s="14">
        <v>98582</v>
      </c>
      <c r="C53" s="170">
        <v>6039284.1300000008</v>
      </c>
      <c r="D53" s="131">
        <v>61.261529792457047</v>
      </c>
      <c r="E53" s="262">
        <v>4469605</v>
      </c>
      <c r="F53" s="131">
        <v>45.338956401777203</v>
      </c>
      <c r="G53" s="262">
        <v>346589.22000000003</v>
      </c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28"/>
      <c r="X53" s="227"/>
      <c r="Y53" s="227"/>
      <c r="AA53" s="227"/>
      <c r="AB53" s="227"/>
      <c r="AC53" s="227"/>
    </row>
    <row r="54" spans="1:29" s="2" customFormat="1" ht="14.25" customHeight="1">
      <c r="A54" s="171" t="s">
        <v>208</v>
      </c>
      <c r="B54" s="171">
        <v>26214</v>
      </c>
      <c r="C54" s="265">
        <v>1433845.7200000002</v>
      </c>
      <c r="D54" s="265">
        <v>54.697708094911121</v>
      </c>
      <c r="E54" s="264">
        <v>1528587</v>
      </c>
      <c r="F54" s="265">
        <v>58.311856260013734</v>
      </c>
      <c r="G54" s="264">
        <v>137464.48000000001</v>
      </c>
    </row>
    <row r="55" spans="1:29" ht="14.25" customHeight="1">
      <c r="A55" s="2" t="s">
        <v>210</v>
      </c>
      <c r="B55" s="14">
        <v>29253</v>
      </c>
      <c r="C55" s="170">
        <v>4259564.4000000004</v>
      </c>
      <c r="D55" s="131">
        <v>145.61119885139988</v>
      </c>
      <c r="E55" s="262">
        <v>2782035</v>
      </c>
      <c r="F55" s="131">
        <v>95.102553584247772</v>
      </c>
      <c r="G55" s="262">
        <v>140996.22</v>
      </c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28"/>
      <c r="X55" s="227"/>
      <c r="Y55" s="227"/>
      <c r="AA55" s="227"/>
      <c r="AB55" s="227"/>
      <c r="AC55" s="227"/>
    </row>
    <row r="56" spans="1:29" ht="14.25" customHeight="1">
      <c r="A56" s="2" t="s">
        <v>211</v>
      </c>
      <c r="B56" s="14">
        <v>13562</v>
      </c>
      <c r="C56" s="170">
        <v>550542.18000000005</v>
      </c>
      <c r="D56" s="131">
        <v>40.59446836749742</v>
      </c>
      <c r="E56" s="262">
        <v>416235</v>
      </c>
      <c r="F56" s="131">
        <v>30.691269724229464</v>
      </c>
      <c r="G56" s="262">
        <v>99076.77</v>
      </c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28"/>
      <c r="X56" s="227"/>
      <c r="Y56" s="227"/>
      <c r="AA56" s="227"/>
      <c r="AB56" s="227"/>
      <c r="AC56" s="227"/>
    </row>
    <row r="57" spans="1:29" ht="14.25" customHeight="1">
      <c r="A57" s="2" t="s">
        <v>213</v>
      </c>
      <c r="B57" s="14">
        <v>16817</v>
      </c>
      <c r="C57" s="170">
        <v>1260099.01</v>
      </c>
      <c r="D57" s="131">
        <v>74.930071356365588</v>
      </c>
      <c r="E57" s="262">
        <v>961488</v>
      </c>
      <c r="F57" s="131">
        <v>57.1735743592793</v>
      </c>
      <c r="G57" s="262">
        <v>113558.97</v>
      </c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28"/>
      <c r="X57" s="227"/>
      <c r="Y57" s="227"/>
      <c r="AA57" s="227"/>
      <c r="AB57" s="227"/>
      <c r="AC57" s="227"/>
    </row>
    <row r="58" spans="1:29" ht="14.25" customHeight="1">
      <c r="A58" s="2" t="s">
        <v>214</v>
      </c>
      <c r="B58" s="14">
        <v>20986</v>
      </c>
      <c r="C58" s="170">
        <v>1460117</v>
      </c>
      <c r="D58" s="131">
        <v>69.57576479557801</v>
      </c>
      <c r="E58" s="262">
        <v>1766930</v>
      </c>
      <c r="F58" s="131">
        <v>84.195654245687606</v>
      </c>
      <c r="G58" s="262">
        <v>127122.45000000001</v>
      </c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28"/>
      <c r="X58" s="227"/>
      <c r="Y58" s="227"/>
      <c r="AA58" s="227"/>
      <c r="AB58" s="227"/>
      <c r="AC58" s="227"/>
    </row>
    <row r="59" spans="1:29" ht="14.25" customHeight="1">
      <c r="A59" s="2" t="s">
        <v>218</v>
      </c>
      <c r="B59" s="14">
        <v>265671</v>
      </c>
      <c r="C59" s="170">
        <v>19640771.890000001</v>
      </c>
      <c r="D59" s="131">
        <v>73.928926717631967</v>
      </c>
      <c r="E59" s="262">
        <v>14751224</v>
      </c>
      <c r="F59" s="131">
        <v>55.52440424434733</v>
      </c>
      <c r="G59" s="262">
        <v>929067.83</v>
      </c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28"/>
      <c r="X59" s="227"/>
      <c r="Y59" s="227"/>
      <c r="AA59" s="227"/>
      <c r="AB59" s="227"/>
      <c r="AC59" s="227"/>
    </row>
    <row r="60" spans="1:29" ht="14.25" customHeight="1">
      <c r="A60" s="2" t="s">
        <v>219</v>
      </c>
      <c r="B60" s="14">
        <v>72909</v>
      </c>
      <c r="C60" s="170">
        <v>4914643</v>
      </c>
      <c r="D60" s="131">
        <v>67.407905745518391</v>
      </c>
      <c r="E60" s="262">
        <v>5854993</v>
      </c>
      <c r="F60" s="131">
        <v>80.305490405848388</v>
      </c>
      <c r="G60" s="262">
        <v>265415.82</v>
      </c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28"/>
      <c r="X60" s="227"/>
      <c r="Y60" s="227"/>
      <c r="AA60" s="227"/>
      <c r="AB60" s="227"/>
      <c r="AC60" s="227"/>
    </row>
    <row r="61" spans="1:29" ht="14.25" customHeight="1">
      <c r="A61" s="2" t="s">
        <v>320</v>
      </c>
      <c r="B61" s="14">
        <v>13176</v>
      </c>
      <c r="C61" s="170">
        <v>2376361.91</v>
      </c>
      <c r="D61" s="131">
        <v>180.35533621736491</v>
      </c>
      <c r="E61" s="262">
        <v>1579806</v>
      </c>
      <c r="F61" s="131">
        <v>119.90027322404372</v>
      </c>
      <c r="G61" s="262">
        <v>298053.56000000006</v>
      </c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28"/>
      <c r="X61" s="227"/>
      <c r="Y61" s="227"/>
      <c r="AA61" s="227"/>
      <c r="AB61" s="227"/>
      <c r="AC61" s="227"/>
    </row>
    <row r="62" spans="1:29" ht="14.25" customHeight="1">
      <c r="A62" s="2" t="s">
        <v>220</v>
      </c>
      <c r="B62" s="14">
        <v>270772</v>
      </c>
      <c r="C62" s="195">
        <v>14123895.68</v>
      </c>
      <c r="D62" s="131">
        <v>52.16158125655533</v>
      </c>
      <c r="E62" s="262">
        <v>14606067</v>
      </c>
      <c r="F62" s="131">
        <v>53.942309396835711</v>
      </c>
      <c r="G62" s="262">
        <v>821700.20000000007</v>
      </c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28"/>
      <c r="X62" s="227"/>
      <c r="Y62" s="227"/>
      <c r="AA62" s="227"/>
      <c r="AB62" s="227"/>
      <c r="AC62" s="227"/>
    </row>
    <row r="63" spans="1:29" ht="14.25" customHeight="1">
      <c r="A63" s="2" t="s">
        <v>283</v>
      </c>
      <c r="B63" s="14">
        <v>5604</v>
      </c>
      <c r="C63" s="170">
        <v>461866.79</v>
      </c>
      <c r="D63" s="131">
        <v>82.41734296930764</v>
      </c>
      <c r="E63" s="262">
        <v>336126</v>
      </c>
      <c r="F63" s="131">
        <v>59.979657387580296</v>
      </c>
      <c r="G63" s="262">
        <v>78725.98</v>
      </c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28"/>
      <c r="X63" s="227"/>
      <c r="Y63" s="227"/>
      <c r="AA63" s="227"/>
      <c r="AB63" s="227"/>
      <c r="AC63" s="227"/>
    </row>
    <row r="64" spans="1:29" ht="14.25" customHeight="1">
      <c r="A64" s="2" t="s">
        <v>223</v>
      </c>
      <c r="B64" s="14">
        <v>14236</v>
      </c>
      <c r="C64" s="170">
        <v>1243747.48</v>
      </c>
      <c r="D64" s="131">
        <v>87.366358527676311</v>
      </c>
      <c r="E64" s="262">
        <v>857400</v>
      </c>
      <c r="F64" s="131">
        <v>60.227592020230404</v>
      </c>
      <c r="G64" s="262">
        <v>106203.12</v>
      </c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28"/>
      <c r="X64" s="227"/>
      <c r="Y64" s="227"/>
      <c r="AA64" s="227"/>
      <c r="AB64" s="227"/>
      <c r="AC64" s="227"/>
    </row>
    <row r="65" spans="1:29" ht="14.25" customHeight="1">
      <c r="A65" s="2" t="s">
        <v>224</v>
      </c>
      <c r="B65" s="14">
        <v>274956</v>
      </c>
      <c r="C65" s="170">
        <v>14925480</v>
      </c>
      <c r="D65" s="131">
        <v>54.283158032557935</v>
      </c>
      <c r="E65" s="262">
        <v>16020444</v>
      </c>
      <c r="F65" s="131">
        <v>58.26548247719635</v>
      </c>
      <c r="G65" s="262">
        <v>833624.6</v>
      </c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28"/>
      <c r="X65" s="227"/>
      <c r="Y65" s="227"/>
      <c r="AA65" s="227"/>
      <c r="AB65" s="227"/>
      <c r="AC65" s="227"/>
    </row>
    <row r="66" spans="1:29" ht="14.25" customHeight="1">
      <c r="A66" s="2" t="s">
        <v>225</v>
      </c>
      <c r="B66" s="14">
        <v>228661</v>
      </c>
      <c r="C66" s="170">
        <v>8794499.8800000008</v>
      </c>
      <c r="D66" s="131">
        <v>38.460865123479742</v>
      </c>
      <c r="E66" s="262">
        <v>9200478</v>
      </c>
      <c r="F66" s="131">
        <v>40.236323640673312</v>
      </c>
      <c r="G66" s="262">
        <v>701683.85</v>
      </c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28"/>
      <c r="X66" s="227"/>
      <c r="Y66" s="227"/>
      <c r="AA66" s="227"/>
      <c r="AB66" s="227"/>
      <c r="AC66" s="227"/>
    </row>
    <row r="67" spans="1:29" ht="14.25" customHeight="1">
      <c r="A67" s="2" t="s">
        <v>226</v>
      </c>
      <c r="B67" s="14">
        <v>90835</v>
      </c>
      <c r="C67" s="170">
        <v>4236421.51</v>
      </c>
      <c r="D67" s="131">
        <v>46.638647107392522</v>
      </c>
      <c r="E67" s="262">
        <v>3634178</v>
      </c>
      <c r="F67" s="131">
        <v>40.008564980459077</v>
      </c>
      <c r="G67" s="262">
        <v>320408.27</v>
      </c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28"/>
      <c r="X67" s="227"/>
      <c r="Y67" s="227"/>
      <c r="AA67" s="227"/>
      <c r="AB67" s="227"/>
      <c r="AC67" s="227"/>
    </row>
    <row r="68" spans="1:29" ht="14.25" customHeight="1">
      <c r="A68" s="2" t="s">
        <v>321</v>
      </c>
      <c r="B68" s="14">
        <v>66855</v>
      </c>
      <c r="C68" s="170">
        <v>2242689.85</v>
      </c>
      <c r="D68" s="131">
        <v>33.545581482312471</v>
      </c>
      <c r="E68" s="262">
        <v>1901076</v>
      </c>
      <c r="F68" s="131">
        <v>28.435808840026922</v>
      </c>
      <c r="G68" s="262">
        <v>248161.91999999998</v>
      </c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28"/>
      <c r="X68" s="227"/>
      <c r="Y68" s="227"/>
      <c r="AA68" s="227"/>
      <c r="AB68" s="227"/>
      <c r="AC68" s="227"/>
    </row>
    <row r="69" spans="1:29" ht="14.25" customHeight="1">
      <c r="A69" s="2" t="s">
        <v>229</v>
      </c>
      <c r="B69" s="14">
        <v>144598</v>
      </c>
      <c r="C69" s="170">
        <v>12635417.290000001</v>
      </c>
      <c r="D69" s="131">
        <v>87.383070927675348</v>
      </c>
      <c r="E69" s="262">
        <v>12431625</v>
      </c>
      <c r="F69" s="131">
        <v>85.973699497918361</v>
      </c>
      <c r="G69" s="262">
        <v>469729.47</v>
      </c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28"/>
      <c r="X69" s="227"/>
      <c r="Y69" s="227"/>
      <c r="AA69" s="227"/>
      <c r="AB69" s="227"/>
      <c r="AC69" s="227"/>
    </row>
    <row r="70" spans="1:29" ht="14.25" customHeight="1">
      <c r="A70" s="2" t="s">
        <v>322</v>
      </c>
      <c r="B70" s="14">
        <v>229337</v>
      </c>
      <c r="C70" s="170">
        <v>11370639.280000001</v>
      </c>
      <c r="D70" s="131">
        <v>49.580483219018305</v>
      </c>
      <c r="E70" s="262">
        <v>11287304</v>
      </c>
      <c r="F70" s="131">
        <v>49.217108447394011</v>
      </c>
      <c r="G70" s="262">
        <v>896757.47</v>
      </c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28"/>
      <c r="X70" s="227"/>
      <c r="Y70" s="227"/>
      <c r="AA70" s="227"/>
      <c r="AB70" s="227"/>
      <c r="AC70" s="227"/>
    </row>
    <row r="71" spans="1:29" ht="14.25" customHeight="1">
      <c r="A71" s="2" t="s">
        <v>323</v>
      </c>
      <c r="B71" s="14">
        <v>33474</v>
      </c>
      <c r="C71" s="170">
        <v>2037937.9500000002</v>
      </c>
      <c r="D71" s="131">
        <v>60.881219752643851</v>
      </c>
      <c r="E71" s="262">
        <v>1719868</v>
      </c>
      <c r="F71" s="131">
        <v>51.37921969289598</v>
      </c>
      <c r="G71" s="262">
        <v>230025.59999999998</v>
      </c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28"/>
      <c r="X71" s="227"/>
      <c r="Y71" s="227"/>
      <c r="AA71" s="227"/>
      <c r="AB71" s="227"/>
      <c r="AC71" s="227"/>
    </row>
    <row r="72" spans="1:29" ht="14.25" customHeight="1">
      <c r="A72" s="2" t="s">
        <v>324</v>
      </c>
      <c r="B72" s="14">
        <v>97162</v>
      </c>
      <c r="C72" s="170">
        <v>7007131.5099999998</v>
      </c>
      <c r="D72" s="131">
        <v>72.118024639262259</v>
      </c>
      <c r="E72" s="262">
        <v>7087644</v>
      </c>
      <c r="F72" s="131">
        <v>72.946666392210943</v>
      </c>
      <c r="G72" s="262">
        <v>969803.44</v>
      </c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28"/>
      <c r="X72" s="227"/>
      <c r="Y72" s="227"/>
      <c r="AA72" s="227"/>
      <c r="AB72" s="227"/>
      <c r="AC72" s="227"/>
    </row>
    <row r="73" spans="1:29" ht="14.25" customHeight="1">
      <c r="A73" s="2" t="s">
        <v>284</v>
      </c>
      <c r="B73" s="14">
        <v>139047</v>
      </c>
      <c r="C73" s="170">
        <v>9508607.9000000004</v>
      </c>
      <c r="D73" s="131">
        <v>68.384128388242829</v>
      </c>
      <c r="E73" s="262">
        <v>10484382</v>
      </c>
      <c r="F73" s="131">
        <v>75.401713089818557</v>
      </c>
      <c r="G73" s="262">
        <v>453909.12</v>
      </c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28"/>
      <c r="X73" s="227"/>
      <c r="Y73" s="227"/>
      <c r="AA73" s="227"/>
      <c r="AB73" s="227"/>
      <c r="AC73" s="227"/>
    </row>
    <row r="74" spans="1:29" ht="14.25" customHeight="1">
      <c r="A74" s="2" t="s">
        <v>232</v>
      </c>
      <c r="B74" s="14">
        <v>81566</v>
      </c>
      <c r="C74" s="170">
        <v>3866680.53</v>
      </c>
      <c r="D74" s="131">
        <v>47.405543118456215</v>
      </c>
      <c r="E74" s="262">
        <v>4122149</v>
      </c>
      <c r="F74" s="131">
        <v>50.537589191574924</v>
      </c>
      <c r="G74" s="262">
        <v>293991.62</v>
      </c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28"/>
      <c r="X74" s="227"/>
      <c r="Y74" s="227"/>
      <c r="AA74" s="227"/>
      <c r="AB74" s="227"/>
      <c r="AC74" s="227"/>
    </row>
    <row r="75" spans="1:29" ht="14.25" customHeight="1">
      <c r="A75" s="2" t="s">
        <v>233</v>
      </c>
      <c r="B75" s="14">
        <v>110803</v>
      </c>
      <c r="C75" s="170">
        <v>4830092.71</v>
      </c>
      <c r="D75" s="131">
        <v>43.591714213514074</v>
      </c>
      <c r="E75" s="262">
        <v>3623938</v>
      </c>
      <c r="F75" s="131">
        <v>32.706136115448139</v>
      </c>
      <c r="G75" s="262">
        <v>377317.07</v>
      </c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28"/>
      <c r="X75" s="227"/>
      <c r="Y75" s="227"/>
      <c r="AA75" s="227"/>
      <c r="AB75" s="227"/>
      <c r="AC75" s="227"/>
    </row>
    <row r="76" spans="1:29" ht="14.25" customHeight="1">
      <c r="A76" s="2" t="s">
        <v>234</v>
      </c>
      <c r="B76" s="14">
        <v>25639</v>
      </c>
      <c r="C76" s="170">
        <v>1683807.1400000001</v>
      </c>
      <c r="D76" s="131">
        <v>65.673666679667704</v>
      </c>
      <c r="E76" s="262">
        <v>1650276</v>
      </c>
      <c r="F76" s="131">
        <v>64.365848902063263</v>
      </c>
      <c r="G76" s="262">
        <v>133496.22</v>
      </c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28"/>
      <c r="X76" s="227"/>
      <c r="Y76" s="227"/>
      <c r="AA76" s="227"/>
      <c r="AB76" s="227"/>
      <c r="AC76" s="227"/>
    </row>
    <row r="77" spans="1:29" ht="14.25" customHeight="1">
      <c r="A77" s="2" t="s">
        <v>236</v>
      </c>
      <c r="B77" s="14">
        <v>22292</v>
      </c>
      <c r="C77" s="170">
        <v>1581501</v>
      </c>
      <c r="D77" s="131">
        <v>70.944778395837076</v>
      </c>
      <c r="E77" s="262">
        <v>1581501</v>
      </c>
      <c r="F77" s="131">
        <v>70.944778395837076</v>
      </c>
      <c r="G77" s="262">
        <v>122964.16</v>
      </c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28"/>
      <c r="X77" s="227"/>
      <c r="Y77" s="227"/>
      <c r="AA77" s="227"/>
      <c r="AB77" s="227"/>
      <c r="AC77" s="227"/>
    </row>
    <row r="78" spans="1:29" ht="14.25" customHeight="1">
      <c r="A78" s="2" t="s">
        <v>238</v>
      </c>
      <c r="B78" s="14">
        <v>48495</v>
      </c>
      <c r="C78" s="170">
        <v>2877950.19</v>
      </c>
      <c r="D78" s="131">
        <v>59.34529724713888</v>
      </c>
      <c r="E78" s="262">
        <v>1843632</v>
      </c>
      <c r="F78" s="131">
        <v>38.016950201051657</v>
      </c>
      <c r="G78" s="262">
        <v>197642.71</v>
      </c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28"/>
      <c r="X78" s="227"/>
      <c r="Y78" s="227"/>
      <c r="AA78" s="227"/>
      <c r="AB78" s="227"/>
      <c r="AC78" s="227"/>
    </row>
    <row r="79" spans="1:29" ht="14.25" customHeight="1">
      <c r="A79" s="2" t="s">
        <v>239</v>
      </c>
      <c r="B79" s="14">
        <v>238614</v>
      </c>
      <c r="C79" s="170">
        <v>22500300.68</v>
      </c>
      <c r="D79" s="131">
        <v>94.295811142682325</v>
      </c>
      <c r="E79" s="262">
        <v>9328702</v>
      </c>
      <c r="F79" s="131">
        <v>39.095367413479508</v>
      </c>
      <c r="G79" s="262">
        <v>730049.9</v>
      </c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28"/>
      <c r="X79" s="227"/>
      <c r="Y79" s="227"/>
      <c r="AA79" s="227"/>
      <c r="AB79" s="227"/>
      <c r="AC79" s="227"/>
    </row>
    <row r="80" spans="1:29" ht="14.25" customHeight="1">
      <c r="A80" s="2" t="s">
        <v>325</v>
      </c>
      <c r="B80" s="14">
        <v>237278</v>
      </c>
      <c r="C80" s="170">
        <v>27789419.740000002</v>
      </c>
      <c r="D80" s="131">
        <v>117.11755721137233</v>
      </c>
      <c r="E80" s="262">
        <v>16529384</v>
      </c>
      <c r="F80" s="131">
        <v>69.662522442030024</v>
      </c>
      <c r="G80" s="262">
        <v>726242.3</v>
      </c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28"/>
      <c r="X80" s="227"/>
      <c r="Y80" s="227"/>
      <c r="AA80" s="227"/>
      <c r="AB80" s="227"/>
      <c r="AC80" s="227"/>
    </row>
    <row r="81" spans="1:29" ht="14.25" customHeight="1">
      <c r="A81" s="2" t="s">
        <v>244</v>
      </c>
      <c r="B81" s="14">
        <v>7081</v>
      </c>
      <c r="C81" s="170">
        <v>551171.6</v>
      </c>
      <c r="D81" s="131">
        <v>77.838101962999573</v>
      </c>
      <c r="E81" s="262">
        <v>577131</v>
      </c>
      <c r="F81" s="131">
        <v>81.504166078237532</v>
      </c>
      <c r="G81" s="262">
        <v>87493.200000000012</v>
      </c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28"/>
      <c r="X81" s="227"/>
      <c r="Y81" s="227"/>
      <c r="AA81" s="227"/>
      <c r="AB81" s="227"/>
      <c r="AC81" s="227"/>
    </row>
    <row r="82" spans="1:29" ht="14.25" customHeight="1">
      <c r="A82" s="2" t="s">
        <v>326</v>
      </c>
      <c r="B82" s="14">
        <v>14408</v>
      </c>
      <c r="C82" s="170">
        <v>817285.55999999994</v>
      </c>
      <c r="D82" s="131">
        <v>56.724428095502496</v>
      </c>
      <c r="E82" s="262">
        <v>2227878</v>
      </c>
      <c r="F82" s="131">
        <v>154.62784564131039</v>
      </c>
      <c r="G82" s="262">
        <v>103817.38</v>
      </c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28"/>
      <c r="X82" s="227"/>
      <c r="Y82" s="227"/>
      <c r="AA82" s="227"/>
      <c r="AB82" s="227"/>
      <c r="AC82" s="227"/>
    </row>
    <row r="83" spans="1:29" ht="14.25" customHeight="1">
      <c r="A83" s="2" t="s">
        <v>247</v>
      </c>
      <c r="B83" s="14">
        <v>8875</v>
      </c>
      <c r="C83" s="170">
        <v>503966.2</v>
      </c>
      <c r="D83" s="131">
        <v>56.784923943661973</v>
      </c>
      <c r="E83" s="262">
        <v>500871</v>
      </c>
      <c r="F83" s="131">
        <v>56.436169014084506</v>
      </c>
      <c r="G83" s="262">
        <v>84725.709999999992</v>
      </c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28"/>
      <c r="X83" s="227"/>
      <c r="Y83" s="227"/>
      <c r="AA83" s="227"/>
      <c r="AB83" s="227"/>
      <c r="AC83" s="227"/>
    </row>
    <row r="84" spans="1:29" ht="14.25" customHeight="1">
      <c r="A84" s="2" t="s">
        <v>249</v>
      </c>
      <c r="B84" s="14">
        <v>68951</v>
      </c>
      <c r="C84" s="170">
        <v>2992483</v>
      </c>
      <c r="D84" s="131">
        <v>43.400139229307769</v>
      </c>
      <c r="E84" s="262">
        <v>2936420</v>
      </c>
      <c r="F84" s="131">
        <v>42.587054574988038</v>
      </c>
      <c r="G84" s="262">
        <v>258038.87</v>
      </c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28"/>
      <c r="X84" s="227"/>
      <c r="Y84" s="227"/>
      <c r="AA84" s="227"/>
      <c r="AB84" s="227"/>
      <c r="AC84" s="227"/>
    </row>
    <row r="85" spans="1:29" ht="14.25" customHeight="1">
      <c r="A85" s="2" t="s">
        <v>254</v>
      </c>
      <c r="B85" s="14">
        <v>72857</v>
      </c>
      <c r="C85" s="170">
        <v>6579898.1699999999</v>
      </c>
      <c r="D85" s="131">
        <v>90.312504906872363</v>
      </c>
      <c r="E85" s="262">
        <v>6178168</v>
      </c>
      <c r="F85" s="131">
        <v>84.798550585393301</v>
      </c>
      <c r="G85" s="262">
        <v>265267.62</v>
      </c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28"/>
      <c r="X85" s="227"/>
      <c r="Y85" s="227"/>
      <c r="AA85" s="227"/>
      <c r="AB85" s="227"/>
      <c r="AC85" s="227"/>
    </row>
    <row r="86" spans="1:29" ht="14.25" customHeight="1">
      <c r="A86" s="2" t="s">
        <v>256</v>
      </c>
      <c r="B86" s="14">
        <v>7804</v>
      </c>
      <c r="C86" s="170">
        <v>718870.0199999999</v>
      </c>
      <c r="D86" s="131">
        <v>92.115584315735504</v>
      </c>
      <c r="E86" s="262">
        <v>519710</v>
      </c>
      <c r="F86" s="131">
        <v>66.595335725269095</v>
      </c>
      <c r="G86" s="262">
        <v>84995.98000000001</v>
      </c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28"/>
      <c r="X86" s="227"/>
      <c r="Y86" s="227"/>
      <c r="AA86" s="227"/>
      <c r="AB86" s="227"/>
      <c r="AC86" s="227"/>
    </row>
    <row r="87" spans="1:29" ht="14.25" customHeight="1">
      <c r="A87" s="2" t="s">
        <v>327</v>
      </c>
      <c r="B87" s="14">
        <v>42313</v>
      </c>
      <c r="C87" s="170">
        <v>3152745.8</v>
      </c>
      <c r="D87" s="131">
        <v>74.510098551272648</v>
      </c>
      <c r="E87" s="262">
        <v>3026426</v>
      </c>
      <c r="F87" s="131">
        <v>71.524732351759511</v>
      </c>
      <c r="G87" s="262">
        <v>439058.94</v>
      </c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28"/>
      <c r="X87" s="227"/>
      <c r="Y87" s="227"/>
      <c r="AA87" s="227"/>
      <c r="AB87" s="227"/>
      <c r="AC87" s="227"/>
    </row>
    <row r="88" spans="1:29" ht="14.25" customHeight="1">
      <c r="A88" s="2" t="s">
        <v>257</v>
      </c>
      <c r="B88" s="14">
        <v>79634</v>
      </c>
      <c r="C88" s="170">
        <v>8125164.1100000003</v>
      </c>
      <c r="D88" s="131">
        <v>102.03134477735641</v>
      </c>
      <c r="E88" s="262">
        <v>6889054</v>
      </c>
      <c r="F88" s="131">
        <v>86.508953462089053</v>
      </c>
      <c r="G88" s="262">
        <v>284582.07</v>
      </c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28"/>
      <c r="X88" s="227"/>
      <c r="Y88" s="227"/>
      <c r="AA88" s="227"/>
      <c r="AB88" s="227"/>
      <c r="AC88" s="227"/>
    </row>
    <row r="89" spans="1:29" ht="14.25" customHeight="1">
      <c r="A89" s="2" t="s">
        <v>258</v>
      </c>
      <c r="B89" s="14">
        <v>53552</v>
      </c>
      <c r="C89" s="170">
        <v>2365196.7799999998</v>
      </c>
      <c r="D89" s="131">
        <v>44.166357559008063</v>
      </c>
      <c r="E89" s="262">
        <v>2296282</v>
      </c>
      <c r="F89" s="131">
        <v>42.879481625336119</v>
      </c>
      <c r="G89" s="262">
        <v>211161.36000000002</v>
      </c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28"/>
      <c r="X89" s="227"/>
      <c r="Y89" s="227"/>
      <c r="AA89" s="227"/>
      <c r="AB89" s="227"/>
      <c r="AC89" s="227"/>
    </row>
    <row r="90" spans="1:29" ht="14.25" customHeight="1">
      <c r="A90" s="2" t="s">
        <v>285</v>
      </c>
      <c r="B90" s="14">
        <v>59782</v>
      </c>
      <c r="C90" s="170">
        <v>2096641.95</v>
      </c>
      <c r="D90" s="131">
        <v>35.071458800307781</v>
      </c>
      <c r="E90" s="262">
        <v>1637183</v>
      </c>
      <c r="F90" s="131">
        <v>27.385885383560268</v>
      </c>
      <c r="G90" s="262">
        <v>228916.86000000002</v>
      </c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28"/>
      <c r="X90" s="227"/>
      <c r="Y90" s="227"/>
      <c r="AA90" s="227"/>
      <c r="AB90" s="227"/>
      <c r="AC90" s="227"/>
    </row>
    <row r="91" spans="1:29" ht="14.25" customHeight="1">
      <c r="A91" s="2" t="s">
        <v>260</v>
      </c>
      <c r="B91" s="14">
        <v>221894</v>
      </c>
      <c r="C91" s="170">
        <v>15748553.200000001</v>
      </c>
      <c r="D91" s="131">
        <v>70.973316989193037</v>
      </c>
      <c r="E91" s="262">
        <v>15971426</v>
      </c>
      <c r="F91" s="131">
        <v>71.977728104410218</v>
      </c>
      <c r="G91" s="262">
        <v>684697.9</v>
      </c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28"/>
      <c r="X91" s="227"/>
      <c r="Y91" s="227"/>
      <c r="AA91" s="227"/>
      <c r="AB91" s="227"/>
      <c r="AC91" s="227"/>
    </row>
    <row r="92" spans="1:29" ht="14.25" customHeight="1">
      <c r="A92" s="2" t="s">
        <v>261</v>
      </c>
      <c r="B92" s="14">
        <v>55175</v>
      </c>
      <c r="C92" s="170">
        <v>8302824.7700000005</v>
      </c>
      <c r="D92" s="131">
        <v>150.48164512913459</v>
      </c>
      <c r="E92" s="262">
        <v>8110387</v>
      </c>
      <c r="F92" s="131">
        <v>146.99387403715451</v>
      </c>
      <c r="G92" s="262">
        <v>214873.91999999998</v>
      </c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28"/>
      <c r="X92" s="227"/>
      <c r="Y92" s="227"/>
      <c r="AA92" s="227"/>
      <c r="AB92" s="227"/>
      <c r="AC92" s="227"/>
    </row>
    <row r="93" spans="1:29" ht="14.25" customHeight="1">
      <c r="A93" s="2" t="s">
        <v>328</v>
      </c>
      <c r="B93" s="14">
        <v>17647</v>
      </c>
      <c r="C93" s="170">
        <v>445090.11</v>
      </c>
      <c r="D93" s="131">
        <v>25.221856972856575</v>
      </c>
      <c r="E93" s="262">
        <v>256565</v>
      </c>
      <c r="F93" s="131">
        <v>14.538731795772653</v>
      </c>
      <c r="G93" s="262">
        <v>107919.12</v>
      </c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28"/>
      <c r="X93" s="227"/>
      <c r="Y93" s="227"/>
      <c r="AA93" s="227"/>
      <c r="AB93" s="227"/>
      <c r="AC93" s="227"/>
    </row>
    <row r="94" spans="1:29" ht="14.25" customHeight="1">
      <c r="A94" s="2"/>
      <c r="B94" s="14"/>
      <c r="C94" s="170"/>
      <c r="D94" s="131"/>
      <c r="E94" s="262"/>
      <c r="F94" s="131"/>
      <c r="G94" s="262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28"/>
      <c r="X94" s="227"/>
      <c r="Y94" s="227"/>
      <c r="AA94" s="227"/>
      <c r="AB94" s="227"/>
      <c r="AC94" s="227"/>
    </row>
    <row r="95" spans="1:29" ht="14.25" customHeight="1">
      <c r="A95" s="7" t="s">
        <v>105</v>
      </c>
      <c r="B95" s="15">
        <f>MEDIAN(B5:B93)</f>
        <v>66855</v>
      </c>
      <c r="C95" s="58">
        <f t="shared" ref="C95:G95" si="0">MEDIAN(C5:C93)</f>
        <v>3804043.7399999998</v>
      </c>
      <c r="D95" s="58">
        <f t="shared" si="0"/>
        <v>62.454660727461537</v>
      </c>
      <c r="E95" s="15">
        <f t="shared" si="0"/>
        <v>3377158</v>
      </c>
      <c r="F95" s="58">
        <f t="shared" si="0"/>
        <v>56.436169014084506</v>
      </c>
      <c r="G95" s="15">
        <f t="shared" si="0"/>
        <v>263283.72000000003</v>
      </c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28"/>
      <c r="X95" s="227"/>
      <c r="Y95" s="227"/>
      <c r="AA95" s="227"/>
      <c r="AB95" s="227"/>
      <c r="AC95" s="227"/>
    </row>
    <row r="96" spans="1:29" ht="14.25" customHeight="1">
      <c r="A96" s="7" t="s">
        <v>104</v>
      </c>
      <c r="B96" s="15">
        <f>AVERAGE(B5:B93)</f>
        <v>95242.280898876401</v>
      </c>
      <c r="C96" s="58">
        <f t="shared" ref="C96:G96" si="1">AVERAGE(C5:C93)</f>
        <v>5745806.9801123599</v>
      </c>
      <c r="D96" s="58">
        <f t="shared" si="1"/>
        <v>68.968052009075052</v>
      </c>
      <c r="E96" s="15">
        <f t="shared" si="1"/>
        <v>4999195.6004494373</v>
      </c>
      <c r="F96" s="58">
        <f t="shared" si="1"/>
        <v>62.328409158188428</v>
      </c>
      <c r="G96" s="15">
        <f t="shared" si="1"/>
        <v>357957.93786516861</v>
      </c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28"/>
      <c r="X96" s="227"/>
      <c r="Y96" s="227"/>
      <c r="AA96" s="227"/>
      <c r="AB96" s="227"/>
      <c r="AC96" s="227"/>
    </row>
    <row r="97" spans="1:29" ht="14.25" customHeight="1">
      <c r="A97" s="7" t="s">
        <v>329</v>
      </c>
      <c r="B97" s="15">
        <f>SUM(B5:B93)</f>
        <v>8476563</v>
      </c>
      <c r="C97" s="58">
        <f t="shared" ref="C97:G97" si="2">SUM(C5:C93)</f>
        <v>511376821.23000002</v>
      </c>
      <c r="D97" s="58"/>
      <c r="E97" s="15">
        <f t="shared" si="2"/>
        <v>444928408.43999994</v>
      </c>
      <c r="F97" s="58"/>
      <c r="G97" s="15">
        <f t="shared" si="2"/>
        <v>31858256.470000006</v>
      </c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28"/>
      <c r="X97" s="227"/>
      <c r="Y97" s="227"/>
      <c r="AA97" s="227"/>
      <c r="AB97" s="227"/>
      <c r="AC97" s="227"/>
    </row>
    <row r="98" spans="1:29" ht="14.25" customHeight="1">
      <c r="A98" s="7"/>
      <c r="B98" s="15"/>
      <c r="C98" s="58"/>
      <c r="D98" s="15"/>
      <c r="E98" s="15"/>
      <c r="F98" s="15"/>
      <c r="G98" s="15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28"/>
      <c r="X98" s="227"/>
      <c r="Y98" s="227"/>
      <c r="AA98" s="227"/>
      <c r="AB98" s="227"/>
      <c r="AC98" s="227"/>
    </row>
    <row r="99" spans="1:29" ht="14.25" customHeight="1">
      <c r="A99" s="2" t="s">
        <v>330</v>
      </c>
      <c r="B99" s="14"/>
      <c r="D99" s="57"/>
      <c r="E99" s="2"/>
      <c r="F99" s="131"/>
      <c r="G99" s="2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28"/>
      <c r="X99" s="227"/>
      <c r="Y99" s="227"/>
      <c r="AA99" s="227"/>
      <c r="AB99" s="227"/>
      <c r="AC99" s="227"/>
    </row>
    <row r="100" spans="1:29" ht="14.25" customHeight="1">
      <c r="A100" s="44" t="s">
        <v>267</v>
      </c>
      <c r="B100" s="14"/>
      <c r="D100" s="57"/>
      <c r="E100" s="2"/>
      <c r="F100" s="2"/>
      <c r="G100" s="2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28"/>
      <c r="X100" s="227"/>
      <c r="Y100" s="227"/>
      <c r="AA100" s="227"/>
      <c r="AB100" s="227"/>
      <c r="AC100" s="227"/>
    </row>
    <row r="101" spans="1:29" ht="14.25" customHeight="1">
      <c r="A101" s="44"/>
      <c r="B101" s="14"/>
      <c r="D101" s="57"/>
      <c r="E101" s="2"/>
      <c r="F101" s="2"/>
      <c r="G101" s="2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28"/>
      <c r="X101" s="227"/>
      <c r="Y101" s="227"/>
      <c r="AA101" s="227"/>
      <c r="AB101" s="227"/>
      <c r="AC101" s="227"/>
    </row>
  </sheetData>
  <sortState xmlns:xlrd2="http://schemas.microsoft.com/office/spreadsheetml/2017/richdata2" ref="A5:G51">
    <sortCondition ref="A6"/>
  </sortState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02"/>
  <sheetViews>
    <sheetView zoomScaleNormal="100" workbookViewId="0">
      <pane ySplit="3" topLeftCell="A80" activePane="bottomLeft" state="frozen"/>
      <selection pane="bottomLeft"/>
      <selection activeCell="G34" sqref="G34"/>
    </sheetView>
  </sheetViews>
  <sheetFormatPr defaultColWidth="18.140625" defaultRowHeight="14.25" customHeight="1"/>
  <cols>
    <col min="8" max="8" width="18.140625" style="159"/>
    <col min="17" max="17" width="18.140625" style="38"/>
    <col min="18" max="18" width="18.140625" style="89"/>
  </cols>
  <sheetData>
    <row r="1" spans="1:21" ht="15">
      <c r="A1" s="9" t="s">
        <v>331</v>
      </c>
    </row>
    <row r="2" spans="1:21" ht="12.75"/>
    <row r="3" spans="1:21" ht="72.75" customHeight="1">
      <c r="B3" s="105" t="s">
        <v>332</v>
      </c>
      <c r="C3" s="105" t="s">
        <v>333</v>
      </c>
      <c r="D3" s="105" t="s">
        <v>334</v>
      </c>
      <c r="E3" s="105" t="s">
        <v>335</v>
      </c>
      <c r="F3" s="105" t="s">
        <v>336</v>
      </c>
      <c r="G3" s="105" t="s">
        <v>337</v>
      </c>
      <c r="H3" s="288" t="s">
        <v>263</v>
      </c>
      <c r="K3" s="2"/>
      <c r="L3" s="105"/>
      <c r="M3" s="105"/>
      <c r="N3" s="105"/>
      <c r="O3" s="105"/>
      <c r="P3" s="105"/>
      <c r="Q3" s="105"/>
      <c r="R3" s="105"/>
      <c r="U3" s="105"/>
    </row>
    <row r="4" spans="1:21" ht="13.5" customHeight="1">
      <c r="A4" s="2" t="s">
        <v>118</v>
      </c>
      <c r="B4" s="195">
        <v>130000</v>
      </c>
      <c r="C4" s="195">
        <v>40000</v>
      </c>
      <c r="D4" s="195">
        <v>22000</v>
      </c>
      <c r="E4" s="195">
        <v>13000</v>
      </c>
      <c r="F4" s="195">
        <v>24000</v>
      </c>
      <c r="G4" s="195">
        <v>87000</v>
      </c>
      <c r="H4" s="272">
        <v>316000</v>
      </c>
      <c r="I4" s="127"/>
      <c r="J4" s="159"/>
      <c r="K4" s="26"/>
      <c r="L4" s="302"/>
      <c r="M4" s="302"/>
      <c r="N4" s="302"/>
      <c r="O4" s="302"/>
      <c r="P4" s="303"/>
      <c r="Q4" s="302"/>
      <c r="R4" s="8"/>
      <c r="T4" s="116"/>
      <c r="U4" s="162"/>
    </row>
    <row r="5" spans="1:21" ht="13.5" customHeight="1">
      <c r="A5" s="2" t="s">
        <v>278</v>
      </c>
      <c r="B5" s="195">
        <v>76277.3</v>
      </c>
      <c r="C5" s="195">
        <v>11502.61</v>
      </c>
      <c r="D5" s="195">
        <v>6514.19</v>
      </c>
      <c r="E5" s="195"/>
      <c r="F5" s="195"/>
      <c r="G5" s="195">
        <v>25176.18</v>
      </c>
      <c r="H5" s="272">
        <v>119470.28</v>
      </c>
      <c r="I5" s="127"/>
      <c r="J5" s="159"/>
      <c r="K5" s="304"/>
      <c r="M5" s="169"/>
      <c r="N5" s="169"/>
      <c r="O5" s="169"/>
      <c r="P5" s="169"/>
      <c r="Q5" s="169"/>
      <c r="R5" s="8"/>
    </row>
    <row r="6" spans="1:21" ht="13.5" customHeight="1">
      <c r="A6" s="2" t="s">
        <v>123</v>
      </c>
      <c r="B6" s="195">
        <v>17422.47</v>
      </c>
      <c r="C6" s="195"/>
      <c r="D6" s="195">
        <v>7063.2</v>
      </c>
      <c r="E6" s="195">
        <v>16767.52</v>
      </c>
      <c r="F6" s="195"/>
      <c r="G6" s="195"/>
      <c r="H6" s="272">
        <v>41253.19</v>
      </c>
      <c r="I6" s="127"/>
      <c r="J6" s="159"/>
      <c r="K6" s="304"/>
      <c r="L6" s="169"/>
      <c r="M6" s="169"/>
      <c r="N6" s="169"/>
      <c r="O6" s="169"/>
      <c r="P6" s="199"/>
      <c r="Q6" s="169"/>
      <c r="R6" s="8"/>
    </row>
    <row r="7" spans="1:21" ht="13.5" customHeight="1">
      <c r="A7" s="2" t="s">
        <v>304</v>
      </c>
      <c r="B7" s="195">
        <v>174022.3</v>
      </c>
      <c r="C7" s="195"/>
      <c r="D7" s="195">
        <v>51292.34</v>
      </c>
      <c r="E7" s="195"/>
      <c r="F7" s="195"/>
      <c r="G7" s="195">
        <v>120554.14</v>
      </c>
      <c r="H7" s="272">
        <v>345868.77999999997</v>
      </c>
      <c r="I7" s="127"/>
      <c r="J7" s="159"/>
      <c r="K7" s="304"/>
      <c r="L7" s="169"/>
      <c r="M7" s="169"/>
      <c r="N7" s="169"/>
      <c r="O7" s="169"/>
      <c r="P7" s="169"/>
      <c r="Q7" s="169"/>
      <c r="R7" s="8"/>
    </row>
    <row r="8" spans="1:21" ht="13.5" customHeight="1">
      <c r="A8" s="2" t="s">
        <v>126</v>
      </c>
      <c r="B8" s="195">
        <v>542494.48</v>
      </c>
      <c r="C8" s="195"/>
      <c r="D8" s="195"/>
      <c r="E8" s="195"/>
      <c r="F8" s="195">
        <v>129003.13</v>
      </c>
      <c r="G8" s="195"/>
      <c r="H8" s="272">
        <v>671497.61</v>
      </c>
      <c r="I8" s="127"/>
      <c r="J8" s="159"/>
      <c r="K8" s="26"/>
      <c r="L8" s="207"/>
      <c r="M8" s="207"/>
      <c r="N8" s="207"/>
      <c r="O8" s="207"/>
      <c r="P8" s="207"/>
      <c r="Q8" s="207"/>
      <c r="R8" s="305"/>
    </row>
    <row r="9" spans="1:21" ht="13.5" customHeight="1">
      <c r="A9" s="2" t="s">
        <v>127</v>
      </c>
      <c r="B9" s="195">
        <v>54621.58</v>
      </c>
      <c r="C9" s="195">
        <v>42916.959999999999</v>
      </c>
      <c r="D9" s="195">
        <v>3685.18</v>
      </c>
      <c r="E9" s="195"/>
      <c r="F9" s="195"/>
      <c r="G9" s="195"/>
      <c r="H9" s="272">
        <v>101223.72</v>
      </c>
      <c r="I9" s="127"/>
      <c r="J9" s="159"/>
      <c r="K9" s="2"/>
      <c r="L9" s="105"/>
      <c r="M9" s="105"/>
      <c r="N9" s="105"/>
      <c r="O9" s="105"/>
      <c r="P9" s="105"/>
      <c r="Q9" s="105"/>
      <c r="R9" s="105"/>
    </row>
    <row r="10" spans="1:21" ht="13.5" customHeight="1">
      <c r="A10" s="2" t="s">
        <v>305</v>
      </c>
      <c r="B10" s="195">
        <v>66612.95</v>
      </c>
      <c r="C10" s="195">
        <v>0</v>
      </c>
      <c r="D10" s="195">
        <v>81.5</v>
      </c>
      <c r="E10" s="195">
        <v>41816.129999999997</v>
      </c>
      <c r="F10" s="195">
        <v>660.4</v>
      </c>
      <c r="G10" s="195">
        <v>7922.25</v>
      </c>
      <c r="H10" s="272">
        <v>117093.22999999998</v>
      </c>
      <c r="I10" s="127"/>
      <c r="J10" s="159"/>
      <c r="K10" s="306"/>
      <c r="L10" s="207"/>
      <c r="M10" s="207"/>
      <c r="N10" s="207"/>
      <c r="O10" s="207"/>
      <c r="P10" s="207"/>
      <c r="Q10" s="207"/>
      <c r="R10" s="107"/>
    </row>
    <row r="11" spans="1:21" ht="13.5" customHeight="1">
      <c r="A11" s="2" t="s">
        <v>306</v>
      </c>
      <c r="B11" s="195">
        <v>491689</v>
      </c>
      <c r="C11" s="273">
        <v>307128</v>
      </c>
      <c r="D11" s="195">
        <v>100314</v>
      </c>
      <c r="E11" s="273">
        <v>70225</v>
      </c>
      <c r="F11" s="273"/>
      <c r="G11" s="195"/>
      <c r="H11" s="272">
        <v>969356</v>
      </c>
      <c r="I11" s="127"/>
      <c r="J11" s="159"/>
      <c r="K11" s="26"/>
      <c r="L11" s="302"/>
      <c r="M11" s="302"/>
      <c r="N11" s="302"/>
      <c r="O11" s="302"/>
      <c r="P11" s="307"/>
      <c r="Q11" s="302"/>
    </row>
    <row r="12" spans="1:21" ht="13.5" customHeight="1">
      <c r="A12" s="2" t="s">
        <v>307</v>
      </c>
      <c r="B12" s="195">
        <v>156056.25</v>
      </c>
      <c r="C12" s="195">
        <v>30859.3</v>
      </c>
      <c r="D12" s="195">
        <v>25999.34</v>
      </c>
      <c r="E12" s="195"/>
      <c r="F12" s="195">
        <v>115577.64</v>
      </c>
      <c r="G12" s="195">
        <v>60835.21</v>
      </c>
      <c r="H12" s="272">
        <v>389327.74</v>
      </c>
      <c r="I12" s="127"/>
      <c r="J12" s="159"/>
      <c r="K12" s="304"/>
      <c r="L12" s="169"/>
      <c r="M12" s="169"/>
      <c r="N12" s="169"/>
      <c r="O12" s="169"/>
      <c r="P12" s="169"/>
      <c r="Q12" s="169"/>
    </row>
    <row r="13" spans="1:21" ht="13.5" customHeight="1">
      <c r="A13" s="2" t="s">
        <v>139</v>
      </c>
      <c r="B13" s="195">
        <v>6289.08</v>
      </c>
      <c r="C13" s="195"/>
      <c r="D13" s="195">
        <v>3764</v>
      </c>
      <c r="E13" s="195"/>
      <c r="F13" s="195"/>
      <c r="G13" s="195">
        <v>6380.75</v>
      </c>
      <c r="H13" s="272">
        <v>16433.830000000002</v>
      </c>
      <c r="I13" s="127"/>
      <c r="J13" s="159"/>
      <c r="K13" s="2"/>
      <c r="L13" s="169"/>
      <c r="M13" s="169"/>
      <c r="N13" s="169"/>
      <c r="O13" s="169"/>
      <c r="P13" s="169"/>
      <c r="Q13" s="169"/>
    </row>
    <row r="14" spans="1:21" ht="13.5" customHeight="1">
      <c r="A14" s="2" t="s">
        <v>308</v>
      </c>
      <c r="B14" s="195">
        <v>8621.66</v>
      </c>
      <c r="C14" s="195"/>
      <c r="D14" s="195">
        <v>14365.03</v>
      </c>
      <c r="E14" s="195">
        <v>3688.91</v>
      </c>
      <c r="F14" s="195"/>
      <c r="G14" s="195">
        <v>10291.01</v>
      </c>
      <c r="H14" s="272">
        <v>36966.61</v>
      </c>
      <c r="I14" s="127"/>
      <c r="J14" s="159"/>
      <c r="K14" s="304"/>
      <c r="L14" s="169"/>
      <c r="M14" s="169"/>
      <c r="N14" s="169"/>
      <c r="O14" s="169"/>
      <c r="P14" s="169"/>
      <c r="Q14" s="169"/>
    </row>
    <row r="15" spans="1:21" ht="13.5" customHeight="1">
      <c r="A15" s="2" t="s">
        <v>144</v>
      </c>
      <c r="B15" s="195">
        <v>125135.4</v>
      </c>
      <c r="C15" s="195">
        <v>39907.14</v>
      </c>
      <c r="D15" s="195">
        <v>56706.83</v>
      </c>
      <c r="E15" s="195"/>
      <c r="F15" s="195"/>
      <c r="G15" s="195">
        <v>15726.23</v>
      </c>
      <c r="H15" s="272">
        <v>237475.6</v>
      </c>
      <c r="I15" s="127"/>
      <c r="J15" s="159"/>
      <c r="K15" s="304"/>
      <c r="L15" s="169"/>
      <c r="M15" s="169"/>
      <c r="N15" s="169"/>
      <c r="O15" s="169"/>
      <c r="P15" s="169"/>
      <c r="Q15" s="169"/>
    </row>
    <row r="16" spans="1:21" ht="13.5" customHeight="1">
      <c r="A16" s="2" t="s">
        <v>148</v>
      </c>
      <c r="B16" s="195">
        <v>206491</v>
      </c>
      <c r="C16" s="195">
        <v>65307</v>
      </c>
      <c r="D16" s="195">
        <v>65535</v>
      </c>
      <c r="E16" s="195">
        <v>7680</v>
      </c>
      <c r="F16" s="195">
        <v>281</v>
      </c>
      <c r="G16" s="195">
        <v>43747</v>
      </c>
      <c r="H16" s="272">
        <v>389041</v>
      </c>
      <c r="I16" s="127"/>
      <c r="J16" s="159"/>
      <c r="K16" s="304"/>
      <c r="L16" s="169"/>
      <c r="M16" s="169"/>
      <c r="N16" s="169"/>
      <c r="O16" s="169"/>
      <c r="P16" s="169"/>
      <c r="Q16" s="169"/>
      <c r="T16" s="116"/>
    </row>
    <row r="17" spans="1:18" ht="13.5" customHeight="1">
      <c r="A17" s="2" t="s">
        <v>309</v>
      </c>
      <c r="B17" s="195">
        <v>516267.2</v>
      </c>
      <c r="C17" s="195">
        <v>45633.72</v>
      </c>
      <c r="D17" s="195"/>
      <c r="E17" s="195">
        <v>33203.15</v>
      </c>
      <c r="F17" s="195"/>
      <c r="G17" s="195">
        <v>121669.7</v>
      </c>
      <c r="H17" s="272">
        <v>716773.77</v>
      </c>
      <c r="I17" s="127"/>
      <c r="J17" s="159"/>
      <c r="K17" s="304"/>
      <c r="L17" s="169"/>
      <c r="M17" s="169"/>
      <c r="N17" s="169"/>
      <c r="O17" s="169"/>
      <c r="P17" s="169"/>
      <c r="Q17" s="169"/>
    </row>
    <row r="18" spans="1:18" ht="13.5" customHeight="1">
      <c r="A18" s="2" t="s">
        <v>151</v>
      </c>
      <c r="B18" s="195">
        <v>485408.72</v>
      </c>
      <c r="C18" s="195">
        <v>25102.9</v>
      </c>
      <c r="D18" s="195">
        <v>13639.69</v>
      </c>
      <c r="E18" s="195"/>
      <c r="F18" s="195">
        <v>77968.320000000007</v>
      </c>
      <c r="G18" s="195">
        <v>67702.2</v>
      </c>
      <c r="H18" s="272">
        <v>669821.82999999996</v>
      </c>
      <c r="I18" s="127"/>
      <c r="J18" s="159"/>
      <c r="K18" s="306"/>
      <c r="L18" s="207"/>
      <c r="M18" s="207"/>
      <c r="N18" s="207"/>
      <c r="O18" s="207"/>
      <c r="P18" s="207"/>
      <c r="Q18" s="207"/>
      <c r="R18" s="107"/>
    </row>
    <row r="19" spans="1:18" ht="13.5" customHeight="1">
      <c r="A19" s="2" t="s">
        <v>310</v>
      </c>
      <c r="B19" s="195">
        <v>620142</v>
      </c>
      <c r="C19" s="195">
        <v>117787</v>
      </c>
      <c r="D19" s="195">
        <v>122295</v>
      </c>
      <c r="E19" s="195"/>
      <c r="F19" s="195"/>
      <c r="G19" s="195">
        <v>455495</v>
      </c>
      <c r="H19" s="272">
        <v>1315719</v>
      </c>
      <c r="I19" s="127"/>
      <c r="J19" s="159"/>
      <c r="K19" s="27"/>
      <c r="L19" s="169"/>
      <c r="M19" s="169"/>
      <c r="N19" s="169"/>
      <c r="O19" s="169"/>
      <c r="P19" s="49"/>
      <c r="Q19" s="308"/>
    </row>
    <row r="20" spans="1:18" ht="13.5" customHeight="1">
      <c r="A20" s="2" t="s">
        <v>154</v>
      </c>
      <c r="B20" s="195">
        <v>872520.92</v>
      </c>
      <c r="C20" s="195"/>
      <c r="D20" s="195">
        <v>27871.29</v>
      </c>
      <c r="E20" s="195"/>
      <c r="F20" s="195"/>
      <c r="G20" s="274">
        <v>450203.34</v>
      </c>
      <c r="H20" s="272">
        <v>1350595.55</v>
      </c>
      <c r="I20" s="127"/>
      <c r="J20" s="159"/>
      <c r="K20" s="26"/>
      <c r="L20" s="302"/>
      <c r="M20" s="302"/>
      <c r="N20" s="302"/>
      <c r="O20" s="302"/>
      <c r="P20" s="307"/>
      <c r="Q20" s="309"/>
    </row>
    <row r="21" spans="1:18" ht="13.5" customHeight="1">
      <c r="A21" s="2" t="s">
        <v>311</v>
      </c>
      <c r="B21" s="195">
        <v>225661</v>
      </c>
      <c r="C21" s="195">
        <v>114042</v>
      </c>
      <c r="D21" s="195">
        <v>20965.8</v>
      </c>
      <c r="E21" s="273">
        <v>0</v>
      </c>
      <c r="F21" s="195">
        <v>10647</v>
      </c>
      <c r="G21" s="195">
        <v>38109</v>
      </c>
      <c r="H21" s="272">
        <v>409424.8</v>
      </c>
      <c r="I21" s="127"/>
      <c r="J21" s="159"/>
      <c r="K21" s="304"/>
      <c r="L21" s="169"/>
      <c r="M21" s="169"/>
      <c r="N21" s="169"/>
      <c r="O21" s="169"/>
      <c r="P21" s="169"/>
      <c r="Q21" s="169"/>
    </row>
    <row r="22" spans="1:18" ht="13.5" customHeight="1">
      <c r="A22" s="2" t="s">
        <v>312</v>
      </c>
      <c r="B22" s="195">
        <v>329535.34999999998</v>
      </c>
      <c r="C22" s="195">
        <v>0</v>
      </c>
      <c r="D22" s="195">
        <v>33421</v>
      </c>
      <c r="E22" s="273">
        <v>0</v>
      </c>
      <c r="F22" s="195">
        <v>91760.65</v>
      </c>
      <c r="G22" s="195">
        <v>76858</v>
      </c>
      <c r="H22" s="272">
        <v>531575</v>
      </c>
      <c r="I22" s="127"/>
      <c r="J22" s="159"/>
      <c r="K22" s="304"/>
      <c r="L22" s="169"/>
      <c r="M22" s="169"/>
      <c r="N22" s="169"/>
      <c r="O22" s="169"/>
      <c r="P22" s="169"/>
      <c r="Q22" s="169"/>
    </row>
    <row r="23" spans="1:18" ht="13.5" customHeight="1">
      <c r="A23" s="2" t="s">
        <v>313</v>
      </c>
      <c r="B23" s="195">
        <v>90055.26</v>
      </c>
      <c r="C23" s="273">
        <v>68391.47</v>
      </c>
      <c r="D23" s="195">
        <v>24272.66</v>
      </c>
      <c r="E23" s="273">
        <v>14019.04</v>
      </c>
      <c r="F23" s="273">
        <v>43180.67</v>
      </c>
      <c r="G23" s="195">
        <v>34875.599999999999</v>
      </c>
      <c r="H23" s="272">
        <v>274794.69999999995</v>
      </c>
      <c r="I23" s="127"/>
      <c r="J23" s="159"/>
      <c r="K23" s="304"/>
      <c r="L23" s="169"/>
      <c r="M23" s="169"/>
      <c r="N23" s="169"/>
      <c r="O23" s="169"/>
      <c r="P23" s="169"/>
      <c r="Q23" s="169"/>
    </row>
    <row r="24" spans="1:18" ht="13.5" customHeight="1">
      <c r="A24" s="2" t="s">
        <v>314</v>
      </c>
      <c r="B24" s="267">
        <v>276972.96999999997</v>
      </c>
      <c r="C24" s="195">
        <v>47776.5</v>
      </c>
      <c r="D24" s="195">
        <v>2859.41</v>
      </c>
      <c r="E24" s="273">
        <v>0</v>
      </c>
      <c r="F24" s="195">
        <v>100332.55</v>
      </c>
      <c r="G24" s="195">
        <v>50654</v>
      </c>
      <c r="H24" s="272">
        <v>478595.42999999993</v>
      </c>
      <c r="I24" s="127"/>
      <c r="J24" s="159"/>
      <c r="K24" s="304"/>
      <c r="L24" s="169"/>
      <c r="M24" s="169"/>
      <c r="N24" s="57"/>
      <c r="O24" s="169"/>
      <c r="P24" s="169"/>
      <c r="Q24" s="169"/>
    </row>
    <row r="25" spans="1:18" ht="13.5" customHeight="1">
      <c r="A25" s="2" t="s">
        <v>158</v>
      </c>
      <c r="B25" s="195">
        <v>23982</v>
      </c>
      <c r="C25" s="195"/>
      <c r="D25" s="195"/>
      <c r="E25" s="273"/>
      <c r="F25" s="195"/>
      <c r="G25" s="195"/>
      <c r="H25" s="195">
        <v>23982</v>
      </c>
      <c r="I25" s="127"/>
      <c r="J25" s="159"/>
      <c r="K25" s="304"/>
      <c r="L25" s="169"/>
      <c r="M25" s="169"/>
      <c r="N25" s="169"/>
      <c r="O25" s="169"/>
      <c r="P25" s="169"/>
      <c r="Q25" s="169"/>
    </row>
    <row r="26" spans="1:18" ht="13.5" customHeight="1">
      <c r="A26" s="2" t="s">
        <v>160</v>
      </c>
      <c r="B26" s="195">
        <v>210818.36</v>
      </c>
      <c r="C26" s="195">
        <v>88237.2</v>
      </c>
      <c r="D26" s="195">
        <v>61353.33</v>
      </c>
      <c r="E26" s="195">
        <v>32568.15</v>
      </c>
      <c r="F26" s="195">
        <v>149603.97</v>
      </c>
      <c r="G26" s="195">
        <v>48704.95</v>
      </c>
      <c r="H26" s="272">
        <v>591285.96</v>
      </c>
      <c r="I26" s="127"/>
      <c r="J26" s="159"/>
      <c r="K26" s="306"/>
      <c r="L26" s="207"/>
      <c r="M26" s="207"/>
      <c r="N26" s="207"/>
      <c r="O26" s="207"/>
      <c r="P26" s="207"/>
      <c r="Q26" s="207"/>
      <c r="R26" s="107"/>
    </row>
    <row r="27" spans="1:18" ht="13.5" customHeight="1">
      <c r="A27" s="2" t="s">
        <v>165</v>
      </c>
      <c r="B27" s="195">
        <v>475155.53</v>
      </c>
      <c r="C27" s="195">
        <v>55440.91</v>
      </c>
      <c r="D27" s="195">
        <v>174646.5</v>
      </c>
      <c r="E27" s="195"/>
      <c r="F27" s="195"/>
      <c r="G27" s="195"/>
      <c r="H27" s="272">
        <v>705242.94000000006</v>
      </c>
      <c r="I27" s="127"/>
      <c r="J27" s="159"/>
      <c r="K27" s="27"/>
      <c r="L27" s="169"/>
      <c r="M27" s="169"/>
      <c r="N27" s="169"/>
      <c r="O27" s="169"/>
      <c r="P27" s="49"/>
      <c r="Q27" s="308"/>
    </row>
    <row r="28" spans="1:18" ht="13.5" customHeight="1">
      <c r="A28" s="2" t="s">
        <v>168</v>
      </c>
      <c r="B28" s="195">
        <v>30774.46</v>
      </c>
      <c r="C28" s="195">
        <v>14017.04</v>
      </c>
      <c r="D28" s="195">
        <v>5309.53</v>
      </c>
      <c r="E28" s="195">
        <v>11571.07</v>
      </c>
      <c r="F28" s="195"/>
      <c r="G28" s="195"/>
      <c r="H28" s="272">
        <v>61672.1</v>
      </c>
      <c r="I28" s="127"/>
      <c r="J28" s="159"/>
      <c r="K28" s="26"/>
      <c r="L28" s="302"/>
      <c r="M28" s="302"/>
      <c r="N28" s="302"/>
      <c r="O28" s="302"/>
      <c r="P28" s="307"/>
      <c r="Q28" s="302"/>
    </row>
    <row r="29" spans="1:18" ht="13.5" customHeight="1">
      <c r="A29" s="2" t="s">
        <v>169</v>
      </c>
      <c r="B29" s="195">
        <v>181012.11</v>
      </c>
      <c r="C29" s="195"/>
      <c r="D29" s="195">
        <v>12107.73</v>
      </c>
      <c r="E29" s="195"/>
      <c r="F29" s="195"/>
      <c r="G29" s="195">
        <v>1725.91</v>
      </c>
      <c r="H29" s="272">
        <v>194845.75</v>
      </c>
      <c r="I29" s="127"/>
      <c r="J29" s="159"/>
      <c r="K29" s="304"/>
      <c r="L29" s="169"/>
      <c r="M29" s="169"/>
      <c r="N29" s="169"/>
      <c r="O29" s="169"/>
      <c r="P29" s="310"/>
      <c r="Q29" s="169"/>
    </row>
    <row r="30" spans="1:18" ht="13.5" customHeight="1">
      <c r="A30" s="2" t="s">
        <v>170</v>
      </c>
      <c r="B30" s="195">
        <v>255729.18</v>
      </c>
      <c r="C30" s="195">
        <v>82022.509999999995</v>
      </c>
      <c r="D30" s="195">
        <v>107212.01</v>
      </c>
      <c r="E30" s="195"/>
      <c r="F30" s="195">
        <v>145813.4</v>
      </c>
      <c r="G30" s="195">
        <v>153624.65</v>
      </c>
      <c r="H30" s="272">
        <v>744401.75</v>
      </c>
      <c r="I30" s="127"/>
      <c r="J30" s="159"/>
      <c r="K30" s="304"/>
      <c r="L30" s="169"/>
      <c r="M30" s="169"/>
      <c r="N30" s="169"/>
      <c r="O30" s="169"/>
      <c r="P30" s="169"/>
      <c r="Q30" s="169"/>
    </row>
    <row r="31" spans="1:18" ht="13.5" customHeight="1">
      <c r="A31" s="2" t="s">
        <v>173</v>
      </c>
      <c r="B31" s="195">
        <v>405987.37</v>
      </c>
      <c r="C31" s="195">
        <v>29499.77</v>
      </c>
      <c r="D31" s="195">
        <v>33808.269999999997</v>
      </c>
      <c r="E31" s="195">
        <v>41688.9</v>
      </c>
      <c r="F31" s="195">
        <v>53145.87</v>
      </c>
      <c r="G31" s="195">
        <v>103691.66</v>
      </c>
      <c r="H31" s="272">
        <v>667821.84000000008</v>
      </c>
      <c r="I31" s="127"/>
      <c r="J31" s="159"/>
      <c r="K31" s="306"/>
      <c r="L31" s="207"/>
      <c r="M31" s="207"/>
      <c r="N31" s="207"/>
      <c r="O31" s="207"/>
      <c r="P31" s="207"/>
      <c r="Q31" s="207"/>
      <c r="R31" s="107"/>
    </row>
    <row r="32" spans="1:18" ht="13.5" customHeight="1">
      <c r="A32" s="2" t="s">
        <v>338</v>
      </c>
      <c r="B32" s="195">
        <v>58000</v>
      </c>
      <c r="C32" s="195"/>
      <c r="D32" s="195">
        <v>4175.2</v>
      </c>
      <c r="E32" s="195"/>
      <c r="F32" s="195"/>
      <c r="G32" s="274">
        <v>3306.15</v>
      </c>
      <c r="H32" s="272">
        <v>65481.35</v>
      </c>
      <c r="I32" s="127"/>
      <c r="J32" s="159"/>
      <c r="K32" s="27"/>
      <c r="L32" s="169"/>
      <c r="M32" s="169"/>
      <c r="N32" s="169"/>
      <c r="O32" s="169"/>
      <c r="P32" s="49"/>
      <c r="Q32" s="308"/>
    </row>
    <row r="33" spans="1:18" ht="13.5" customHeight="1">
      <c r="A33" s="2" t="s">
        <v>315</v>
      </c>
      <c r="B33" s="195">
        <v>122539</v>
      </c>
      <c r="C33" s="195"/>
      <c r="D33" s="195">
        <v>4566.4399999999996</v>
      </c>
      <c r="E33" s="195"/>
      <c r="F33" s="275"/>
      <c r="G33" s="195">
        <v>30953</v>
      </c>
      <c r="H33" s="272">
        <v>158058.44</v>
      </c>
      <c r="I33" s="127"/>
      <c r="J33" s="159"/>
      <c r="K33" s="26"/>
      <c r="L33" s="302"/>
      <c r="M33" s="302"/>
      <c r="N33" s="302"/>
      <c r="O33" s="302"/>
      <c r="P33" s="307"/>
      <c r="Q33" s="302"/>
    </row>
    <row r="34" spans="1:18" ht="13.5" customHeight="1">
      <c r="A34" s="2" t="s">
        <v>316</v>
      </c>
      <c r="B34" s="195">
        <v>8170.95</v>
      </c>
      <c r="C34" s="195"/>
      <c r="D34" s="195">
        <v>1727.95</v>
      </c>
      <c r="E34" s="195"/>
      <c r="F34" s="195"/>
      <c r="G34" s="195">
        <v>2682.01</v>
      </c>
      <c r="H34" s="272">
        <v>12580.91</v>
      </c>
      <c r="I34" s="127"/>
      <c r="J34" s="159"/>
      <c r="K34" s="304"/>
      <c r="L34" s="169"/>
      <c r="M34" s="169"/>
      <c r="N34" s="169"/>
      <c r="O34" s="169"/>
      <c r="P34" s="169"/>
      <c r="Q34" s="169"/>
    </row>
    <row r="35" spans="1:18" ht="13.5" customHeight="1">
      <c r="A35" s="2" t="s">
        <v>179</v>
      </c>
      <c r="B35" s="195">
        <v>21796.58</v>
      </c>
      <c r="C35" s="195"/>
      <c r="D35" s="195">
        <v>4180.63</v>
      </c>
      <c r="E35" s="195"/>
      <c r="F35" s="195"/>
      <c r="G35" s="195">
        <v>6697.6</v>
      </c>
      <c r="H35" s="272">
        <v>32674.810000000005</v>
      </c>
      <c r="I35" s="127"/>
      <c r="J35" s="159"/>
      <c r="K35" s="304"/>
      <c r="L35" s="169"/>
      <c r="M35" s="169"/>
      <c r="N35" s="169"/>
      <c r="O35" s="169"/>
      <c r="P35" s="169"/>
      <c r="Q35" s="169"/>
    </row>
    <row r="36" spans="1:18" ht="13.5" customHeight="1">
      <c r="A36" s="2" t="s">
        <v>182</v>
      </c>
      <c r="B36" s="195">
        <v>153793.98000000001</v>
      </c>
      <c r="C36" s="195">
        <v>34604.629999999997</v>
      </c>
      <c r="D36" s="195">
        <v>10083.969999999999</v>
      </c>
      <c r="E36" s="195"/>
      <c r="F36" s="195">
        <v>45424.52</v>
      </c>
      <c r="G36" s="195">
        <v>40852.75</v>
      </c>
      <c r="H36" s="272">
        <v>284759.84999999998</v>
      </c>
      <c r="I36" s="127"/>
      <c r="J36" s="159"/>
      <c r="K36" s="304"/>
      <c r="L36" s="169"/>
      <c r="M36" s="169"/>
      <c r="N36" s="169"/>
      <c r="O36" s="169"/>
      <c r="P36" s="169"/>
      <c r="Q36" s="169"/>
    </row>
    <row r="37" spans="1:18" ht="13.5" customHeight="1">
      <c r="A37" s="2" t="s">
        <v>281</v>
      </c>
      <c r="B37" s="195">
        <v>385192.24</v>
      </c>
      <c r="C37" s="195"/>
      <c r="D37" s="195">
        <v>32066.11</v>
      </c>
      <c r="E37" s="195">
        <v>38234.199999999997</v>
      </c>
      <c r="F37" s="195">
        <v>23199.46</v>
      </c>
      <c r="G37" s="195">
        <v>346127.46</v>
      </c>
      <c r="H37" s="272">
        <v>824819.47</v>
      </c>
      <c r="I37" s="127"/>
      <c r="J37" s="159"/>
      <c r="K37" s="26"/>
      <c r="L37" s="207"/>
      <c r="M37" s="207"/>
      <c r="N37" s="207"/>
      <c r="O37" s="207"/>
      <c r="P37" s="207"/>
      <c r="Q37" s="207"/>
      <c r="R37" s="107"/>
    </row>
    <row r="38" spans="1:18" ht="13.5" customHeight="1">
      <c r="A38" s="2" t="s">
        <v>185</v>
      </c>
      <c r="B38" s="195">
        <v>124175</v>
      </c>
      <c r="C38" s="195"/>
      <c r="D38" s="195">
        <v>22954</v>
      </c>
      <c r="E38" s="195"/>
      <c r="F38" s="195"/>
      <c r="G38" s="195">
        <v>2734</v>
      </c>
      <c r="H38" s="272">
        <v>149863</v>
      </c>
      <c r="I38" s="127"/>
      <c r="J38" s="159"/>
      <c r="K38" s="27"/>
      <c r="L38" s="169"/>
      <c r="M38" s="169"/>
      <c r="N38" s="169"/>
      <c r="O38" s="169"/>
      <c r="P38" s="311"/>
      <c r="Q38" s="312"/>
    </row>
    <row r="39" spans="1:18" ht="13.5" customHeight="1">
      <c r="A39" s="2" t="s">
        <v>186</v>
      </c>
      <c r="B39" s="195">
        <v>277008.46999999997</v>
      </c>
      <c r="C39" s="195">
        <v>134570.23999999999</v>
      </c>
      <c r="D39" s="195">
        <v>206516.77</v>
      </c>
      <c r="E39" s="195"/>
      <c r="F39" s="195"/>
      <c r="G39" s="195"/>
      <c r="H39" s="272">
        <v>618095.48</v>
      </c>
      <c r="I39" s="127"/>
      <c r="J39" s="159"/>
      <c r="K39" s="26"/>
      <c r="L39" s="302"/>
      <c r="M39" s="302"/>
      <c r="N39" s="302"/>
      <c r="O39" s="302"/>
      <c r="P39" s="307"/>
      <c r="Q39" s="302"/>
    </row>
    <row r="40" spans="1:18" ht="13.5" customHeight="1">
      <c r="A40" s="2" t="s">
        <v>282</v>
      </c>
      <c r="B40" s="195">
        <v>767356.14</v>
      </c>
      <c r="C40" s="195"/>
      <c r="D40" s="195">
        <v>106130.36</v>
      </c>
      <c r="E40" s="195"/>
      <c r="F40" s="195">
        <v>146796.51</v>
      </c>
      <c r="G40" s="195">
        <v>159029.56</v>
      </c>
      <c r="H40" s="272">
        <v>1179312.57</v>
      </c>
      <c r="I40" s="127"/>
      <c r="J40" s="159"/>
      <c r="K40" s="304"/>
      <c r="L40" s="169"/>
      <c r="M40" s="169"/>
      <c r="N40" s="169"/>
      <c r="O40" s="169"/>
      <c r="P40" s="169"/>
      <c r="Q40" s="169"/>
      <c r="R40" s="169"/>
    </row>
    <row r="41" spans="1:18" ht="13.5" customHeight="1">
      <c r="A41" s="2" t="s">
        <v>190</v>
      </c>
      <c r="B41" s="195">
        <v>122902.39</v>
      </c>
      <c r="C41" s="195">
        <v>20643.21</v>
      </c>
      <c r="D41" s="195">
        <v>7347.03</v>
      </c>
      <c r="E41" s="195"/>
      <c r="F41" s="195">
        <v>2827.81</v>
      </c>
      <c r="G41" s="195">
        <v>3103</v>
      </c>
      <c r="H41" s="272">
        <v>156823.44</v>
      </c>
      <c r="I41" s="127"/>
      <c r="J41" s="159"/>
      <c r="K41" s="304"/>
      <c r="L41" s="169"/>
      <c r="M41" s="169"/>
      <c r="N41" s="169"/>
      <c r="O41" s="169"/>
      <c r="P41" s="169"/>
      <c r="Q41" s="169"/>
      <c r="R41" s="169"/>
    </row>
    <row r="42" spans="1:18" ht="13.5" customHeight="1">
      <c r="A42" s="2" t="s">
        <v>339</v>
      </c>
      <c r="B42" s="195">
        <v>108197</v>
      </c>
      <c r="C42" s="195"/>
      <c r="D42" s="195">
        <v>2607.9299999999998</v>
      </c>
      <c r="E42" s="195">
        <v>6259.81</v>
      </c>
      <c r="F42" s="195"/>
      <c r="G42" s="195">
        <v>10564.9</v>
      </c>
      <c r="H42" s="272">
        <v>127629.63999999998</v>
      </c>
      <c r="I42" s="127"/>
      <c r="J42" s="159"/>
      <c r="K42" s="304"/>
      <c r="L42" s="169"/>
      <c r="M42" s="169"/>
      <c r="N42" s="169"/>
      <c r="O42" s="199"/>
      <c r="P42" s="199"/>
      <c r="Q42" s="199"/>
      <c r="R42" s="169"/>
    </row>
    <row r="43" spans="1:18" ht="13.5" customHeight="1">
      <c r="A43" s="2" t="s">
        <v>193</v>
      </c>
      <c r="B43" s="195">
        <v>131291.93</v>
      </c>
      <c r="C43" s="159"/>
      <c r="D43" s="195">
        <v>10415.52</v>
      </c>
      <c r="E43" s="195">
        <v>46054.55</v>
      </c>
      <c r="F43" s="195"/>
      <c r="G43" s="195">
        <v>9839</v>
      </c>
      <c r="H43" s="272">
        <v>197601</v>
      </c>
      <c r="I43" s="127"/>
      <c r="J43" s="159"/>
      <c r="K43" s="89"/>
      <c r="L43" s="313"/>
      <c r="M43" s="313"/>
      <c r="N43" s="313"/>
      <c r="O43" s="313"/>
      <c r="P43" s="313"/>
      <c r="Q43" s="313"/>
      <c r="R43" s="305"/>
    </row>
    <row r="44" spans="1:18" ht="13.5" customHeight="1">
      <c r="A44" s="2" t="s">
        <v>318</v>
      </c>
      <c r="B44" s="195">
        <v>504652.67</v>
      </c>
      <c r="C44" s="195">
        <v>293729.74</v>
      </c>
      <c r="D44" s="195">
        <v>59119.199999999997</v>
      </c>
      <c r="E44" s="195"/>
      <c r="F44" s="195"/>
      <c r="G44" s="195"/>
      <c r="H44" s="272">
        <v>857501.60999999987</v>
      </c>
      <c r="I44" s="127"/>
      <c r="J44" s="159"/>
      <c r="K44" s="3"/>
      <c r="L44" s="313"/>
      <c r="M44" s="313"/>
      <c r="N44" s="313"/>
      <c r="O44" s="313"/>
      <c r="P44" s="313"/>
      <c r="Q44" s="313"/>
      <c r="R44" s="305"/>
    </row>
    <row r="45" spans="1:18" ht="13.5" customHeight="1">
      <c r="A45" s="2" t="s">
        <v>196</v>
      </c>
      <c r="B45" s="195">
        <v>19889</v>
      </c>
      <c r="C45" s="195"/>
      <c r="D45" s="195">
        <v>4140</v>
      </c>
      <c r="E45" s="195">
        <v>2752</v>
      </c>
      <c r="F45" s="195"/>
      <c r="G45" s="195">
        <v>7005</v>
      </c>
      <c r="H45" s="272">
        <v>33786</v>
      </c>
      <c r="I45" s="127"/>
      <c r="J45" s="159"/>
      <c r="L45" s="169"/>
      <c r="M45" s="169"/>
      <c r="N45" s="169"/>
      <c r="O45" s="169"/>
      <c r="P45" s="23"/>
      <c r="Q45" s="312"/>
      <c r="R45" s="8"/>
    </row>
    <row r="46" spans="1:18" ht="13.5" customHeight="1">
      <c r="A46" s="2" t="s">
        <v>198</v>
      </c>
      <c r="B46" s="195">
        <v>358991</v>
      </c>
      <c r="C46" s="195">
        <v>130934</v>
      </c>
      <c r="D46" s="195">
        <v>35603</v>
      </c>
      <c r="E46" s="195">
        <v>11</v>
      </c>
      <c r="F46" s="195">
        <v>24860</v>
      </c>
      <c r="G46" s="195">
        <v>10500</v>
      </c>
      <c r="H46" s="272">
        <v>560899</v>
      </c>
      <c r="I46" s="127"/>
      <c r="J46" s="159"/>
      <c r="K46" s="26"/>
      <c r="L46" s="302"/>
      <c r="M46" s="302"/>
      <c r="N46" s="302"/>
      <c r="O46" s="302"/>
      <c r="P46" s="302"/>
      <c r="Q46" s="302"/>
      <c r="R46" s="8"/>
    </row>
    <row r="47" spans="1:18" ht="13.5" customHeight="1">
      <c r="A47" s="2" t="s">
        <v>199</v>
      </c>
      <c r="B47" s="195">
        <v>278071</v>
      </c>
      <c r="C47" s="195">
        <v>65031.96</v>
      </c>
      <c r="D47" s="195">
        <v>26097.41</v>
      </c>
      <c r="E47" s="195">
        <v>0</v>
      </c>
      <c r="F47" s="195">
        <v>0</v>
      </c>
      <c r="G47" s="195">
        <v>0</v>
      </c>
      <c r="H47" s="272">
        <v>369200.37</v>
      </c>
      <c r="I47" s="127"/>
      <c r="J47" s="159"/>
      <c r="K47" s="304"/>
      <c r="L47" s="169"/>
      <c r="M47" s="169"/>
      <c r="N47" s="169"/>
      <c r="O47" s="169"/>
      <c r="P47" s="169"/>
      <c r="Q47" s="169"/>
      <c r="R47" s="8"/>
    </row>
    <row r="48" spans="1:18" ht="13.5" customHeight="1">
      <c r="A48" s="2" t="s">
        <v>202</v>
      </c>
      <c r="B48" s="195">
        <v>38001.78</v>
      </c>
      <c r="C48" s="195"/>
      <c r="D48" s="195">
        <v>5180.76</v>
      </c>
      <c r="E48" s="195"/>
      <c r="F48" s="195">
        <v>6967.23</v>
      </c>
      <c r="G48" s="195">
        <v>42709.7</v>
      </c>
      <c r="H48" s="272">
        <v>92859.47</v>
      </c>
      <c r="I48" s="127"/>
      <c r="J48" s="159"/>
      <c r="K48" s="304"/>
      <c r="L48" s="169"/>
      <c r="M48" s="169"/>
      <c r="N48" s="169"/>
      <c r="O48" s="169"/>
      <c r="P48" s="169"/>
      <c r="Q48" s="169"/>
      <c r="R48" s="8"/>
    </row>
    <row r="49" spans="1:18" ht="13.5" customHeight="1">
      <c r="A49" s="2" t="s">
        <v>203</v>
      </c>
      <c r="B49" s="195">
        <v>656410.23</v>
      </c>
      <c r="C49" s="195"/>
      <c r="D49" s="195">
        <v>67084.2</v>
      </c>
      <c r="E49" s="195">
        <v>16741.78</v>
      </c>
      <c r="F49" s="195">
        <v>215733.8</v>
      </c>
      <c r="G49" s="195"/>
      <c r="H49" s="272">
        <v>955970.01</v>
      </c>
      <c r="I49" s="127"/>
      <c r="Q49"/>
      <c r="R49"/>
    </row>
    <row r="50" spans="1:18" ht="13.5" customHeight="1">
      <c r="A50" s="63" t="s">
        <v>319</v>
      </c>
      <c r="B50" s="272">
        <v>224819.4</v>
      </c>
      <c r="C50" s="272">
        <v>0</v>
      </c>
      <c r="D50" s="272">
        <v>19255.54</v>
      </c>
      <c r="E50" s="272">
        <v>0</v>
      </c>
      <c r="F50" s="272">
        <v>14502.18</v>
      </c>
      <c r="G50" s="272">
        <v>97743.67</v>
      </c>
      <c r="H50" s="272">
        <v>356320.79</v>
      </c>
      <c r="I50" s="115"/>
      <c r="Q50"/>
      <c r="R50"/>
    </row>
    <row r="51" spans="1:18" ht="12.75">
      <c r="A51" s="63" t="s">
        <v>206</v>
      </c>
      <c r="B51" s="170">
        <v>246083.46</v>
      </c>
      <c r="C51" s="170">
        <v>84381.65</v>
      </c>
      <c r="D51" s="170"/>
      <c r="E51" s="170"/>
      <c r="F51" s="170"/>
      <c r="G51" s="276">
        <v>56693.63</v>
      </c>
      <c r="H51" s="131">
        <v>387158.74</v>
      </c>
      <c r="Q51"/>
      <c r="R51"/>
    </row>
    <row r="52" spans="1:18" ht="11.45" customHeight="1">
      <c r="A52" s="63" t="s">
        <v>207</v>
      </c>
      <c r="B52" s="170">
        <v>289929.46000000002</v>
      </c>
      <c r="C52" s="170"/>
      <c r="D52" s="170">
        <v>51208.51</v>
      </c>
      <c r="E52" s="170"/>
      <c r="F52" s="170"/>
      <c r="G52" s="276">
        <v>160984.23000000001</v>
      </c>
      <c r="H52" s="131">
        <v>502122.20000000007</v>
      </c>
      <c r="Q52"/>
      <c r="R52"/>
    </row>
    <row r="53" spans="1:18" ht="11.45" customHeight="1">
      <c r="A53" s="2" t="s">
        <v>208</v>
      </c>
      <c r="B53" s="170">
        <v>68457.11</v>
      </c>
      <c r="C53" s="170"/>
      <c r="D53" s="170">
        <v>23890.68</v>
      </c>
      <c r="E53" s="170">
        <v>18306.490000000002</v>
      </c>
      <c r="F53" s="170">
        <v>12852.09</v>
      </c>
      <c r="G53" s="276">
        <v>33930.54</v>
      </c>
      <c r="H53" s="131">
        <v>157436.91</v>
      </c>
      <c r="Q53"/>
      <c r="R53"/>
    </row>
    <row r="54" spans="1:18" ht="11.45" customHeight="1">
      <c r="A54" s="2" t="s">
        <v>210</v>
      </c>
      <c r="B54" s="131">
        <v>239121.13</v>
      </c>
      <c r="C54" s="131">
        <v>53503.72</v>
      </c>
      <c r="D54" s="131">
        <v>26415.72</v>
      </c>
      <c r="E54" s="131"/>
      <c r="F54" s="131">
        <v>11059.79</v>
      </c>
      <c r="G54" s="131">
        <v>31539.37</v>
      </c>
      <c r="H54" s="131">
        <v>361639.72999999992</v>
      </c>
      <c r="Q54"/>
      <c r="R54"/>
    </row>
    <row r="55" spans="1:18" ht="14.25" customHeight="1">
      <c r="A55" s="2" t="s">
        <v>211</v>
      </c>
      <c r="B55" s="131">
        <v>25254.26</v>
      </c>
      <c r="C55" s="131"/>
      <c r="D55" s="131">
        <v>2647.85</v>
      </c>
      <c r="E55" s="131">
        <v>1097.25</v>
      </c>
      <c r="F55" s="131">
        <v>1635</v>
      </c>
      <c r="G55" s="131">
        <v>3457.56</v>
      </c>
      <c r="H55" s="131">
        <v>34091.919999999998</v>
      </c>
      <c r="Q55"/>
      <c r="R55"/>
    </row>
    <row r="56" spans="1:18" ht="14.25" customHeight="1">
      <c r="A56" s="2" t="s">
        <v>213</v>
      </c>
      <c r="B56" s="131">
        <v>42935.47</v>
      </c>
      <c r="C56" s="131">
        <v>18329.849999999999</v>
      </c>
      <c r="D56" s="131">
        <v>4193.8500000000004</v>
      </c>
      <c r="E56" s="131"/>
      <c r="F56" s="131">
        <v>7521</v>
      </c>
      <c r="G56" s="131">
        <v>2000</v>
      </c>
      <c r="H56" s="131">
        <v>74980.17</v>
      </c>
      <c r="Q56"/>
      <c r="R56"/>
    </row>
    <row r="57" spans="1:18" ht="14.25" customHeight="1">
      <c r="A57" s="2" t="s">
        <v>214</v>
      </c>
      <c r="B57" s="131">
        <v>80309</v>
      </c>
      <c r="C57" s="131"/>
      <c r="D57" s="131">
        <v>19072</v>
      </c>
      <c r="E57" s="131"/>
      <c r="F57" s="131"/>
      <c r="G57" s="131">
        <v>2100</v>
      </c>
      <c r="H57" s="131">
        <v>101481</v>
      </c>
      <c r="Q57"/>
      <c r="R57"/>
    </row>
    <row r="58" spans="1:18" ht="14.25" customHeight="1">
      <c r="A58" s="2" t="s">
        <v>218</v>
      </c>
      <c r="B58" s="131">
        <v>856645.18</v>
      </c>
      <c r="C58" s="131">
        <v>387591</v>
      </c>
      <c r="D58" s="131">
        <v>135008.72</v>
      </c>
      <c r="E58" s="131">
        <v>0</v>
      </c>
      <c r="F58" s="131">
        <v>48320.639999999999</v>
      </c>
      <c r="G58" s="131">
        <v>117231.33</v>
      </c>
      <c r="H58" s="131">
        <v>1544796.87</v>
      </c>
      <c r="Q58"/>
      <c r="R58"/>
    </row>
    <row r="59" spans="1:18" ht="14.25" customHeight="1">
      <c r="A59" s="2" t="s">
        <v>219</v>
      </c>
      <c r="B59" s="131">
        <v>241822</v>
      </c>
      <c r="C59" s="131">
        <v>32874</v>
      </c>
      <c r="D59" s="277">
        <v>9647</v>
      </c>
      <c r="E59" s="131"/>
      <c r="F59" s="131">
        <v>86381</v>
      </c>
      <c r="G59" s="131"/>
      <c r="H59" s="131">
        <v>370724</v>
      </c>
      <c r="Q59"/>
      <c r="R59"/>
    </row>
    <row r="60" spans="1:18" ht="14.25" customHeight="1">
      <c r="A60" s="2" t="s">
        <v>320</v>
      </c>
      <c r="B60" s="131">
        <v>115439.8</v>
      </c>
      <c r="C60" s="131">
        <v>36144.83</v>
      </c>
      <c r="D60" s="131">
        <v>8082.2999999999993</v>
      </c>
      <c r="E60" s="131">
        <v>436.21</v>
      </c>
      <c r="F60" s="131">
        <v>3521.48</v>
      </c>
      <c r="G60" s="131">
        <v>44793.479999999996</v>
      </c>
      <c r="H60" s="131">
        <v>208418.09999999998</v>
      </c>
      <c r="Q60"/>
      <c r="R60"/>
    </row>
    <row r="61" spans="1:18" ht="14.25" customHeight="1">
      <c r="A61" s="2" t="s">
        <v>220</v>
      </c>
      <c r="B61" s="131">
        <v>805493.98</v>
      </c>
      <c r="C61" s="131"/>
      <c r="D61" s="131">
        <v>73348.95</v>
      </c>
      <c r="E61" s="131">
        <v>12108.18</v>
      </c>
      <c r="F61" s="131">
        <v>67684.240000000005</v>
      </c>
      <c r="G61" s="131">
        <v>506200.99</v>
      </c>
      <c r="H61" s="131">
        <v>1464836.3399999999</v>
      </c>
      <c r="Q61"/>
      <c r="R61"/>
    </row>
    <row r="62" spans="1:18" ht="14.25" customHeight="1">
      <c r="A62" s="2" t="s">
        <v>283</v>
      </c>
      <c r="B62" s="131">
        <v>21810.05</v>
      </c>
      <c r="C62" s="131"/>
      <c r="D62" s="131">
        <v>10397.799999999999</v>
      </c>
      <c r="E62" s="131">
        <v>1288.0899999999999</v>
      </c>
      <c r="F62" s="131"/>
      <c r="G62" s="131"/>
      <c r="H62" s="131">
        <v>33495.939999999995</v>
      </c>
      <c r="Q62"/>
      <c r="R62"/>
    </row>
    <row r="63" spans="1:18" ht="14.25" customHeight="1">
      <c r="A63" s="2" t="s">
        <v>223</v>
      </c>
      <c r="B63" s="131">
        <v>84995.66</v>
      </c>
      <c r="C63" s="131"/>
      <c r="D63" s="131">
        <v>3341.79</v>
      </c>
      <c r="E63" s="131">
        <v>6633.46</v>
      </c>
      <c r="F63" s="131">
        <v>15970.36</v>
      </c>
      <c r="G63" s="131">
        <v>7900</v>
      </c>
      <c r="H63" s="131">
        <v>118841.27</v>
      </c>
      <c r="Q63"/>
      <c r="R63"/>
    </row>
    <row r="64" spans="1:18" ht="14.25" customHeight="1">
      <c r="A64" s="2" t="s">
        <v>224</v>
      </c>
      <c r="B64" s="131">
        <v>493589</v>
      </c>
      <c r="C64" s="131"/>
      <c r="D64" s="131">
        <v>109745</v>
      </c>
      <c r="E64" s="131"/>
      <c r="F64" s="131">
        <v>40526</v>
      </c>
      <c r="G64" s="131">
        <v>255950</v>
      </c>
      <c r="H64" s="131">
        <v>899810</v>
      </c>
      <c r="Q64"/>
      <c r="R64"/>
    </row>
    <row r="65" spans="1:18" ht="14.25" customHeight="1">
      <c r="A65" s="2" t="s">
        <v>225</v>
      </c>
      <c r="B65" s="131">
        <v>306128.86</v>
      </c>
      <c r="C65" s="131">
        <v>187173.16</v>
      </c>
      <c r="D65" s="131">
        <v>18166.91</v>
      </c>
      <c r="E65" s="131"/>
      <c r="F65" s="131">
        <v>96961.18</v>
      </c>
      <c r="G65" s="131"/>
      <c r="H65" s="131">
        <v>608430.11</v>
      </c>
      <c r="Q65"/>
      <c r="R65"/>
    </row>
    <row r="66" spans="1:18" ht="14.25" customHeight="1">
      <c r="A66" s="2" t="s">
        <v>226</v>
      </c>
      <c r="B66" s="131">
        <v>289600</v>
      </c>
      <c r="C66" s="131"/>
      <c r="D66" s="131"/>
      <c r="E66" s="131">
        <v>100722.17</v>
      </c>
      <c r="F66" s="131"/>
      <c r="G66" s="131"/>
      <c r="H66" s="131">
        <v>390322.17</v>
      </c>
      <c r="Q66"/>
      <c r="R66"/>
    </row>
    <row r="67" spans="1:18" ht="14.25" customHeight="1">
      <c r="A67" s="2" t="s">
        <v>321</v>
      </c>
      <c r="B67" s="131">
        <v>61157.91</v>
      </c>
      <c r="C67" s="131">
        <v>17248.849999999999</v>
      </c>
      <c r="D67" s="131">
        <v>18454</v>
      </c>
      <c r="E67" s="131"/>
      <c r="F67" s="131">
        <v>4871.4399999999996</v>
      </c>
      <c r="G67" s="131">
        <v>25009.52</v>
      </c>
      <c r="H67" s="131">
        <v>126741.72000000002</v>
      </c>
      <c r="Q67"/>
      <c r="R67"/>
    </row>
    <row r="68" spans="1:18" ht="14.25" customHeight="1">
      <c r="A68" s="2" t="s">
        <v>229</v>
      </c>
      <c r="B68" s="131">
        <v>263772.39</v>
      </c>
      <c r="C68" s="131"/>
      <c r="D68" s="131">
        <v>497324.52</v>
      </c>
      <c r="E68" s="131"/>
      <c r="F68" s="131"/>
      <c r="G68" s="131"/>
      <c r="H68" s="131">
        <v>761096.91</v>
      </c>
      <c r="Q68"/>
      <c r="R68"/>
    </row>
    <row r="69" spans="1:18" ht="14.25" customHeight="1">
      <c r="A69" s="2" t="s">
        <v>322</v>
      </c>
      <c r="B69" s="131">
        <v>356360.44</v>
      </c>
      <c r="C69" s="131">
        <v>0</v>
      </c>
      <c r="D69" s="131">
        <v>29216.25</v>
      </c>
      <c r="E69" s="131">
        <v>0</v>
      </c>
      <c r="F69" s="131">
        <v>29893.9</v>
      </c>
      <c r="G69" s="131">
        <v>57723.519999999997</v>
      </c>
      <c r="H69" s="131">
        <v>473194.11000000004</v>
      </c>
      <c r="Q69"/>
      <c r="R69"/>
    </row>
    <row r="70" spans="1:18" ht="14.25" customHeight="1">
      <c r="A70" s="2" t="s">
        <v>323</v>
      </c>
      <c r="B70" s="131">
        <v>105985.48</v>
      </c>
      <c r="C70" s="355">
        <v>0</v>
      </c>
      <c r="D70" s="131">
        <v>5580.05</v>
      </c>
      <c r="E70" s="355">
        <v>4874.7700000000004</v>
      </c>
      <c r="F70" s="131">
        <v>42003.44</v>
      </c>
      <c r="G70" s="131">
        <v>0</v>
      </c>
      <c r="H70" s="131">
        <v>158443.74</v>
      </c>
      <c r="Q70"/>
      <c r="R70"/>
    </row>
    <row r="71" spans="1:18" ht="14.25" customHeight="1">
      <c r="A71" s="2" t="s">
        <v>324</v>
      </c>
      <c r="B71" s="131">
        <v>390101.56999999995</v>
      </c>
      <c r="C71" s="131">
        <v>47480</v>
      </c>
      <c r="D71" s="131">
        <v>8682.9700000000012</v>
      </c>
      <c r="E71" s="131">
        <v>979.85</v>
      </c>
      <c r="F71" s="277">
        <v>3647.22</v>
      </c>
      <c r="G71" s="131">
        <v>51358</v>
      </c>
      <c r="H71" s="131">
        <v>502249.60999999987</v>
      </c>
      <c r="Q71"/>
      <c r="R71"/>
    </row>
    <row r="72" spans="1:18" ht="14.25" customHeight="1">
      <c r="A72" s="2" t="s">
        <v>284</v>
      </c>
      <c r="B72" s="131">
        <v>673051.87</v>
      </c>
      <c r="C72" s="131"/>
      <c r="D72" s="131">
        <v>19058.13</v>
      </c>
      <c r="E72" s="131"/>
      <c r="F72" s="131"/>
      <c r="G72" s="131"/>
      <c r="H72" s="131">
        <v>692110</v>
      </c>
      <c r="Q72"/>
      <c r="R72"/>
    </row>
    <row r="73" spans="1:18" ht="14.25" customHeight="1">
      <c r="A73" s="2" t="s">
        <v>232</v>
      </c>
      <c r="B73" s="131">
        <v>366737.86</v>
      </c>
      <c r="C73" s="131"/>
      <c r="D73" s="131">
        <v>17408.96</v>
      </c>
      <c r="E73" s="131"/>
      <c r="F73" s="131">
        <v>52372.88</v>
      </c>
      <c r="G73" s="131">
        <v>69355.100000000006</v>
      </c>
      <c r="H73" s="131">
        <v>505874.80000000005</v>
      </c>
      <c r="Q73"/>
      <c r="R73"/>
    </row>
    <row r="74" spans="1:18" ht="14.25" customHeight="1">
      <c r="A74" s="2" t="s">
        <v>233</v>
      </c>
      <c r="B74" s="131">
        <v>402576.61</v>
      </c>
      <c r="C74" s="131"/>
      <c r="D74" s="131">
        <v>24734.13</v>
      </c>
      <c r="E74" s="131"/>
      <c r="F74" s="131">
        <v>35815.54</v>
      </c>
      <c r="G74" s="131">
        <v>72444.09</v>
      </c>
      <c r="H74" s="131">
        <v>535570.37</v>
      </c>
      <c r="Q74"/>
      <c r="R74"/>
    </row>
    <row r="75" spans="1:18" ht="14.25" customHeight="1">
      <c r="A75" s="2" t="s">
        <v>234</v>
      </c>
      <c r="B75" s="131">
        <v>70436.13</v>
      </c>
      <c r="C75" s="131"/>
      <c r="D75" s="131">
        <v>24498.44</v>
      </c>
      <c r="E75" s="131">
        <v>1055.1400000000001</v>
      </c>
      <c r="F75" s="131">
        <v>4236.6499999999996</v>
      </c>
      <c r="G75" s="131">
        <v>17836.32</v>
      </c>
      <c r="H75" s="131">
        <v>118062.68</v>
      </c>
      <c r="Q75"/>
      <c r="R75"/>
    </row>
    <row r="76" spans="1:18" ht="14.25" customHeight="1">
      <c r="A76" s="2" t="s">
        <v>236</v>
      </c>
      <c r="B76" s="131">
        <v>95680</v>
      </c>
      <c r="C76" s="131"/>
      <c r="D76" s="131"/>
      <c r="E76" s="131"/>
      <c r="F76" s="131"/>
      <c r="G76" s="131"/>
      <c r="H76" s="131">
        <v>95680</v>
      </c>
      <c r="Q76"/>
      <c r="R76"/>
    </row>
    <row r="77" spans="1:18" ht="14.25" customHeight="1">
      <c r="A77" s="2" t="s">
        <v>238</v>
      </c>
      <c r="B77" s="131">
        <v>95959.76</v>
      </c>
      <c r="C77" s="131">
        <v>31072.66</v>
      </c>
      <c r="D77" s="131">
        <v>17315.5</v>
      </c>
      <c r="E77" s="131"/>
      <c r="F77" s="131">
        <v>5963.41</v>
      </c>
      <c r="G77" s="131">
        <v>25109.25</v>
      </c>
      <c r="H77" s="131">
        <v>175420.58</v>
      </c>
      <c r="Q77"/>
      <c r="R77"/>
    </row>
    <row r="78" spans="1:18" ht="14.25" customHeight="1">
      <c r="A78" s="2" t="s">
        <v>239</v>
      </c>
      <c r="B78" s="131">
        <v>758081.38</v>
      </c>
      <c r="C78" s="131">
        <v>178384.57</v>
      </c>
      <c r="D78" s="131">
        <v>338588.47</v>
      </c>
      <c r="E78" s="131"/>
      <c r="F78" s="131"/>
      <c r="G78" s="131"/>
      <c r="H78" s="131">
        <v>1275054.42</v>
      </c>
      <c r="Q78"/>
      <c r="R78"/>
    </row>
    <row r="79" spans="1:18" ht="14.25" customHeight="1">
      <c r="A79" s="2" t="s">
        <v>325</v>
      </c>
      <c r="B79" s="131">
        <v>576086.91</v>
      </c>
      <c r="C79" s="131">
        <v>205167.95</v>
      </c>
      <c r="D79" s="131">
        <v>192403.01</v>
      </c>
      <c r="E79" s="131">
        <v>109172.12</v>
      </c>
      <c r="F79" s="131">
        <v>144772.69</v>
      </c>
      <c r="G79" s="131">
        <v>223621.21</v>
      </c>
      <c r="H79" s="131">
        <v>1451223.8900000001</v>
      </c>
      <c r="Q79"/>
      <c r="R79"/>
    </row>
    <row r="80" spans="1:18" ht="14.25" customHeight="1">
      <c r="A80" s="2" t="s">
        <v>244</v>
      </c>
      <c r="B80" s="131">
        <v>36170</v>
      </c>
      <c r="C80" s="131">
        <v>1487</v>
      </c>
      <c r="D80" s="131">
        <v>3693</v>
      </c>
      <c r="E80" s="131"/>
      <c r="F80" s="131">
        <v>6024</v>
      </c>
      <c r="G80" s="131"/>
      <c r="H80" s="131">
        <v>47374</v>
      </c>
      <c r="Q80"/>
      <c r="R80"/>
    </row>
    <row r="81" spans="1:18" ht="14.25" customHeight="1">
      <c r="A81" s="2" t="s">
        <v>326</v>
      </c>
      <c r="B81" s="131">
        <v>74248.27</v>
      </c>
      <c r="C81" s="131"/>
      <c r="D81" s="131">
        <v>36.32</v>
      </c>
      <c r="E81" s="131">
        <v>1742.65</v>
      </c>
      <c r="F81" s="131">
        <v>26955.66</v>
      </c>
      <c r="G81" s="131"/>
      <c r="H81" s="131">
        <v>102982.90000000001</v>
      </c>
      <c r="Q81"/>
      <c r="R81"/>
    </row>
    <row r="82" spans="1:18" ht="14.25" customHeight="1">
      <c r="A82" s="2" t="s">
        <v>247</v>
      </c>
      <c r="B82" s="131">
        <v>39866.129999999997</v>
      </c>
      <c r="C82" s="131"/>
      <c r="D82" s="131">
        <v>2228.85</v>
      </c>
      <c r="E82" s="131">
        <v>2699.2</v>
      </c>
      <c r="F82" s="131">
        <v>3583.45</v>
      </c>
      <c r="G82" s="131">
        <v>2948.62</v>
      </c>
      <c r="H82" s="131">
        <v>51326.249999999993</v>
      </c>
      <c r="Q82"/>
      <c r="R82"/>
    </row>
    <row r="83" spans="1:18" ht="14.25" customHeight="1">
      <c r="A83" s="2" t="s">
        <v>249</v>
      </c>
      <c r="B83" s="131">
        <v>260001</v>
      </c>
      <c r="C83" s="131">
        <v>94590</v>
      </c>
      <c r="D83" s="131"/>
      <c r="E83" s="131"/>
      <c r="F83" s="131"/>
      <c r="G83" s="131"/>
      <c r="H83" s="131">
        <v>354591</v>
      </c>
      <c r="Q83"/>
      <c r="R83"/>
    </row>
    <row r="84" spans="1:18" ht="14.25" customHeight="1">
      <c r="A84" s="2" t="s">
        <v>254</v>
      </c>
      <c r="B84" s="131">
        <v>216908.13</v>
      </c>
      <c r="C84" s="131">
        <v>51972.82</v>
      </c>
      <c r="D84" s="131">
        <v>119673.58</v>
      </c>
      <c r="E84" s="131"/>
      <c r="F84" s="131">
        <v>26390.03</v>
      </c>
      <c r="G84" s="131">
        <v>74400</v>
      </c>
      <c r="H84" s="131">
        <v>489344.56000000006</v>
      </c>
      <c r="Q84"/>
      <c r="R84"/>
    </row>
    <row r="85" spans="1:18" ht="14.25" customHeight="1">
      <c r="A85" s="2" t="s">
        <v>256</v>
      </c>
      <c r="B85" s="131">
        <v>30279.66</v>
      </c>
      <c r="C85" s="131">
        <v>25507.8</v>
      </c>
      <c r="D85" s="131">
        <v>2002.71</v>
      </c>
      <c r="E85" s="131"/>
      <c r="F85" s="131">
        <v>7965.24</v>
      </c>
      <c r="G85" s="131">
        <v>5982.32</v>
      </c>
      <c r="H85" s="131">
        <v>71737.73000000001</v>
      </c>
      <c r="Q85"/>
      <c r="R85"/>
    </row>
    <row r="86" spans="1:18" ht="14.25" customHeight="1">
      <c r="A86" s="2" t="s">
        <v>327</v>
      </c>
      <c r="B86" s="131">
        <v>233435.93</v>
      </c>
      <c r="C86" s="131">
        <v>265.22000000000003</v>
      </c>
      <c r="D86" s="131">
        <v>5989.5599999999995</v>
      </c>
      <c r="E86" s="131">
        <v>9948.33</v>
      </c>
      <c r="F86" s="131">
        <v>2936.38</v>
      </c>
      <c r="G86" s="131">
        <v>63756.94</v>
      </c>
      <c r="H86" s="131">
        <v>316332.36</v>
      </c>
      <c r="Q86"/>
      <c r="R86"/>
    </row>
    <row r="87" spans="1:18" ht="14.25" customHeight="1">
      <c r="A87" s="2" t="s">
        <v>257</v>
      </c>
      <c r="B87" s="131">
        <v>206470.42</v>
      </c>
      <c r="C87" s="131">
        <v>15443.65</v>
      </c>
      <c r="D87" s="131"/>
      <c r="E87" s="131"/>
      <c r="F87" s="131"/>
      <c r="G87" s="131">
        <v>160320.59</v>
      </c>
      <c r="H87" s="131">
        <v>382234.66000000003</v>
      </c>
      <c r="Q87"/>
      <c r="R87"/>
    </row>
    <row r="88" spans="1:18" ht="14.25" customHeight="1">
      <c r="A88" s="2" t="s">
        <v>258</v>
      </c>
      <c r="B88" s="131">
        <v>121901.75</v>
      </c>
      <c r="C88" s="131">
        <v>51106.46</v>
      </c>
      <c r="D88" s="131">
        <v>12843.22</v>
      </c>
      <c r="E88" s="131"/>
      <c r="F88" s="131">
        <v>18760.36</v>
      </c>
      <c r="G88" s="131">
        <v>21252.5</v>
      </c>
      <c r="H88" s="131">
        <v>225864.28999999998</v>
      </c>
      <c r="Q88"/>
      <c r="R88"/>
    </row>
    <row r="89" spans="1:18" ht="14.25" customHeight="1">
      <c r="A89" s="2" t="s">
        <v>285</v>
      </c>
      <c r="B89" s="131">
        <v>69051.7</v>
      </c>
      <c r="C89" s="131"/>
      <c r="D89" s="131">
        <v>5725.59</v>
      </c>
      <c r="E89" s="131"/>
      <c r="F89" s="131">
        <v>65287.08</v>
      </c>
      <c r="G89" s="131"/>
      <c r="H89" s="131">
        <v>140064.37</v>
      </c>
      <c r="Q89"/>
      <c r="R89"/>
    </row>
    <row r="90" spans="1:18" ht="14.25" customHeight="1">
      <c r="A90" s="2" t="s">
        <v>260</v>
      </c>
      <c r="B90" s="131">
        <v>1376255.14</v>
      </c>
      <c r="C90" s="131"/>
      <c r="D90" s="131">
        <v>1960</v>
      </c>
      <c r="E90" s="131"/>
      <c r="F90" s="131">
        <v>25003.3</v>
      </c>
      <c r="G90" s="131"/>
      <c r="H90" s="131">
        <v>1403218.44</v>
      </c>
      <c r="P90" s="38"/>
      <c r="Q90" s="89"/>
      <c r="R90"/>
    </row>
    <row r="91" spans="1:18" ht="14.25" customHeight="1">
      <c r="A91" s="2" t="s">
        <v>261</v>
      </c>
      <c r="B91" s="131">
        <v>363105.95</v>
      </c>
      <c r="C91" s="131">
        <v>62795.11</v>
      </c>
      <c r="D91" s="131">
        <v>54037.59</v>
      </c>
      <c r="E91" s="131"/>
      <c r="F91" s="131">
        <v>123828.65</v>
      </c>
      <c r="G91" s="131">
        <v>185680.61</v>
      </c>
      <c r="H91" s="131">
        <v>789447.91</v>
      </c>
      <c r="P91" s="38"/>
      <c r="Q91" s="89"/>
      <c r="R91"/>
    </row>
    <row r="92" spans="1:18" ht="14.25" customHeight="1">
      <c r="A92" s="2" t="s">
        <v>328</v>
      </c>
      <c r="B92" s="131">
        <v>34246.400000000001</v>
      </c>
      <c r="C92" s="131"/>
      <c r="D92" s="131">
        <v>6229.64</v>
      </c>
      <c r="E92" s="131">
        <v>5156.54</v>
      </c>
      <c r="F92" s="131"/>
      <c r="G92" s="131">
        <v>28082.99</v>
      </c>
      <c r="H92" s="131">
        <v>73715.570000000007</v>
      </c>
      <c r="P92" s="38"/>
      <c r="Q92" s="89"/>
      <c r="R92"/>
    </row>
    <row r="93" spans="1:18" ht="14.25" customHeight="1">
      <c r="A93" s="2"/>
      <c r="B93" s="131"/>
      <c r="C93" s="131"/>
      <c r="D93" s="131"/>
      <c r="E93" s="131"/>
      <c r="F93" s="131"/>
      <c r="G93" s="131"/>
      <c r="H93" s="131"/>
      <c r="P93" s="38"/>
      <c r="Q93" s="89"/>
      <c r="R93"/>
    </row>
    <row r="94" spans="1:18" ht="14.25" customHeight="1">
      <c r="A94" s="7" t="s">
        <v>105</v>
      </c>
      <c r="B94" s="162">
        <f>MEDIAN(B4:B92)</f>
        <v>206470.42</v>
      </c>
      <c r="C94" s="162">
        <f t="shared" ref="C94:H94" si="0">MEDIAN(C4:C92)</f>
        <v>45633.72</v>
      </c>
      <c r="D94" s="162">
        <f t="shared" si="0"/>
        <v>18454</v>
      </c>
      <c r="E94" s="162">
        <f t="shared" si="0"/>
        <v>6259.81</v>
      </c>
      <c r="F94" s="162">
        <f t="shared" si="0"/>
        <v>25696.665000000001</v>
      </c>
      <c r="G94" s="162">
        <f t="shared" si="0"/>
        <v>39480.875</v>
      </c>
      <c r="H94" s="162">
        <f t="shared" si="0"/>
        <v>354591</v>
      </c>
      <c r="I94" s="7"/>
    </row>
    <row r="95" spans="1:18" ht="14.25" customHeight="1">
      <c r="A95" s="7" t="s">
        <v>104</v>
      </c>
      <c r="B95" s="162">
        <f>AVERAGE(B4:B92)</f>
        <v>257332.11089887642</v>
      </c>
      <c r="C95" s="162">
        <f t="shared" ref="C95:H95" si="1">AVERAGE(C4:C92)</f>
        <v>71175.634897959186</v>
      </c>
      <c r="D95" s="162">
        <f t="shared" si="1"/>
        <v>43570.202716049374</v>
      </c>
      <c r="E95" s="162">
        <f t="shared" si="1"/>
        <v>17243.632307692307</v>
      </c>
      <c r="F95" s="162">
        <f t="shared" si="1"/>
        <v>47019.811730769223</v>
      </c>
      <c r="G95" s="162">
        <f t="shared" si="1"/>
        <v>76703.89833333336</v>
      </c>
      <c r="H95" s="162">
        <f t="shared" si="1"/>
        <v>428082.46696629201</v>
      </c>
      <c r="P95" s="38"/>
      <c r="Q95" s="89"/>
      <c r="R95"/>
    </row>
    <row r="96" spans="1:18" ht="14.25" customHeight="1">
      <c r="A96" s="7" t="s">
        <v>329</v>
      </c>
      <c r="B96" s="162">
        <f>SUM(B4:B92)</f>
        <v>22902557.870000001</v>
      </c>
      <c r="C96" s="162">
        <f t="shared" ref="C96:H96" si="2">SUM(C4:C92)</f>
        <v>3487606.11</v>
      </c>
      <c r="D96" s="162">
        <f t="shared" si="2"/>
        <v>3529186.4199999995</v>
      </c>
      <c r="E96" s="162">
        <f t="shared" si="2"/>
        <v>672501.66</v>
      </c>
      <c r="F96" s="162">
        <f t="shared" si="2"/>
        <v>2445030.2099999995</v>
      </c>
      <c r="G96" s="162">
        <f t="shared" si="2"/>
        <v>5062457.2900000019</v>
      </c>
      <c r="H96" s="162">
        <f t="shared" si="2"/>
        <v>38099339.559999987</v>
      </c>
      <c r="P96" s="38"/>
      <c r="Q96" s="89"/>
      <c r="R96"/>
    </row>
    <row r="97" spans="1:18" ht="14.25" customHeight="1">
      <c r="A97" s="7"/>
      <c r="B97" s="162"/>
      <c r="C97" s="162"/>
      <c r="D97" s="162"/>
      <c r="E97" s="162"/>
      <c r="F97" s="162"/>
      <c r="G97" s="162"/>
      <c r="H97" s="162"/>
      <c r="P97" s="38"/>
      <c r="Q97" s="89"/>
      <c r="R97"/>
    </row>
    <row r="98" spans="1:18" ht="14.25" customHeight="1">
      <c r="A98" s="2" t="s">
        <v>340</v>
      </c>
      <c r="I98" s="57"/>
    </row>
    <row r="99" spans="1:18" ht="14.25" customHeight="1">
      <c r="A99" s="44" t="s">
        <v>341</v>
      </c>
      <c r="B99" s="2"/>
      <c r="C99" s="2"/>
      <c r="D99" s="2"/>
      <c r="E99" s="2"/>
      <c r="F99" s="2"/>
      <c r="G99" s="2"/>
      <c r="H99" s="131" t="s">
        <v>342</v>
      </c>
      <c r="I99" s="2"/>
    </row>
    <row r="100" spans="1:18" ht="14.25" customHeight="1">
      <c r="A100" s="44" t="s">
        <v>343</v>
      </c>
      <c r="B100" s="2"/>
      <c r="C100" s="2"/>
      <c r="D100" s="2"/>
      <c r="E100" s="2"/>
      <c r="F100" s="2"/>
      <c r="G100" s="2"/>
      <c r="H100" s="131"/>
      <c r="I100" s="2" t="s">
        <v>342</v>
      </c>
    </row>
    <row r="101" spans="1:18" ht="14.25" customHeight="1">
      <c r="A101" s="63"/>
      <c r="B101" s="2"/>
      <c r="C101" s="2"/>
      <c r="D101" s="2"/>
      <c r="E101" s="2"/>
      <c r="F101" s="2"/>
      <c r="G101" s="2"/>
      <c r="H101" s="131"/>
      <c r="I101" s="2"/>
    </row>
    <row r="102" spans="1:18" ht="14.25" customHeight="1">
      <c r="A102" s="99"/>
      <c r="B102" s="2"/>
      <c r="C102" s="2"/>
      <c r="D102" s="2"/>
      <c r="E102" s="2"/>
      <c r="F102" s="2"/>
      <c r="G102" s="2"/>
      <c r="H102" s="131"/>
      <c r="I102" s="2"/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H97"/>
  <sheetViews>
    <sheetView topLeftCell="A81" zoomScaleNormal="100" workbookViewId="0"/>
  </sheetViews>
  <sheetFormatPr defaultColWidth="8.85546875" defaultRowHeight="14.25" customHeight="1"/>
  <cols>
    <col min="1" max="1" width="20.7109375" customWidth="1"/>
    <col min="2" max="2" width="12.42578125" customWidth="1"/>
    <col min="3" max="3" width="14.85546875" customWidth="1"/>
    <col min="4" max="4" width="21.5703125" customWidth="1"/>
    <col min="5" max="5" width="12.28515625" customWidth="1"/>
    <col min="6" max="6" width="6.85546875" customWidth="1"/>
    <col min="7" max="7" width="27.85546875" style="2" bestFit="1" customWidth="1"/>
    <col min="8" max="8" width="19.85546875" style="2" customWidth="1"/>
    <col min="11" max="12" width="8.85546875" customWidth="1"/>
  </cols>
  <sheetData>
    <row r="1" spans="1:8" ht="15.75" customHeight="1">
      <c r="A1" s="9" t="s">
        <v>344</v>
      </c>
      <c r="B1" s="128"/>
    </row>
    <row r="2" spans="1:8" ht="14.25" customHeight="1">
      <c r="A2" s="3" t="s">
        <v>345</v>
      </c>
      <c r="B2" s="128"/>
    </row>
    <row r="3" spans="1:8" ht="14.25" customHeight="1">
      <c r="A3" s="2"/>
      <c r="B3" s="334"/>
      <c r="C3" s="137"/>
      <c r="D3" s="2"/>
      <c r="E3" s="142"/>
      <c r="G3" s="139"/>
      <c r="H3" s="139"/>
    </row>
    <row r="4" spans="1:8" ht="14.25" customHeight="1">
      <c r="A4" s="335" t="s">
        <v>346</v>
      </c>
      <c r="B4" s="71">
        <v>384110</v>
      </c>
      <c r="C4" s="137"/>
      <c r="G4" s="139"/>
      <c r="H4" s="215"/>
    </row>
    <row r="5" spans="1:8" ht="14.25" customHeight="1">
      <c r="A5" s="335" t="s">
        <v>278</v>
      </c>
      <c r="B5" s="71">
        <v>216857</v>
      </c>
      <c r="C5" s="137"/>
      <c r="G5" s="139"/>
      <c r="H5" s="215"/>
    </row>
    <row r="6" spans="1:8" ht="14.25" customHeight="1">
      <c r="A6" s="335" t="s">
        <v>123</v>
      </c>
      <c r="B6" s="71">
        <v>13335</v>
      </c>
      <c r="C6" s="137"/>
      <c r="G6" s="139"/>
      <c r="H6" s="215"/>
    </row>
    <row r="7" spans="1:8" ht="14.25" customHeight="1">
      <c r="A7" s="335" t="s">
        <v>124</v>
      </c>
      <c r="B7" s="71">
        <v>210146</v>
      </c>
      <c r="C7" s="137"/>
      <c r="G7" s="139"/>
      <c r="H7" s="215"/>
    </row>
    <row r="8" spans="1:8" s="41" customFormat="1" ht="14.25" customHeight="1">
      <c r="A8" s="335" t="s">
        <v>126</v>
      </c>
      <c r="B8" s="71">
        <v>447408</v>
      </c>
      <c r="C8" s="137"/>
      <c r="D8" s="128"/>
      <c r="E8" s="128"/>
      <c r="F8" s="128"/>
      <c r="G8" s="139"/>
      <c r="H8" s="215"/>
    </row>
    <row r="9" spans="1:8" ht="14.25" customHeight="1">
      <c r="A9" s="335" t="s">
        <v>127</v>
      </c>
      <c r="B9" s="71">
        <v>225647</v>
      </c>
      <c r="C9" s="137"/>
      <c r="G9" s="139"/>
      <c r="H9" s="215"/>
    </row>
    <row r="10" spans="1:8" ht="14.25" customHeight="1">
      <c r="A10" s="335" t="s">
        <v>305</v>
      </c>
      <c r="B10" s="71">
        <v>29428</v>
      </c>
      <c r="C10" s="137"/>
      <c r="G10" s="139"/>
      <c r="H10" s="215"/>
    </row>
    <row r="11" spans="1:8" ht="14.25" customHeight="1">
      <c r="A11" s="335" t="s">
        <v>133</v>
      </c>
      <c r="B11" s="71">
        <v>1372224</v>
      </c>
      <c r="C11" s="137"/>
      <c r="G11" s="139"/>
      <c r="H11" s="215"/>
    </row>
    <row r="12" spans="1:8" ht="14.25" customHeight="1">
      <c r="A12" s="335" t="s">
        <v>137</v>
      </c>
      <c r="B12" s="71">
        <v>542822</v>
      </c>
      <c r="C12" s="137"/>
      <c r="G12" s="139"/>
      <c r="H12" s="215"/>
    </row>
    <row r="13" spans="1:8" ht="14.25" customHeight="1">
      <c r="A13" s="335" t="s">
        <v>139</v>
      </c>
      <c r="B13" s="71">
        <v>7687</v>
      </c>
      <c r="C13" s="137"/>
      <c r="G13" s="139"/>
      <c r="H13" s="215"/>
    </row>
    <row r="14" spans="1:8" ht="14.25" customHeight="1">
      <c r="A14" s="335" t="s">
        <v>142</v>
      </c>
      <c r="B14" s="71">
        <v>47474</v>
      </c>
      <c r="C14" s="137"/>
      <c r="G14" s="139"/>
      <c r="H14" s="215"/>
    </row>
    <row r="15" spans="1:8" ht="14.25" customHeight="1">
      <c r="A15" s="335" t="s">
        <v>144</v>
      </c>
      <c r="B15" s="71">
        <v>221197</v>
      </c>
      <c r="C15" s="137"/>
      <c r="G15" s="139"/>
      <c r="H15" s="215"/>
    </row>
    <row r="16" spans="1:8" ht="14.25" customHeight="1">
      <c r="A16" s="335" t="s">
        <v>148</v>
      </c>
      <c r="B16" s="71">
        <v>279027</v>
      </c>
      <c r="C16" s="137"/>
      <c r="G16" s="139"/>
      <c r="H16" s="215"/>
    </row>
    <row r="17" spans="1:8" ht="14.25" customHeight="1">
      <c r="A17" s="335" t="s">
        <v>149</v>
      </c>
      <c r="B17" s="71">
        <v>427690</v>
      </c>
      <c r="C17" s="137"/>
      <c r="G17" s="139"/>
      <c r="H17" s="215"/>
    </row>
    <row r="18" spans="1:8" ht="14.25" customHeight="1">
      <c r="A18" s="335" t="s">
        <v>151</v>
      </c>
      <c r="B18" s="71">
        <v>507381</v>
      </c>
      <c r="C18" s="137"/>
      <c r="G18" s="139"/>
      <c r="H18" s="215"/>
    </row>
    <row r="19" spans="1:8" ht="14.25" customHeight="1">
      <c r="A19" s="335" t="s">
        <v>152</v>
      </c>
      <c r="B19" s="71">
        <v>783407</v>
      </c>
      <c r="C19" s="137"/>
      <c r="G19" s="139"/>
      <c r="H19" s="215"/>
    </row>
    <row r="20" spans="1:8" ht="14.25" customHeight="1">
      <c r="A20" s="335" t="s">
        <v>154</v>
      </c>
      <c r="B20" s="71">
        <v>1491184</v>
      </c>
      <c r="C20" s="137"/>
      <c r="G20" s="139"/>
      <c r="H20" s="215"/>
    </row>
    <row r="21" spans="1:8" ht="14.25" customHeight="1">
      <c r="A21" s="335" t="s">
        <v>347</v>
      </c>
      <c r="B21" s="71">
        <v>376304</v>
      </c>
      <c r="C21" s="137"/>
      <c r="G21" s="139"/>
      <c r="H21" s="215"/>
    </row>
    <row r="22" spans="1:8" ht="14.25" customHeight="1">
      <c r="A22" s="335" t="s">
        <v>312</v>
      </c>
      <c r="B22" s="71">
        <v>418026</v>
      </c>
      <c r="C22" s="137"/>
      <c r="G22" s="139"/>
      <c r="H22" s="215"/>
    </row>
    <row r="23" spans="1:8" ht="14.25" customHeight="1">
      <c r="A23" s="335" t="s">
        <v>155</v>
      </c>
      <c r="B23" s="71">
        <v>183561</v>
      </c>
      <c r="C23" s="137"/>
      <c r="G23" s="139"/>
      <c r="H23" s="215"/>
    </row>
    <row r="24" spans="1:8" ht="14.25" customHeight="1">
      <c r="A24" s="335" t="s">
        <v>348</v>
      </c>
      <c r="B24" s="71">
        <v>376447</v>
      </c>
      <c r="C24" s="137"/>
      <c r="G24" s="139"/>
      <c r="H24" s="215"/>
    </row>
    <row r="25" spans="1:8" ht="14.25" customHeight="1">
      <c r="A25" s="335" t="s">
        <v>158</v>
      </c>
      <c r="B25" s="71">
        <v>13403</v>
      </c>
      <c r="C25" s="137"/>
      <c r="G25" s="139"/>
      <c r="H25" s="215"/>
    </row>
    <row r="26" spans="1:8" ht="14.25" customHeight="1">
      <c r="A26" s="335" t="s">
        <v>160</v>
      </c>
      <c r="B26" s="71">
        <v>364686</v>
      </c>
      <c r="C26" s="137"/>
      <c r="G26" s="139"/>
      <c r="H26" s="215"/>
    </row>
    <row r="27" spans="1:8" ht="14.25" customHeight="1">
      <c r="A27" s="335" t="s">
        <v>165</v>
      </c>
      <c r="B27" s="71">
        <v>506968</v>
      </c>
      <c r="C27" s="137"/>
      <c r="G27" s="139"/>
      <c r="H27" s="215"/>
    </row>
    <row r="28" spans="1:8" ht="14.25" customHeight="1">
      <c r="A28" s="335" t="s">
        <v>168</v>
      </c>
      <c r="B28" s="71">
        <v>40558</v>
      </c>
      <c r="C28" s="137"/>
      <c r="G28" s="139"/>
      <c r="H28" s="215"/>
    </row>
    <row r="29" spans="1:8" ht="14.25" customHeight="1">
      <c r="A29" s="335" t="s">
        <v>169</v>
      </c>
      <c r="B29" s="71">
        <v>218918</v>
      </c>
      <c r="C29" s="137"/>
      <c r="G29" s="139"/>
      <c r="H29" s="215"/>
    </row>
    <row r="30" spans="1:8" ht="14.25" customHeight="1">
      <c r="A30" s="335" t="s">
        <v>170</v>
      </c>
      <c r="B30" s="71">
        <v>287899</v>
      </c>
      <c r="C30" s="137"/>
      <c r="G30" s="139"/>
      <c r="H30" s="215"/>
    </row>
    <row r="31" spans="1:8" ht="14.25" customHeight="1">
      <c r="A31" s="335" t="s">
        <v>173</v>
      </c>
      <c r="B31" s="71">
        <v>756556</v>
      </c>
      <c r="C31" s="137"/>
      <c r="G31" s="139"/>
      <c r="H31" s="215"/>
    </row>
    <row r="32" spans="1:8" ht="14.25" customHeight="1">
      <c r="A32" s="335" t="s">
        <v>280</v>
      </c>
      <c r="B32" s="71">
        <v>51665</v>
      </c>
      <c r="C32" s="137"/>
      <c r="G32" s="139"/>
      <c r="H32" s="215"/>
    </row>
    <row r="33" spans="1:8" ht="14.25" customHeight="1">
      <c r="A33" s="335" t="s">
        <v>176</v>
      </c>
      <c r="B33" s="71">
        <v>128456</v>
      </c>
      <c r="C33" s="137"/>
      <c r="G33" s="139"/>
      <c r="H33" s="215"/>
    </row>
    <row r="34" spans="1:8" ht="14.25" customHeight="1">
      <c r="A34" s="335" t="s">
        <v>316</v>
      </c>
      <c r="B34" s="71">
        <v>13392</v>
      </c>
      <c r="C34" s="137"/>
      <c r="G34" s="139"/>
      <c r="H34" s="215"/>
    </row>
    <row r="35" spans="1:8" ht="14.25" customHeight="1">
      <c r="A35" s="335" t="s">
        <v>179</v>
      </c>
      <c r="B35" s="71">
        <v>19931</v>
      </c>
      <c r="C35" s="137"/>
      <c r="G35" s="139"/>
      <c r="H35" s="215"/>
    </row>
    <row r="36" spans="1:8" ht="14.25" customHeight="1">
      <c r="A36" s="335" t="s">
        <v>182</v>
      </c>
      <c r="B36" s="71">
        <v>279438</v>
      </c>
      <c r="C36" s="137"/>
      <c r="G36" s="139"/>
      <c r="H36" s="215"/>
    </row>
    <row r="37" spans="1:8" ht="14.25" customHeight="1">
      <c r="A37" s="335" t="s">
        <v>317</v>
      </c>
      <c r="B37" s="71">
        <v>1587044</v>
      </c>
      <c r="C37" s="137"/>
      <c r="G37" s="139"/>
      <c r="H37" s="215"/>
    </row>
    <row r="38" spans="1:8" ht="14.25" customHeight="1">
      <c r="A38" s="335" t="s">
        <v>185</v>
      </c>
      <c r="B38" s="71">
        <v>48429</v>
      </c>
      <c r="C38" s="137"/>
      <c r="G38" s="139"/>
      <c r="H38" s="215"/>
    </row>
    <row r="39" spans="1:8" ht="14.25" customHeight="1">
      <c r="A39" s="335" t="s">
        <v>186</v>
      </c>
      <c r="B39" s="71">
        <v>1050153</v>
      </c>
      <c r="C39" s="137"/>
      <c r="G39" s="139"/>
      <c r="H39" s="215"/>
    </row>
    <row r="40" spans="1:8" ht="14.25" customHeight="1">
      <c r="A40" s="335" t="s">
        <v>282</v>
      </c>
      <c r="B40" s="71">
        <v>1643458</v>
      </c>
      <c r="C40" s="137"/>
      <c r="G40" s="139"/>
      <c r="H40" s="215"/>
    </row>
    <row r="41" spans="1:8" ht="14.25" customHeight="1">
      <c r="A41" s="335" t="s">
        <v>190</v>
      </c>
      <c r="B41" s="71">
        <v>128592</v>
      </c>
      <c r="C41" s="137"/>
      <c r="G41" s="139"/>
      <c r="H41" s="215"/>
    </row>
    <row r="42" spans="1:8" ht="14.25" customHeight="1">
      <c r="A42" s="335" t="s">
        <v>192</v>
      </c>
      <c r="B42" s="71">
        <v>206443</v>
      </c>
      <c r="C42" s="137"/>
      <c r="G42" s="139"/>
      <c r="H42" s="215"/>
    </row>
    <row r="43" spans="1:8" ht="14.25" customHeight="1">
      <c r="A43" s="335" t="s">
        <v>193</v>
      </c>
      <c r="B43" s="71">
        <v>149453</v>
      </c>
      <c r="C43" s="137"/>
      <c r="G43" s="139"/>
      <c r="H43" s="215"/>
    </row>
    <row r="44" spans="1:8" ht="14.25" customHeight="1">
      <c r="A44" s="335" t="s">
        <v>318</v>
      </c>
      <c r="B44" s="71">
        <v>875657</v>
      </c>
      <c r="C44" s="137"/>
      <c r="G44" s="139"/>
      <c r="H44" s="215"/>
    </row>
    <row r="45" spans="1:8" ht="14.25" customHeight="1">
      <c r="A45" s="335" t="s">
        <v>196</v>
      </c>
      <c r="B45" s="71">
        <v>14336</v>
      </c>
      <c r="C45" s="137"/>
      <c r="G45" s="139"/>
      <c r="H45" s="215"/>
    </row>
    <row r="46" spans="1:8" ht="14.25" customHeight="1">
      <c r="A46" s="335" t="s">
        <v>198</v>
      </c>
      <c r="B46" s="71">
        <v>982744</v>
      </c>
      <c r="C46" s="137"/>
      <c r="G46" s="139"/>
      <c r="H46" s="215"/>
    </row>
    <row r="47" spans="1:8" ht="14.25" customHeight="1">
      <c r="A47" s="335" t="s">
        <v>199</v>
      </c>
      <c r="B47" s="71">
        <v>674292</v>
      </c>
      <c r="C47" s="137"/>
      <c r="G47" s="139"/>
      <c r="H47" s="215"/>
    </row>
    <row r="48" spans="1:8" ht="14.25" customHeight="1">
      <c r="A48" s="335" t="s">
        <v>202</v>
      </c>
      <c r="B48" s="71">
        <v>49923</v>
      </c>
      <c r="C48" s="137"/>
      <c r="G48" s="139"/>
      <c r="H48" s="215"/>
    </row>
    <row r="49" spans="1:8" ht="14.25" customHeight="1">
      <c r="A49" s="335" t="s">
        <v>203</v>
      </c>
      <c r="B49" s="71">
        <v>977278</v>
      </c>
      <c r="C49" s="137"/>
      <c r="G49" s="139"/>
      <c r="H49" s="215"/>
    </row>
    <row r="50" spans="1:8" ht="14.25" customHeight="1">
      <c r="A50" s="128" t="s">
        <v>319</v>
      </c>
      <c r="B50" s="71">
        <v>347787</v>
      </c>
      <c r="C50" s="137"/>
      <c r="G50" s="139"/>
      <c r="H50" s="215"/>
    </row>
    <row r="51" spans="1:8" ht="14.25" customHeight="1">
      <c r="A51" s="200" t="s">
        <v>206</v>
      </c>
      <c r="B51" s="231">
        <v>379356</v>
      </c>
      <c r="G51" s="139"/>
      <c r="H51" s="215"/>
    </row>
    <row r="52" spans="1:8" ht="14.25" customHeight="1">
      <c r="A52" s="200" t="s">
        <v>207</v>
      </c>
      <c r="B52" s="231">
        <v>674916</v>
      </c>
      <c r="G52" s="139"/>
      <c r="H52" s="215"/>
    </row>
    <row r="53" spans="1:8" ht="14.25" customHeight="1">
      <c r="A53" s="200" t="s">
        <v>208</v>
      </c>
      <c r="B53" s="231">
        <v>100787</v>
      </c>
      <c r="G53" s="139"/>
      <c r="H53" s="215"/>
    </row>
    <row r="54" spans="1:8" ht="14.25" customHeight="1">
      <c r="A54" s="200" t="s">
        <v>210</v>
      </c>
      <c r="B54" s="231">
        <v>342103</v>
      </c>
      <c r="G54" s="139"/>
      <c r="H54" s="215"/>
    </row>
    <row r="55" spans="1:8" ht="14.25" customHeight="1">
      <c r="A55" s="200" t="s">
        <v>349</v>
      </c>
      <c r="B55" s="231">
        <v>63105</v>
      </c>
      <c r="G55" s="139"/>
      <c r="H55" s="215"/>
    </row>
    <row r="56" spans="1:8" ht="14.25" customHeight="1">
      <c r="A56" s="200" t="s">
        <v>213</v>
      </c>
      <c r="B56" s="231">
        <v>41916</v>
      </c>
      <c r="G56" s="139"/>
      <c r="H56" s="215"/>
    </row>
    <row r="57" spans="1:8" ht="14.25" customHeight="1">
      <c r="A57" s="200" t="s">
        <v>214</v>
      </c>
      <c r="B57" s="231">
        <v>68433</v>
      </c>
      <c r="G57" s="139"/>
      <c r="H57" s="215"/>
    </row>
    <row r="58" spans="1:8" ht="14.25" customHeight="1">
      <c r="A58" s="200" t="s">
        <v>218</v>
      </c>
      <c r="B58" s="231">
        <v>1752373</v>
      </c>
      <c r="G58" s="139"/>
      <c r="H58" s="215"/>
    </row>
    <row r="59" spans="1:8" ht="14.25" customHeight="1">
      <c r="A59" s="200" t="s">
        <v>219</v>
      </c>
      <c r="B59" s="231">
        <v>610479</v>
      </c>
      <c r="G59" s="139"/>
      <c r="H59" s="215"/>
    </row>
    <row r="60" spans="1:8" ht="14.25" customHeight="1">
      <c r="A60" s="200" t="s">
        <v>320</v>
      </c>
      <c r="B60" s="231">
        <v>57790</v>
      </c>
      <c r="G60" s="139"/>
      <c r="H60" s="215"/>
    </row>
    <row r="61" spans="1:8" ht="14.25" customHeight="1">
      <c r="A61" s="200" t="s">
        <v>220</v>
      </c>
      <c r="B61" s="231">
        <v>1510505</v>
      </c>
      <c r="G61" s="139"/>
      <c r="H61" s="215"/>
    </row>
    <row r="62" spans="1:8" ht="14.25" customHeight="1">
      <c r="A62" s="200" t="s">
        <v>283</v>
      </c>
      <c r="B62" s="231">
        <v>13199</v>
      </c>
      <c r="G62" s="139"/>
      <c r="H62" s="215"/>
    </row>
    <row r="63" spans="1:8" ht="14.25" customHeight="1">
      <c r="A63" s="200" t="s">
        <v>223</v>
      </c>
      <c r="B63" s="231">
        <v>36474</v>
      </c>
      <c r="G63" s="139"/>
      <c r="H63" s="215"/>
    </row>
    <row r="64" spans="1:8" ht="14.25" customHeight="1">
      <c r="A64" s="200" t="s">
        <v>224</v>
      </c>
      <c r="B64" s="231">
        <v>1187991</v>
      </c>
      <c r="G64" s="139"/>
      <c r="H64" s="215"/>
    </row>
    <row r="65" spans="1:8" ht="14.25" customHeight="1">
      <c r="A65" s="200" t="s">
        <v>225</v>
      </c>
      <c r="B65" s="231">
        <v>540739</v>
      </c>
      <c r="G65" s="139"/>
      <c r="H65" s="215"/>
    </row>
    <row r="66" spans="1:8" ht="14.25" customHeight="1">
      <c r="A66" s="200" t="s">
        <v>226</v>
      </c>
      <c r="B66" s="231">
        <v>688257</v>
      </c>
      <c r="G66" s="139"/>
      <c r="H66" s="215"/>
    </row>
    <row r="67" spans="1:8" ht="14.25" customHeight="1">
      <c r="A67" s="200" t="s">
        <v>228</v>
      </c>
      <c r="B67" s="231">
        <v>216594</v>
      </c>
      <c r="G67" s="139"/>
      <c r="H67" s="215"/>
    </row>
    <row r="68" spans="1:8" ht="14.25" customHeight="1">
      <c r="A68" s="200" t="s">
        <v>229</v>
      </c>
      <c r="B68" s="231">
        <v>870199</v>
      </c>
      <c r="G68" s="139"/>
      <c r="H68" s="215"/>
    </row>
    <row r="69" spans="1:8" ht="14.25" customHeight="1">
      <c r="A69" s="200" t="s">
        <v>322</v>
      </c>
      <c r="B69" s="231">
        <v>1770312</v>
      </c>
      <c r="G69" s="139"/>
      <c r="H69" s="215"/>
    </row>
    <row r="70" spans="1:8" ht="14.25" customHeight="1">
      <c r="A70" s="200" t="s">
        <v>323</v>
      </c>
      <c r="B70" s="231">
        <v>150349</v>
      </c>
      <c r="G70" s="139"/>
      <c r="H70" s="215"/>
    </row>
    <row r="71" spans="1:8" ht="14.25" customHeight="1">
      <c r="A71" s="200" t="s">
        <v>350</v>
      </c>
      <c r="B71" s="231">
        <v>329402</v>
      </c>
      <c r="G71" s="139"/>
      <c r="H71" s="215"/>
    </row>
    <row r="72" spans="1:8" ht="14.25" customHeight="1">
      <c r="A72" s="200" t="s">
        <v>284</v>
      </c>
      <c r="B72" s="231">
        <v>919059</v>
      </c>
      <c r="G72" s="139"/>
      <c r="H72" s="215"/>
    </row>
    <row r="73" spans="1:8" ht="14.25" customHeight="1">
      <c r="A73" s="200" t="s">
        <v>232</v>
      </c>
      <c r="B73" s="231">
        <v>626151</v>
      </c>
      <c r="G73" s="139"/>
      <c r="H73" s="215"/>
    </row>
    <row r="74" spans="1:8" ht="14.25" customHeight="1">
      <c r="A74" s="200" t="s">
        <v>233</v>
      </c>
      <c r="B74" s="231">
        <v>423947</v>
      </c>
      <c r="G74" s="139"/>
      <c r="H74" s="215"/>
    </row>
    <row r="75" spans="1:8" ht="14.25" customHeight="1">
      <c r="A75" s="200" t="s">
        <v>234</v>
      </c>
      <c r="B75" s="231">
        <v>139547</v>
      </c>
      <c r="G75" s="139"/>
      <c r="H75" s="215"/>
    </row>
    <row r="76" spans="1:8" ht="14.25" customHeight="1">
      <c r="A76" s="200" t="s">
        <v>236</v>
      </c>
      <c r="B76" s="231">
        <v>76731</v>
      </c>
      <c r="G76" s="139"/>
      <c r="H76" s="215"/>
    </row>
    <row r="77" spans="1:8" ht="14.25" customHeight="1">
      <c r="A77" s="200" t="s">
        <v>238</v>
      </c>
      <c r="B77" s="231">
        <v>299317</v>
      </c>
      <c r="G77" s="139"/>
      <c r="H77" s="215"/>
    </row>
    <row r="78" spans="1:8" ht="14.25" customHeight="1">
      <c r="A78" s="200" t="s">
        <v>239</v>
      </c>
      <c r="B78" s="231">
        <v>1292983</v>
      </c>
      <c r="G78" s="139"/>
      <c r="H78" s="215"/>
    </row>
    <row r="79" spans="1:8" ht="14.25" customHeight="1">
      <c r="A79" s="200" t="s">
        <v>351</v>
      </c>
      <c r="B79" s="231">
        <v>1685934</v>
      </c>
      <c r="G79" s="139"/>
      <c r="H79" s="215"/>
    </row>
    <row r="80" spans="1:8" ht="14.25" customHeight="1">
      <c r="A80" s="200" t="s">
        <v>244</v>
      </c>
      <c r="B80" s="231">
        <v>20654</v>
      </c>
      <c r="G80" s="139"/>
      <c r="H80" s="215"/>
    </row>
    <row r="81" spans="1:8" ht="14.25" customHeight="1">
      <c r="A81" s="200" t="s">
        <v>326</v>
      </c>
      <c r="B81" s="231">
        <v>35096</v>
      </c>
      <c r="G81" s="139"/>
      <c r="H81" s="215"/>
    </row>
    <row r="82" spans="1:8" ht="14.25" customHeight="1">
      <c r="A82" s="200" t="s">
        <v>247</v>
      </c>
      <c r="B82" s="231">
        <v>30532</v>
      </c>
      <c r="G82" s="139"/>
      <c r="H82" s="215"/>
    </row>
    <row r="83" spans="1:8" ht="14.25" customHeight="1">
      <c r="A83" s="200" t="s">
        <v>249</v>
      </c>
      <c r="B83" s="231">
        <v>284990</v>
      </c>
      <c r="G83" s="139"/>
      <c r="H83" s="215"/>
    </row>
    <row r="84" spans="1:8" ht="14.25" customHeight="1">
      <c r="A84" s="2" t="s">
        <v>254</v>
      </c>
      <c r="B84" s="278">
        <v>380489</v>
      </c>
      <c r="G84" s="139"/>
      <c r="H84" s="215"/>
    </row>
    <row r="85" spans="1:8" ht="14.25" customHeight="1">
      <c r="A85" s="200" t="s">
        <v>256</v>
      </c>
      <c r="B85" s="231">
        <v>17226</v>
      </c>
      <c r="G85" s="139"/>
      <c r="H85" s="215"/>
    </row>
    <row r="86" spans="1:8" ht="14.25" customHeight="1">
      <c r="A86" s="200" t="s">
        <v>327</v>
      </c>
      <c r="B86" s="231">
        <v>219632</v>
      </c>
      <c r="G86" s="139"/>
      <c r="H86" s="215"/>
    </row>
    <row r="87" spans="1:8" ht="14.25" customHeight="1">
      <c r="A87" s="200" t="s">
        <v>257</v>
      </c>
      <c r="B87" s="231">
        <v>852256</v>
      </c>
      <c r="G87" s="139"/>
      <c r="H87" s="215"/>
    </row>
    <row r="88" spans="1:8" ht="14.25" customHeight="1">
      <c r="A88" s="200" t="s">
        <v>258</v>
      </c>
      <c r="B88" s="231">
        <v>315193</v>
      </c>
      <c r="G88" s="139"/>
      <c r="H88" s="215"/>
    </row>
    <row r="89" spans="1:8" ht="14.25" customHeight="1">
      <c r="A89" s="200" t="s">
        <v>285</v>
      </c>
      <c r="B89" s="231">
        <v>107163</v>
      </c>
      <c r="G89" s="139"/>
      <c r="H89" s="215"/>
    </row>
    <row r="90" spans="1:8" ht="14.25" customHeight="1">
      <c r="A90" s="200" t="s">
        <v>260</v>
      </c>
      <c r="B90" s="231">
        <v>1437902</v>
      </c>
      <c r="G90" s="139"/>
      <c r="H90" s="215"/>
    </row>
    <row r="91" spans="1:8" ht="14.25" customHeight="1">
      <c r="A91" s="200" t="s">
        <v>261</v>
      </c>
      <c r="B91" s="231">
        <v>620085</v>
      </c>
      <c r="G91" s="139"/>
      <c r="H91" s="215"/>
    </row>
    <row r="92" spans="1:8" ht="14.25" customHeight="1">
      <c r="A92" s="200" t="s">
        <v>286</v>
      </c>
      <c r="B92" s="231">
        <v>60781</v>
      </c>
      <c r="G92" s="139"/>
      <c r="H92" s="215"/>
    </row>
    <row r="93" spans="1:8" ht="14.25" customHeight="1">
      <c r="A93" s="200"/>
      <c r="B93" s="231"/>
      <c r="G93" s="139"/>
      <c r="H93" s="215"/>
    </row>
    <row r="94" spans="1:8" ht="14.25" customHeight="1">
      <c r="A94" s="7" t="s">
        <v>105</v>
      </c>
      <c r="B94" s="336">
        <v>299317</v>
      </c>
    </row>
    <row r="95" spans="1:8" ht="14.25" customHeight="1">
      <c r="A95" s="13" t="s">
        <v>104</v>
      </c>
      <c r="B95" s="15">
        <v>463255.82022471912</v>
      </c>
    </row>
    <row r="96" spans="1:8" ht="14.25" customHeight="1">
      <c r="A96" s="13" t="s">
        <v>329</v>
      </c>
      <c r="B96" s="279">
        <v>41229768</v>
      </c>
    </row>
    <row r="97" spans="1:2" ht="14.25" customHeight="1">
      <c r="A97" s="13"/>
      <c r="B97" s="279"/>
    </row>
  </sheetData>
  <sortState xmlns:xlrd2="http://schemas.microsoft.com/office/spreadsheetml/2017/richdata2" ref="A51:B93">
    <sortCondition ref="A51:A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N97"/>
  <sheetViews>
    <sheetView zoomScaleNormal="100" workbookViewId="0"/>
  </sheetViews>
  <sheetFormatPr defaultColWidth="21.5703125" defaultRowHeight="14.25" customHeight="1"/>
  <cols>
    <col min="6" max="9" width="21.5703125" style="2"/>
    <col min="11" max="11" width="21.5703125" style="2"/>
    <col min="14" max="14" width="21.5703125" style="2"/>
  </cols>
  <sheetData>
    <row r="1" spans="1:5" ht="15">
      <c r="A1" s="9" t="s">
        <v>352</v>
      </c>
    </row>
    <row r="2" spans="1:5" ht="12.75"/>
    <row r="3" spans="1:5" ht="48" customHeight="1">
      <c r="A3" s="16"/>
      <c r="B3" s="130" t="s">
        <v>353</v>
      </c>
      <c r="C3" s="130" t="s">
        <v>354</v>
      </c>
      <c r="D3" s="130" t="s">
        <v>355</v>
      </c>
      <c r="E3" s="130" t="s">
        <v>356</v>
      </c>
    </row>
    <row r="4" spans="1:5" ht="14.25" customHeight="1">
      <c r="A4" s="202" t="s">
        <v>346</v>
      </c>
      <c r="B4" s="231">
        <v>272344</v>
      </c>
      <c r="C4" s="231">
        <v>75954</v>
      </c>
      <c r="D4" s="231">
        <v>35812</v>
      </c>
      <c r="E4" s="231">
        <v>138336</v>
      </c>
    </row>
    <row r="5" spans="1:5" ht="14.25" customHeight="1">
      <c r="A5" s="202" t="s">
        <v>278</v>
      </c>
      <c r="B5" s="231">
        <v>149818</v>
      </c>
      <c r="C5" s="231">
        <v>59696</v>
      </c>
      <c r="D5" s="231">
        <v>7343</v>
      </c>
      <c r="E5" s="231">
        <v>64574</v>
      </c>
    </row>
    <row r="6" spans="1:5" ht="14.25" customHeight="1">
      <c r="A6" s="202" t="s">
        <v>123</v>
      </c>
      <c r="B6" s="231">
        <v>12308</v>
      </c>
      <c r="C6" s="231">
        <v>1027</v>
      </c>
      <c r="D6" s="71">
        <v>0</v>
      </c>
      <c r="E6" s="231">
        <v>681</v>
      </c>
    </row>
    <row r="7" spans="1:5" ht="14.25" customHeight="1">
      <c r="A7" s="202" t="s">
        <v>124</v>
      </c>
      <c r="B7" s="231">
        <v>137693</v>
      </c>
      <c r="C7" s="231">
        <v>48665</v>
      </c>
      <c r="D7" s="231">
        <v>23788</v>
      </c>
      <c r="E7" s="231">
        <v>94364</v>
      </c>
    </row>
    <row r="8" spans="1:5" ht="14.25" customHeight="1">
      <c r="A8" s="202" t="s">
        <v>126</v>
      </c>
      <c r="B8" s="231">
        <v>326133</v>
      </c>
      <c r="C8" s="231">
        <v>43322</v>
      </c>
      <c r="D8" s="231">
        <v>77953</v>
      </c>
      <c r="E8" s="231">
        <v>166366</v>
      </c>
    </row>
    <row r="9" spans="1:5" ht="14.25" customHeight="1">
      <c r="A9" s="202" t="s">
        <v>127</v>
      </c>
      <c r="B9" s="231">
        <v>158839</v>
      </c>
      <c r="C9" s="231">
        <v>53638</v>
      </c>
      <c r="D9" s="231">
        <v>13170</v>
      </c>
      <c r="E9" s="231">
        <v>75804</v>
      </c>
    </row>
    <row r="10" spans="1:5" ht="14.25" customHeight="1">
      <c r="A10" s="202" t="s">
        <v>305</v>
      </c>
      <c r="B10" s="231">
        <v>21323</v>
      </c>
      <c r="C10" s="231">
        <v>7327</v>
      </c>
      <c r="D10" s="231">
        <v>778</v>
      </c>
      <c r="E10" s="231">
        <v>8442</v>
      </c>
    </row>
    <row r="11" spans="1:5" ht="14.25" customHeight="1">
      <c r="A11" s="202" t="s">
        <v>133</v>
      </c>
      <c r="B11" s="231">
        <v>1127815</v>
      </c>
      <c r="C11" s="231">
        <v>152424</v>
      </c>
      <c r="D11" s="231">
        <v>91985</v>
      </c>
      <c r="E11" s="231">
        <v>336986</v>
      </c>
    </row>
    <row r="12" spans="1:5" ht="14.25" customHeight="1">
      <c r="A12" s="202" t="s">
        <v>137</v>
      </c>
      <c r="B12" s="231">
        <v>376697</v>
      </c>
      <c r="C12" s="231">
        <v>124597</v>
      </c>
      <c r="D12" s="231">
        <v>41528</v>
      </c>
      <c r="E12" s="231">
        <v>159165</v>
      </c>
    </row>
    <row r="13" spans="1:5" ht="14.25" customHeight="1">
      <c r="A13" s="202" t="s">
        <v>139</v>
      </c>
      <c r="B13" s="231">
        <v>4631</v>
      </c>
      <c r="C13" s="231">
        <v>2255</v>
      </c>
      <c r="D13" s="231">
        <v>801</v>
      </c>
      <c r="E13" s="231">
        <v>3335</v>
      </c>
    </row>
    <row r="14" spans="1:5" ht="14.25" customHeight="1">
      <c r="A14" s="202" t="s">
        <v>142</v>
      </c>
      <c r="B14" s="231">
        <v>36286</v>
      </c>
      <c r="C14" s="231">
        <v>6502</v>
      </c>
      <c r="D14" s="231">
        <v>4686</v>
      </c>
      <c r="E14" s="231">
        <v>24823</v>
      </c>
    </row>
    <row r="15" spans="1:5" ht="14.25" customHeight="1">
      <c r="A15" s="202" t="s">
        <v>144</v>
      </c>
      <c r="B15" s="231">
        <v>165859</v>
      </c>
      <c r="C15" s="231">
        <v>20345</v>
      </c>
      <c r="D15" s="231">
        <v>34993</v>
      </c>
      <c r="E15" s="231">
        <v>90902</v>
      </c>
    </row>
    <row r="16" spans="1:5" ht="14.25" customHeight="1">
      <c r="A16" s="202" t="s">
        <v>148</v>
      </c>
      <c r="B16" s="231">
        <v>248282</v>
      </c>
      <c r="C16" s="231">
        <v>24229</v>
      </c>
      <c r="D16" s="231">
        <v>6516</v>
      </c>
      <c r="E16" s="231">
        <v>45081</v>
      </c>
    </row>
    <row r="17" spans="1:5" ht="14.25" customHeight="1">
      <c r="A17" s="202" t="s">
        <v>149</v>
      </c>
      <c r="B17" s="231">
        <v>325288</v>
      </c>
      <c r="C17" s="231">
        <v>55797</v>
      </c>
      <c r="D17" s="231">
        <v>46605</v>
      </c>
      <c r="E17" s="231">
        <v>135347</v>
      </c>
    </row>
    <row r="18" spans="1:5" ht="14.25" customHeight="1">
      <c r="A18" s="202" t="s">
        <v>151</v>
      </c>
      <c r="B18" s="231">
        <v>405849</v>
      </c>
      <c r="C18" s="231">
        <v>56545</v>
      </c>
      <c r="D18" s="231">
        <v>44987</v>
      </c>
      <c r="E18" s="231">
        <v>146840</v>
      </c>
    </row>
    <row r="19" spans="1:5" ht="14.25" customHeight="1">
      <c r="A19" s="202" t="s">
        <v>152</v>
      </c>
      <c r="B19" s="231">
        <v>578881</v>
      </c>
      <c r="C19" s="231">
        <v>106876</v>
      </c>
      <c r="D19" s="231">
        <v>97650</v>
      </c>
      <c r="E19" s="231">
        <v>279081</v>
      </c>
    </row>
    <row r="20" spans="1:5" ht="14.25" customHeight="1">
      <c r="A20" s="202" t="s">
        <v>154</v>
      </c>
      <c r="B20" s="231">
        <v>981043</v>
      </c>
      <c r="C20" s="231">
        <v>381297</v>
      </c>
      <c r="D20" s="231">
        <v>128844</v>
      </c>
      <c r="E20" s="231">
        <v>613545</v>
      </c>
    </row>
    <row r="21" spans="1:5" ht="14.25" customHeight="1">
      <c r="A21" s="202" t="s">
        <v>347</v>
      </c>
      <c r="B21" s="231">
        <v>280175</v>
      </c>
      <c r="C21" s="231">
        <v>80772</v>
      </c>
      <c r="D21" s="231">
        <v>15357</v>
      </c>
      <c r="E21" s="231">
        <v>140791</v>
      </c>
    </row>
    <row r="22" spans="1:5" ht="14.25" customHeight="1">
      <c r="A22" s="202" t="s">
        <v>312</v>
      </c>
      <c r="B22" s="231">
        <v>245213</v>
      </c>
      <c r="C22" s="231">
        <v>85677</v>
      </c>
      <c r="D22" s="231">
        <v>87136</v>
      </c>
      <c r="E22" s="231">
        <v>195092</v>
      </c>
    </row>
    <row r="23" spans="1:5" ht="14.25" customHeight="1">
      <c r="A23" s="202" t="s">
        <v>155</v>
      </c>
      <c r="B23" s="231">
        <v>126220</v>
      </c>
      <c r="C23" s="231">
        <v>41176</v>
      </c>
      <c r="D23" s="231">
        <v>16165</v>
      </c>
      <c r="E23" s="231">
        <v>56322</v>
      </c>
    </row>
    <row r="24" spans="1:5" ht="14.25" customHeight="1">
      <c r="A24" s="202" t="s">
        <v>348</v>
      </c>
      <c r="B24" s="231">
        <v>263880</v>
      </c>
      <c r="C24" s="231">
        <v>80512</v>
      </c>
      <c r="D24" s="231">
        <v>32055</v>
      </c>
      <c r="E24" s="231">
        <v>136578</v>
      </c>
    </row>
    <row r="25" spans="1:5" ht="14.25" customHeight="1">
      <c r="A25" s="202" t="s">
        <v>158</v>
      </c>
      <c r="B25" s="231">
        <v>7613</v>
      </c>
      <c r="C25" s="231">
        <v>5219</v>
      </c>
      <c r="D25" s="231">
        <v>571</v>
      </c>
      <c r="E25" s="231">
        <v>2931</v>
      </c>
    </row>
    <row r="26" spans="1:5" ht="14.25" customHeight="1">
      <c r="A26" s="202" t="s">
        <v>160</v>
      </c>
      <c r="B26" s="231">
        <v>252177</v>
      </c>
      <c r="C26" s="231">
        <v>66210</v>
      </c>
      <c r="D26" s="231">
        <v>46299</v>
      </c>
      <c r="E26" s="231">
        <v>123370</v>
      </c>
    </row>
    <row r="27" spans="1:5" ht="14.25" customHeight="1">
      <c r="A27" s="202" t="s">
        <v>165</v>
      </c>
      <c r="B27" s="231">
        <v>434706</v>
      </c>
      <c r="C27" s="231">
        <v>52962</v>
      </c>
      <c r="D27" s="231">
        <v>19300</v>
      </c>
      <c r="E27" s="231">
        <v>116687</v>
      </c>
    </row>
    <row r="28" spans="1:5" ht="14.25" customHeight="1">
      <c r="A28" s="202" t="s">
        <v>168</v>
      </c>
      <c r="B28" s="231">
        <v>26267</v>
      </c>
      <c r="C28" s="231">
        <v>12084</v>
      </c>
      <c r="D28" s="231">
        <v>2207</v>
      </c>
      <c r="E28" s="231">
        <v>15185</v>
      </c>
    </row>
    <row r="29" spans="1:5" ht="14.25" customHeight="1">
      <c r="A29" s="202" t="s">
        <v>169</v>
      </c>
      <c r="B29" s="231">
        <v>151779</v>
      </c>
      <c r="C29" s="231">
        <v>48062</v>
      </c>
      <c r="D29" s="231">
        <v>19077</v>
      </c>
      <c r="E29" s="231">
        <v>79111</v>
      </c>
    </row>
    <row r="30" spans="1:5" ht="14.25" customHeight="1">
      <c r="A30" s="202" t="s">
        <v>170</v>
      </c>
      <c r="B30" s="231">
        <v>208053</v>
      </c>
      <c r="C30" s="231">
        <v>50811</v>
      </c>
      <c r="D30" s="231">
        <v>29035</v>
      </c>
      <c r="E30" s="231">
        <v>118328</v>
      </c>
    </row>
    <row r="31" spans="1:5" ht="14.25" customHeight="1">
      <c r="A31" s="202" t="s">
        <v>173</v>
      </c>
      <c r="B31" s="231">
        <v>583167</v>
      </c>
      <c r="C31" s="231">
        <v>89665</v>
      </c>
      <c r="D31" s="231">
        <v>83724</v>
      </c>
      <c r="E31" s="231">
        <v>223600</v>
      </c>
    </row>
    <row r="32" spans="1:5" ht="14.25" customHeight="1">
      <c r="A32" s="202" t="s">
        <v>280</v>
      </c>
      <c r="B32" s="231">
        <v>36183</v>
      </c>
      <c r="C32" s="231">
        <v>12770</v>
      </c>
      <c r="D32" s="231">
        <v>2712</v>
      </c>
      <c r="E32" s="231">
        <v>16859</v>
      </c>
    </row>
    <row r="33" spans="1:5" ht="14.25" customHeight="1">
      <c r="A33" s="202" t="s">
        <v>176</v>
      </c>
      <c r="B33" s="231">
        <v>83766</v>
      </c>
      <c r="C33" s="231">
        <v>36288</v>
      </c>
      <c r="D33" s="231">
        <v>8402</v>
      </c>
      <c r="E33" s="231">
        <v>50985</v>
      </c>
    </row>
    <row r="34" spans="1:5" ht="14.25" customHeight="1">
      <c r="A34" s="202" t="s">
        <v>316</v>
      </c>
      <c r="B34" s="231">
        <v>9634</v>
      </c>
      <c r="C34" s="231">
        <v>2824</v>
      </c>
      <c r="D34" s="231">
        <v>934</v>
      </c>
      <c r="E34" s="231">
        <v>3894</v>
      </c>
    </row>
    <row r="35" spans="1:5" ht="14.25" customHeight="1">
      <c r="A35" s="202" t="s">
        <v>179</v>
      </c>
      <c r="B35" s="231">
        <v>16997</v>
      </c>
      <c r="C35" s="231">
        <v>2125</v>
      </c>
      <c r="D35" s="231">
        <v>809</v>
      </c>
      <c r="E35" s="231">
        <v>6548</v>
      </c>
    </row>
    <row r="36" spans="1:5" ht="14.25" customHeight="1">
      <c r="A36" s="202" t="s">
        <v>182</v>
      </c>
      <c r="B36" s="231">
        <v>215426</v>
      </c>
      <c r="C36" s="231">
        <v>45930</v>
      </c>
      <c r="D36" s="231">
        <v>18082</v>
      </c>
      <c r="E36" s="231">
        <v>76361</v>
      </c>
    </row>
    <row r="37" spans="1:5" ht="14.25" customHeight="1">
      <c r="A37" s="202" t="s">
        <v>317</v>
      </c>
      <c r="B37" s="231">
        <v>1252357</v>
      </c>
      <c r="C37" s="231">
        <v>109209</v>
      </c>
      <c r="D37" s="231">
        <v>225478</v>
      </c>
      <c r="E37" s="231">
        <v>469025</v>
      </c>
    </row>
    <row r="38" spans="1:5" ht="14.25" customHeight="1">
      <c r="A38" s="202" t="s">
        <v>185</v>
      </c>
      <c r="B38" s="231">
        <v>30964</v>
      </c>
      <c r="C38" s="231">
        <v>14180</v>
      </c>
      <c r="D38" s="231">
        <v>3285</v>
      </c>
      <c r="E38" s="231">
        <v>23277</v>
      </c>
    </row>
    <row r="39" spans="1:5" ht="14.25" customHeight="1">
      <c r="A39" s="202" t="s">
        <v>186</v>
      </c>
      <c r="B39" s="231">
        <v>683317</v>
      </c>
      <c r="C39" s="231">
        <v>189400</v>
      </c>
      <c r="D39" s="231">
        <v>177436</v>
      </c>
      <c r="E39" s="231">
        <v>538017</v>
      </c>
    </row>
    <row r="40" spans="1:5" ht="14.25" customHeight="1">
      <c r="A40" s="202" t="s">
        <v>282</v>
      </c>
      <c r="B40" s="231">
        <v>880387</v>
      </c>
      <c r="C40" s="231">
        <v>181335</v>
      </c>
      <c r="D40" s="231">
        <v>581736</v>
      </c>
      <c r="E40" s="231">
        <v>772600</v>
      </c>
    </row>
    <row r="41" spans="1:5" ht="14.25" customHeight="1">
      <c r="A41" s="202" t="s">
        <v>190</v>
      </c>
      <c r="B41" s="231">
        <v>87882</v>
      </c>
      <c r="C41" s="231">
        <v>34659</v>
      </c>
      <c r="D41" s="231">
        <v>6051</v>
      </c>
      <c r="E41" s="231">
        <v>34715</v>
      </c>
    </row>
    <row r="42" spans="1:5" ht="14.25" customHeight="1">
      <c r="A42" s="202" t="s">
        <v>192</v>
      </c>
      <c r="B42" s="231">
        <v>149366</v>
      </c>
      <c r="C42" s="231">
        <v>33212</v>
      </c>
      <c r="D42" s="231">
        <v>23865</v>
      </c>
      <c r="E42" s="231">
        <v>75947</v>
      </c>
    </row>
    <row r="43" spans="1:5" ht="14.25" customHeight="1">
      <c r="A43" s="202" t="s">
        <v>193</v>
      </c>
      <c r="B43" s="231">
        <v>98157</v>
      </c>
      <c r="C43" s="231">
        <v>25218</v>
      </c>
      <c r="D43" s="231">
        <v>26078</v>
      </c>
      <c r="E43" s="231">
        <v>63298</v>
      </c>
    </row>
    <row r="44" spans="1:5" ht="14.25" customHeight="1">
      <c r="A44" s="202" t="s">
        <v>318</v>
      </c>
      <c r="B44" s="231">
        <v>604103</v>
      </c>
      <c r="C44" s="231">
        <v>114990</v>
      </c>
      <c r="D44" s="231">
        <v>156564</v>
      </c>
      <c r="E44" s="231">
        <v>359165</v>
      </c>
    </row>
    <row r="45" spans="1:5" ht="14.25" customHeight="1">
      <c r="A45" s="202" t="s">
        <v>196</v>
      </c>
      <c r="B45" s="231">
        <v>10184</v>
      </c>
      <c r="C45" s="231">
        <v>3488</v>
      </c>
      <c r="D45" s="231">
        <v>664</v>
      </c>
      <c r="E45" s="231">
        <v>4621</v>
      </c>
    </row>
    <row r="46" spans="1:5" ht="14.25" customHeight="1">
      <c r="A46" s="202" t="s">
        <v>198</v>
      </c>
      <c r="B46" s="231">
        <v>652813</v>
      </c>
      <c r="C46" s="231">
        <v>209616</v>
      </c>
      <c r="D46" s="231">
        <v>120315</v>
      </c>
      <c r="E46" s="231">
        <v>375679</v>
      </c>
    </row>
    <row r="47" spans="1:5" ht="14.25" customHeight="1">
      <c r="A47" s="202" t="s">
        <v>199</v>
      </c>
      <c r="B47" s="231">
        <v>507287</v>
      </c>
      <c r="C47" s="231">
        <v>88523</v>
      </c>
      <c r="D47" s="231">
        <v>78482</v>
      </c>
      <c r="E47" s="231">
        <v>178489</v>
      </c>
    </row>
    <row r="48" spans="1:5" ht="14.25" customHeight="1">
      <c r="A48" s="202" t="s">
        <v>202</v>
      </c>
      <c r="B48" s="231">
        <v>31356</v>
      </c>
      <c r="C48" s="231">
        <v>14959</v>
      </c>
      <c r="D48" s="231">
        <v>3608</v>
      </c>
      <c r="E48" s="231">
        <v>19970</v>
      </c>
    </row>
    <row r="49" spans="1:14" ht="14.25" customHeight="1">
      <c r="A49" s="202" t="s">
        <v>203</v>
      </c>
      <c r="B49" s="231">
        <v>812159</v>
      </c>
      <c r="C49" s="231">
        <v>99690</v>
      </c>
      <c r="D49" s="231">
        <v>65429</v>
      </c>
      <c r="E49" s="231">
        <v>248668</v>
      </c>
    </row>
    <row r="50" spans="1:14" ht="14.25" customHeight="1">
      <c r="A50" s="2" t="s">
        <v>319</v>
      </c>
      <c r="B50" s="231">
        <v>216466</v>
      </c>
      <c r="C50" s="231">
        <v>64798</v>
      </c>
      <c r="D50" s="231">
        <v>66523</v>
      </c>
      <c r="E50" s="231">
        <v>155217</v>
      </c>
    </row>
    <row r="51" spans="1:14" ht="14.25" customHeight="1">
      <c r="A51" s="2" t="s">
        <v>206</v>
      </c>
      <c r="B51" s="14">
        <v>256878</v>
      </c>
      <c r="C51" s="14">
        <v>83203</v>
      </c>
      <c r="D51" s="14">
        <v>39275</v>
      </c>
      <c r="E51" s="14">
        <v>128824</v>
      </c>
    </row>
    <row r="52" spans="1:14" ht="14.25" customHeight="1">
      <c r="A52" s="2" t="s">
        <v>207</v>
      </c>
      <c r="B52" s="14">
        <v>451005</v>
      </c>
      <c r="C52" s="14">
        <v>149154</v>
      </c>
      <c r="D52" s="14">
        <v>74757</v>
      </c>
      <c r="E52" s="14">
        <v>221017</v>
      </c>
    </row>
    <row r="53" spans="1:14" ht="14.25" customHeight="1">
      <c r="A53" s="2" t="s">
        <v>208</v>
      </c>
      <c r="B53" s="14">
        <v>65021</v>
      </c>
      <c r="C53" s="14">
        <v>22658</v>
      </c>
      <c r="D53" s="14">
        <v>13108</v>
      </c>
      <c r="E53" s="14">
        <v>47090</v>
      </c>
    </row>
    <row r="54" spans="1:14" s="41" customFormat="1" ht="14.25" customHeight="1">
      <c r="A54" s="2" t="s">
        <v>210</v>
      </c>
      <c r="B54" s="14">
        <v>240051</v>
      </c>
      <c r="C54" s="14">
        <v>41919</v>
      </c>
      <c r="D54" s="14">
        <v>60133</v>
      </c>
      <c r="E54" s="14">
        <v>117901</v>
      </c>
      <c r="F54" s="128"/>
      <c r="G54" s="128"/>
      <c r="H54" s="128"/>
      <c r="I54" s="128"/>
      <c r="J54" s="128"/>
      <c r="K54" s="128"/>
      <c r="L54" s="128"/>
      <c r="M54" s="128"/>
      <c r="N54" s="128"/>
    </row>
    <row r="55" spans="1:14" ht="14.25" customHeight="1">
      <c r="A55" s="2" t="s">
        <v>349</v>
      </c>
      <c r="B55" s="14">
        <v>44866</v>
      </c>
      <c r="C55" s="14">
        <v>15858</v>
      </c>
      <c r="D55" s="14">
        <v>2381</v>
      </c>
      <c r="E55" s="14">
        <v>26312</v>
      </c>
    </row>
    <row r="56" spans="1:14" ht="14.25" customHeight="1">
      <c r="A56" s="2" t="s">
        <v>213</v>
      </c>
      <c r="B56" s="14">
        <v>28470</v>
      </c>
      <c r="C56" s="14">
        <v>11084</v>
      </c>
      <c r="D56" s="14">
        <v>2362</v>
      </c>
      <c r="E56" s="14">
        <v>12780</v>
      </c>
    </row>
    <row r="57" spans="1:14" ht="14.25" customHeight="1">
      <c r="A57" s="2" t="s">
        <v>357</v>
      </c>
      <c r="B57" s="14">
        <v>54134</v>
      </c>
      <c r="C57" s="14">
        <v>10716</v>
      </c>
      <c r="D57" s="14">
        <v>3583</v>
      </c>
      <c r="E57" s="14">
        <v>12685</v>
      </c>
    </row>
    <row r="58" spans="1:14" ht="14.25" customHeight="1">
      <c r="A58" s="2" t="s">
        <v>218</v>
      </c>
      <c r="B58" s="14">
        <v>1198912</v>
      </c>
      <c r="C58" s="14">
        <v>326376</v>
      </c>
      <c r="D58" s="14">
        <v>227085</v>
      </c>
      <c r="E58" s="14">
        <v>560145</v>
      </c>
    </row>
    <row r="59" spans="1:14" ht="14.25" customHeight="1">
      <c r="A59" s="2" t="s">
        <v>219</v>
      </c>
      <c r="B59" s="14">
        <v>403661</v>
      </c>
      <c r="C59" s="14">
        <v>96409</v>
      </c>
      <c r="D59" s="14">
        <v>110409</v>
      </c>
      <c r="E59" s="14">
        <v>189932</v>
      </c>
    </row>
    <row r="60" spans="1:14" ht="14.25" customHeight="1">
      <c r="A60" s="2" t="s">
        <v>320</v>
      </c>
      <c r="B60" s="14">
        <v>41957</v>
      </c>
      <c r="C60" s="14">
        <v>11091</v>
      </c>
      <c r="D60" s="14">
        <v>4742</v>
      </c>
      <c r="E60" s="14">
        <v>22985</v>
      </c>
    </row>
    <row r="61" spans="1:14" ht="14.25" customHeight="1">
      <c r="A61" s="2" t="s">
        <v>220</v>
      </c>
      <c r="B61" s="14">
        <v>1105658</v>
      </c>
      <c r="C61" s="14">
        <v>228503</v>
      </c>
      <c r="D61" s="14">
        <v>176344</v>
      </c>
      <c r="E61" s="14">
        <v>636179</v>
      </c>
    </row>
    <row r="62" spans="1:14" ht="14.25" customHeight="1">
      <c r="A62" s="2" t="s">
        <v>283</v>
      </c>
      <c r="B62" s="14">
        <v>9248</v>
      </c>
      <c r="C62" s="14">
        <v>3104</v>
      </c>
      <c r="D62" s="14">
        <v>847</v>
      </c>
      <c r="E62" s="14">
        <v>4422</v>
      </c>
    </row>
    <row r="63" spans="1:14" ht="14.25" customHeight="1">
      <c r="A63" s="2" t="s">
        <v>223</v>
      </c>
      <c r="B63" s="14">
        <v>27996</v>
      </c>
      <c r="C63" s="14">
        <v>6833</v>
      </c>
      <c r="D63" s="14">
        <v>1645</v>
      </c>
      <c r="E63" s="14">
        <v>10783</v>
      </c>
    </row>
    <row r="64" spans="1:14" ht="14.25" customHeight="1">
      <c r="A64" s="2" t="s">
        <v>224</v>
      </c>
      <c r="B64" s="14">
        <v>981048</v>
      </c>
      <c r="C64" s="14">
        <v>104601</v>
      </c>
      <c r="D64" s="14">
        <v>102342</v>
      </c>
      <c r="E64" s="14">
        <v>409618</v>
      </c>
    </row>
    <row r="65" spans="1:5" ht="14.25" customHeight="1">
      <c r="A65" s="2" t="s">
        <v>225</v>
      </c>
      <c r="B65" s="14">
        <v>388189</v>
      </c>
      <c r="C65" s="14">
        <v>90419</v>
      </c>
      <c r="D65" s="14">
        <v>62131</v>
      </c>
      <c r="E65" s="14">
        <v>207509</v>
      </c>
    </row>
    <row r="66" spans="1:5" ht="14.25" customHeight="1">
      <c r="A66" s="2" t="s">
        <v>226</v>
      </c>
      <c r="B66" s="14">
        <v>525269</v>
      </c>
      <c r="C66" s="14">
        <v>102538</v>
      </c>
      <c r="D66" s="14">
        <v>60450</v>
      </c>
      <c r="E66" s="14">
        <v>189070</v>
      </c>
    </row>
    <row r="67" spans="1:5" ht="14.25" customHeight="1">
      <c r="A67" s="2" t="s">
        <v>228</v>
      </c>
      <c r="B67" s="14">
        <v>157975</v>
      </c>
      <c r="C67" s="14">
        <v>44209</v>
      </c>
      <c r="D67" s="14">
        <v>14410</v>
      </c>
      <c r="E67" s="14">
        <v>72253</v>
      </c>
    </row>
    <row r="68" spans="1:5" ht="14.25" customHeight="1">
      <c r="A68" s="2" t="s">
        <v>229</v>
      </c>
      <c r="B68" s="14">
        <v>525180</v>
      </c>
      <c r="C68" s="14">
        <v>141022</v>
      </c>
      <c r="D68" s="14">
        <v>203997</v>
      </c>
      <c r="E68" s="14">
        <v>386173</v>
      </c>
    </row>
    <row r="69" spans="1:5" ht="14.25" customHeight="1">
      <c r="A69" s="2" t="s">
        <v>322</v>
      </c>
      <c r="B69" s="14">
        <v>1310479</v>
      </c>
      <c r="C69" s="14">
        <v>309724</v>
      </c>
      <c r="D69" s="14">
        <v>150109</v>
      </c>
      <c r="E69" s="14">
        <v>504105</v>
      </c>
    </row>
    <row r="70" spans="1:5" ht="14.25" customHeight="1">
      <c r="A70" s="2" t="s">
        <v>323</v>
      </c>
      <c r="B70" s="14">
        <v>110160</v>
      </c>
      <c r="C70" s="14">
        <v>32430</v>
      </c>
      <c r="D70" s="14">
        <v>7759</v>
      </c>
      <c r="E70" s="14">
        <v>37155</v>
      </c>
    </row>
    <row r="71" spans="1:5" ht="14.25" customHeight="1">
      <c r="A71" s="2" t="s">
        <v>350</v>
      </c>
      <c r="B71" s="14">
        <v>234314</v>
      </c>
      <c r="C71" s="14">
        <v>79046</v>
      </c>
      <c r="D71" s="14">
        <v>16042</v>
      </c>
      <c r="E71" s="14">
        <v>131828</v>
      </c>
    </row>
    <row r="72" spans="1:5" ht="14.25" customHeight="1">
      <c r="A72" s="2" t="s">
        <v>284</v>
      </c>
      <c r="B72" s="14">
        <v>656888</v>
      </c>
      <c r="C72" s="14">
        <v>109133</v>
      </c>
      <c r="D72" s="14">
        <v>153038</v>
      </c>
      <c r="E72" s="14">
        <v>360309</v>
      </c>
    </row>
    <row r="73" spans="1:5" ht="14.25" customHeight="1">
      <c r="A73" s="2" t="s">
        <v>232</v>
      </c>
      <c r="B73" s="14">
        <v>295574</v>
      </c>
      <c r="C73" s="14">
        <v>85205</v>
      </c>
      <c r="D73" s="14">
        <v>245372</v>
      </c>
      <c r="E73" s="14">
        <v>297473</v>
      </c>
    </row>
    <row r="74" spans="1:5" ht="14.25" customHeight="1">
      <c r="A74" s="2" t="s">
        <v>233</v>
      </c>
      <c r="B74" s="14">
        <v>286972</v>
      </c>
      <c r="C74" s="14">
        <v>107485</v>
      </c>
      <c r="D74" s="14">
        <v>29490</v>
      </c>
      <c r="E74" s="14">
        <v>161653</v>
      </c>
    </row>
    <row r="75" spans="1:5" ht="14.25" customHeight="1">
      <c r="A75" s="2" t="s">
        <v>234</v>
      </c>
      <c r="B75" s="14">
        <v>69255</v>
      </c>
      <c r="C75" s="14">
        <v>21835</v>
      </c>
      <c r="D75" s="14">
        <v>48457</v>
      </c>
      <c r="E75" s="14">
        <v>69132</v>
      </c>
    </row>
    <row r="76" spans="1:5" ht="14.25" customHeight="1">
      <c r="A76" s="2" t="s">
        <v>236</v>
      </c>
      <c r="B76" s="14">
        <v>59760</v>
      </c>
      <c r="C76" s="14">
        <v>14780</v>
      </c>
      <c r="D76" s="14">
        <v>2191</v>
      </c>
      <c r="E76" s="14">
        <v>14734</v>
      </c>
    </row>
    <row r="77" spans="1:5" ht="14.25" customHeight="1">
      <c r="A77" s="2" t="s">
        <v>238</v>
      </c>
      <c r="B77" s="14">
        <v>119831</v>
      </c>
      <c r="C77" s="14">
        <v>12816</v>
      </c>
      <c r="D77" s="14">
        <v>166670</v>
      </c>
      <c r="E77" s="14">
        <v>191539</v>
      </c>
    </row>
    <row r="78" spans="1:5" ht="14.25" customHeight="1">
      <c r="A78" s="2" t="s">
        <v>239</v>
      </c>
      <c r="B78" s="14">
        <v>987259</v>
      </c>
      <c r="C78" s="14">
        <v>198465</v>
      </c>
      <c r="D78" s="14">
        <v>107259</v>
      </c>
      <c r="E78" s="14">
        <v>439577</v>
      </c>
    </row>
    <row r="79" spans="1:5" ht="14.25" customHeight="1">
      <c r="A79" s="2" t="s">
        <v>351</v>
      </c>
      <c r="B79" s="14">
        <v>739309</v>
      </c>
      <c r="C79" s="14">
        <v>267384</v>
      </c>
      <c r="D79" s="14">
        <v>679241</v>
      </c>
      <c r="E79" s="14">
        <v>968666</v>
      </c>
    </row>
    <row r="80" spans="1:5" ht="14.25" customHeight="1">
      <c r="A80" s="2" t="s">
        <v>244</v>
      </c>
      <c r="B80" s="14">
        <v>16044</v>
      </c>
      <c r="C80" s="14">
        <v>3929</v>
      </c>
      <c r="D80" s="14">
        <v>681</v>
      </c>
      <c r="E80" s="14">
        <v>6115</v>
      </c>
    </row>
    <row r="81" spans="1:5" ht="14.25" customHeight="1">
      <c r="A81" s="2" t="s">
        <v>326</v>
      </c>
      <c r="B81" s="14">
        <v>28282</v>
      </c>
      <c r="C81" s="14">
        <v>5451</v>
      </c>
      <c r="D81" s="14">
        <v>1363</v>
      </c>
      <c r="E81" s="14">
        <v>13125</v>
      </c>
    </row>
    <row r="82" spans="1:5" ht="14.25" customHeight="1">
      <c r="A82" s="2" t="s">
        <v>247</v>
      </c>
      <c r="B82" s="14">
        <v>21547</v>
      </c>
      <c r="C82" s="14">
        <v>7430</v>
      </c>
      <c r="D82" s="14">
        <v>1555</v>
      </c>
      <c r="E82" s="14">
        <v>9285</v>
      </c>
    </row>
    <row r="83" spans="1:5" ht="14.25" customHeight="1">
      <c r="A83" s="2" t="s">
        <v>249</v>
      </c>
      <c r="B83" s="14">
        <v>200982</v>
      </c>
      <c r="C83" s="14">
        <v>61014</v>
      </c>
      <c r="D83" s="14">
        <v>22994</v>
      </c>
      <c r="E83" s="14">
        <v>111238</v>
      </c>
    </row>
    <row r="84" spans="1:5" ht="14.25" customHeight="1">
      <c r="A84" s="2" t="s">
        <v>254</v>
      </c>
      <c r="B84" s="14">
        <v>257772</v>
      </c>
      <c r="C84" s="33">
        <v>63042</v>
      </c>
      <c r="D84" s="14">
        <v>59675</v>
      </c>
      <c r="E84" s="14">
        <v>137374</v>
      </c>
    </row>
    <row r="85" spans="1:5" ht="14.25" customHeight="1">
      <c r="A85" s="2" t="s">
        <v>256</v>
      </c>
      <c r="B85" s="14">
        <v>11170</v>
      </c>
      <c r="C85" s="14">
        <v>4211</v>
      </c>
      <c r="D85" s="14">
        <v>1845</v>
      </c>
      <c r="E85" s="14">
        <v>6749</v>
      </c>
    </row>
    <row r="86" spans="1:5" ht="14.25" customHeight="1">
      <c r="A86" s="2" t="s">
        <v>327</v>
      </c>
      <c r="B86" s="14">
        <v>167531</v>
      </c>
      <c r="C86" s="14">
        <v>40956</v>
      </c>
      <c r="D86" s="14">
        <v>11145</v>
      </c>
      <c r="E86" s="14">
        <v>52222</v>
      </c>
    </row>
    <row r="87" spans="1:5" ht="14.25" customHeight="1">
      <c r="A87" s="2" t="s">
        <v>257</v>
      </c>
      <c r="B87" s="14">
        <v>612532</v>
      </c>
      <c r="C87" s="14">
        <v>89363</v>
      </c>
      <c r="D87" s="14">
        <v>150361</v>
      </c>
      <c r="E87" s="14">
        <v>409608</v>
      </c>
    </row>
    <row r="88" spans="1:5" ht="14.25" customHeight="1">
      <c r="A88" s="2" t="s">
        <v>258</v>
      </c>
      <c r="B88" s="14">
        <v>241739</v>
      </c>
      <c r="C88" s="14">
        <v>45080</v>
      </c>
      <c r="D88" s="14">
        <v>28374</v>
      </c>
      <c r="E88" s="14">
        <v>82344</v>
      </c>
    </row>
    <row r="89" spans="1:5" ht="14.25" customHeight="1">
      <c r="A89" s="2" t="s">
        <v>285</v>
      </c>
      <c r="B89" s="14">
        <v>81568</v>
      </c>
      <c r="C89" s="14">
        <v>18600</v>
      </c>
      <c r="D89" s="14">
        <v>6995</v>
      </c>
      <c r="E89" s="14">
        <v>27546</v>
      </c>
    </row>
    <row r="90" spans="1:5" ht="14.25" customHeight="1">
      <c r="A90" s="2" t="s">
        <v>260</v>
      </c>
      <c r="B90" s="14">
        <v>873206</v>
      </c>
      <c r="C90" s="14">
        <v>294588</v>
      </c>
      <c r="D90" s="14">
        <v>270108</v>
      </c>
      <c r="E90" s="14">
        <v>604236</v>
      </c>
    </row>
    <row r="91" spans="1:5" ht="14.25" customHeight="1">
      <c r="A91" s="2" t="s">
        <v>261</v>
      </c>
      <c r="B91" s="14">
        <v>438160</v>
      </c>
      <c r="C91" s="14">
        <v>64184</v>
      </c>
      <c r="D91" s="14">
        <v>117741</v>
      </c>
      <c r="E91" s="14">
        <v>213515</v>
      </c>
    </row>
    <row r="92" spans="1:5" ht="14.25" customHeight="1">
      <c r="A92" s="2" t="s">
        <v>286</v>
      </c>
      <c r="B92" s="14">
        <v>36401</v>
      </c>
      <c r="C92" s="14">
        <v>19372</v>
      </c>
      <c r="D92" s="14">
        <v>5008</v>
      </c>
      <c r="E92" s="14">
        <v>25252</v>
      </c>
    </row>
    <row r="93" spans="1:5" ht="14.25" customHeight="1">
      <c r="A93" s="2"/>
      <c r="B93" s="14"/>
      <c r="C93" s="14"/>
      <c r="D93" s="14"/>
      <c r="E93" s="14"/>
    </row>
    <row r="94" spans="1:5" ht="14.25" customHeight="1">
      <c r="A94" s="7" t="s">
        <v>105</v>
      </c>
      <c r="B94" s="15">
        <v>216466</v>
      </c>
      <c r="C94" s="15">
        <v>50811</v>
      </c>
      <c r="D94" s="15">
        <v>28374</v>
      </c>
      <c r="E94" s="15">
        <v>116687</v>
      </c>
    </row>
    <row r="95" spans="1:5" ht="14.25" customHeight="1">
      <c r="A95" s="7" t="s">
        <v>104</v>
      </c>
      <c r="B95" s="15">
        <v>321903.32584269665</v>
      </c>
      <c r="C95" s="15">
        <v>73731.235955056181</v>
      </c>
      <c r="D95" s="15">
        <v>67621.258426966291</v>
      </c>
      <c r="E95" s="15">
        <v>170735.50561797753</v>
      </c>
    </row>
    <row r="96" spans="1:5" ht="14.25" customHeight="1">
      <c r="A96" s="7" t="s">
        <v>329</v>
      </c>
      <c r="B96" s="15">
        <v>28649396</v>
      </c>
      <c r="C96" s="15">
        <v>6562080</v>
      </c>
      <c r="D96" s="15">
        <v>6018292</v>
      </c>
      <c r="E96" s="15">
        <v>15195460</v>
      </c>
    </row>
    <row r="97" spans="1:5" ht="14.25" customHeight="1">
      <c r="A97" s="7"/>
      <c r="B97" s="15"/>
      <c r="C97" s="15"/>
      <c r="D97" s="15"/>
      <c r="E97" s="15"/>
    </row>
  </sheetData>
  <sortState xmlns:xlrd2="http://schemas.microsoft.com/office/spreadsheetml/2017/richdata2" ref="A4:E50">
    <sortCondition ref="A4"/>
  </sortState>
  <phoneticPr fontId="51" type="noConversion"/>
  <conditionalFormatting sqref="B6:C6 E6 B4:E5 B7:E50">
    <cfRule type="cellIs" dxfId="86" priority="8" operator="equal">
      <formula>0</formula>
    </cfRule>
  </conditionalFormatting>
  <conditionalFormatting sqref="B6:C6 E6">
    <cfRule type="cellIs" dxfId="85" priority="7" operator="equal">
      <formula>0</formula>
    </cfRule>
  </conditionalFormatting>
  <conditionalFormatting sqref="B4:E5 B6:C6 E6 B7:E50">
    <cfRule type="cellIs" dxfId="84" priority="6" operator="lessThan">
      <formula>0</formula>
    </cfRule>
  </conditionalFormatting>
  <conditionalFormatting sqref="B4:E50">
    <cfRule type="cellIs" dxfId="83" priority="1" operator="lessThan">
      <formula>0</formula>
    </cfRule>
    <cfRule type="cellIs" dxfId="82" priority="2" operator="equal">
      <formula>0</formula>
    </cfRule>
  </conditionalFormatting>
  <conditionalFormatting sqref="D4:D10">
    <cfRule type="cellIs" dxfId="81" priority="3" operator="equal">
      <formula>0</formula>
    </cfRule>
  </conditionalFormatting>
  <hyperlinks>
    <hyperlink ref="B3" r:id="rId1" location="'18'!M1" display="Books" xr:uid="{00000000-0004-0000-0F00-000000000000}"/>
    <hyperlink ref="C3" r:id="rId2" location="'21'!H1" display="Non-Books" xr:uid="{00000000-0004-0000-0F00-000001000000}"/>
  </hyperlinks>
  <pageMargins left="0.39370078740157483" right="0.39370078740157483" top="0.51181102362204722" bottom="0.43307086614173229" header="0.35433070866141736" footer="0.27559055118110237"/>
  <pageSetup paperSize="9" orientation="portrait" r:id="rId3"/>
  <headerFooter alignWithMargins="0">
    <oddFooter>&amp;L&amp;9Public Library Statistics 2022–23&amp;C&amp;9&amp;P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AB97"/>
  <sheetViews>
    <sheetView zoomScaleNormal="100" workbookViewId="0">
      <pane ySplit="3" topLeftCell="A79" activePane="bottomLeft" state="frozen"/>
      <selection pane="bottomLeft"/>
    </sheetView>
  </sheetViews>
  <sheetFormatPr defaultColWidth="19.42578125" defaultRowHeight="14.25" customHeight="1"/>
  <cols>
    <col min="2" max="9" width="19.42578125" style="20"/>
    <col min="10" max="10" width="19.42578125" style="53"/>
    <col min="11" max="11" width="19.42578125" style="52"/>
    <col min="12" max="12" width="19.42578125" style="2"/>
    <col min="13" max="13" width="19.42578125" style="52"/>
    <col min="14" max="20" width="19.42578125" style="2"/>
    <col min="28" max="28" width="19.42578125" style="2"/>
  </cols>
  <sheetData>
    <row r="1" spans="1:10" ht="15">
      <c r="A1" s="9" t="s">
        <v>358</v>
      </c>
    </row>
    <row r="2" spans="1:10" ht="15">
      <c r="A2" s="9"/>
    </row>
    <row r="3" spans="1:10" ht="38.25" customHeight="1">
      <c r="A3" s="7"/>
      <c r="B3" s="105" t="s">
        <v>359</v>
      </c>
      <c r="C3" s="105" t="s">
        <v>360</v>
      </c>
      <c r="D3" s="105" t="s">
        <v>361</v>
      </c>
      <c r="E3" s="105" t="s">
        <v>362</v>
      </c>
      <c r="F3" s="105" t="s">
        <v>363</v>
      </c>
      <c r="G3" s="105" t="s">
        <v>364</v>
      </c>
      <c r="H3" s="105" t="s">
        <v>365</v>
      </c>
      <c r="I3" s="105" t="s">
        <v>366</v>
      </c>
      <c r="J3" s="105" t="s">
        <v>367</v>
      </c>
    </row>
    <row r="4" spans="1:10" ht="14.25" customHeight="1">
      <c r="A4" s="202" t="s">
        <v>346</v>
      </c>
      <c r="B4" s="231">
        <v>29502</v>
      </c>
      <c r="C4" s="231">
        <v>85529</v>
      </c>
      <c r="D4" s="231">
        <v>468</v>
      </c>
      <c r="E4" s="231">
        <v>6732</v>
      </c>
      <c r="F4" s="231">
        <v>12083</v>
      </c>
      <c r="G4" s="231">
        <v>35996</v>
      </c>
      <c r="H4" s="231">
        <v>0</v>
      </c>
      <c r="I4" s="231">
        <v>70615</v>
      </c>
      <c r="J4" s="231">
        <v>31419</v>
      </c>
    </row>
    <row r="5" spans="1:10" ht="14.25" customHeight="1">
      <c r="A5" s="202" t="s">
        <v>278</v>
      </c>
      <c r="B5" s="231">
        <v>25079</v>
      </c>
      <c r="C5" s="231">
        <v>50250</v>
      </c>
      <c r="D5" s="231">
        <v>0</v>
      </c>
      <c r="E5" s="231">
        <v>11369</v>
      </c>
      <c r="F5" s="231">
        <v>6586</v>
      </c>
      <c r="G5" s="231">
        <v>19763</v>
      </c>
      <c r="H5" s="231">
        <v>0</v>
      </c>
      <c r="I5" s="231">
        <v>26707</v>
      </c>
      <c r="J5" s="231">
        <v>10064</v>
      </c>
    </row>
    <row r="6" spans="1:10" ht="14.25" customHeight="1">
      <c r="A6" s="202" t="s">
        <v>123</v>
      </c>
      <c r="B6" s="231">
        <v>297</v>
      </c>
      <c r="C6" s="231">
        <v>6313</v>
      </c>
      <c r="D6" s="231">
        <v>120</v>
      </c>
      <c r="E6" s="231">
        <v>2309</v>
      </c>
      <c r="F6" s="231">
        <v>14</v>
      </c>
      <c r="G6" s="231">
        <v>1942</v>
      </c>
      <c r="H6" s="231">
        <v>22</v>
      </c>
      <c r="I6" s="231">
        <v>1229</v>
      </c>
      <c r="J6" s="231">
        <v>62</v>
      </c>
    </row>
    <row r="7" spans="1:10" ht="14.25" customHeight="1">
      <c r="A7" s="202" t="s">
        <v>124</v>
      </c>
      <c r="B7" s="231">
        <v>19218</v>
      </c>
      <c r="C7" s="231">
        <v>50072</v>
      </c>
      <c r="D7" s="231">
        <v>0</v>
      </c>
      <c r="E7" s="231">
        <v>3654</v>
      </c>
      <c r="F7" s="231">
        <v>4693</v>
      </c>
      <c r="G7" s="231">
        <v>14484</v>
      </c>
      <c r="H7" s="231">
        <v>0</v>
      </c>
      <c r="I7" s="231">
        <v>27338</v>
      </c>
      <c r="J7" s="231">
        <v>18234</v>
      </c>
    </row>
    <row r="8" spans="1:10" ht="14.25" customHeight="1">
      <c r="A8" s="202" t="s">
        <v>126</v>
      </c>
      <c r="B8" s="231">
        <v>29799</v>
      </c>
      <c r="C8" s="231">
        <v>67482</v>
      </c>
      <c r="D8" s="231">
        <v>1501</v>
      </c>
      <c r="E8" s="231">
        <v>9762</v>
      </c>
      <c r="F8" s="231">
        <v>56183</v>
      </c>
      <c r="G8" s="231">
        <v>60103</v>
      </c>
      <c r="H8" s="231">
        <v>0</v>
      </c>
      <c r="I8" s="231">
        <v>81571</v>
      </c>
      <c r="J8" s="231">
        <v>19732</v>
      </c>
    </row>
    <row r="9" spans="1:10" ht="14.25" customHeight="1">
      <c r="A9" s="202" t="s">
        <v>127</v>
      </c>
      <c r="B9" s="231">
        <v>22741</v>
      </c>
      <c r="C9" s="231">
        <v>66922</v>
      </c>
      <c r="D9" s="231">
        <v>185</v>
      </c>
      <c r="E9" s="231">
        <v>3984</v>
      </c>
      <c r="F9" s="231">
        <v>4878</v>
      </c>
      <c r="G9" s="231">
        <v>17418</v>
      </c>
      <c r="H9" s="231">
        <v>0</v>
      </c>
      <c r="I9" s="231">
        <v>24715</v>
      </c>
      <c r="J9" s="231">
        <v>17996</v>
      </c>
    </row>
    <row r="10" spans="1:10" ht="14.25" customHeight="1">
      <c r="A10" s="202" t="s">
        <v>305</v>
      </c>
      <c r="B10" s="231">
        <v>1375</v>
      </c>
      <c r="C10" s="231">
        <v>7172</v>
      </c>
      <c r="D10" s="231">
        <v>0</v>
      </c>
      <c r="E10" s="231">
        <v>282</v>
      </c>
      <c r="F10" s="231">
        <v>485</v>
      </c>
      <c r="G10" s="231">
        <v>2546</v>
      </c>
      <c r="H10" s="231">
        <v>0</v>
      </c>
      <c r="I10" s="231">
        <v>7352</v>
      </c>
      <c r="J10" s="231">
        <v>2111</v>
      </c>
    </row>
    <row r="11" spans="1:10" ht="14.25" customHeight="1">
      <c r="A11" s="202" t="s">
        <v>133</v>
      </c>
      <c r="B11" s="231">
        <v>118771</v>
      </c>
      <c r="C11" s="231">
        <v>151312</v>
      </c>
      <c r="D11" s="231">
        <v>0</v>
      </c>
      <c r="E11" s="231">
        <v>51922</v>
      </c>
      <c r="F11" s="231">
        <v>60223</v>
      </c>
      <c r="G11" s="231">
        <v>500689</v>
      </c>
      <c r="H11" s="231">
        <v>0</v>
      </c>
      <c r="I11" s="231">
        <v>192633</v>
      </c>
      <c r="J11" s="231">
        <v>52265</v>
      </c>
    </row>
    <row r="12" spans="1:10" ht="14.25" customHeight="1">
      <c r="A12" s="202" t="s">
        <v>137</v>
      </c>
      <c r="B12" s="231">
        <v>69384</v>
      </c>
      <c r="C12" s="231">
        <v>110406</v>
      </c>
      <c r="D12" s="231">
        <v>1124</v>
      </c>
      <c r="E12" s="231">
        <v>9178</v>
      </c>
      <c r="F12" s="231">
        <v>20336</v>
      </c>
      <c r="G12" s="231">
        <v>61604</v>
      </c>
      <c r="H12" s="231">
        <v>13093</v>
      </c>
      <c r="I12" s="231">
        <v>59637</v>
      </c>
      <c r="J12" s="231">
        <v>31935</v>
      </c>
    </row>
    <row r="13" spans="1:10" ht="14.25" customHeight="1">
      <c r="A13" s="202" t="s">
        <v>139</v>
      </c>
      <c r="B13" s="231">
        <v>265</v>
      </c>
      <c r="C13" s="231">
        <v>1481</v>
      </c>
      <c r="D13" s="231">
        <v>0</v>
      </c>
      <c r="E13" s="231">
        <v>23</v>
      </c>
      <c r="F13" s="231">
        <v>142</v>
      </c>
      <c r="G13" s="231">
        <v>1112</v>
      </c>
      <c r="H13" s="231">
        <v>0</v>
      </c>
      <c r="I13" s="231">
        <v>1067</v>
      </c>
      <c r="J13" s="231">
        <v>541</v>
      </c>
    </row>
    <row r="14" spans="1:10" ht="14.25" customHeight="1">
      <c r="A14" s="202" t="s">
        <v>142</v>
      </c>
      <c r="B14" s="231">
        <v>2060</v>
      </c>
      <c r="C14" s="231">
        <v>15965</v>
      </c>
      <c r="D14" s="231">
        <v>7</v>
      </c>
      <c r="E14" s="231">
        <v>457</v>
      </c>
      <c r="F14" s="231">
        <v>942</v>
      </c>
      <c r="G14" s="231">
        <v>2480</v>
      </c>
      <c r="H14" s="231">
        <v>0</v>
      </c>
      <c r="I14" s="231">
        <v>6894</v>
      </c>
      <c r="J14" s="231">
        <v>7481</v>
      </c>
    </row>
    <row r="15" spans="1:10" ht="14.25" customHeight="1">
      <c r="A15" s="202" t="s">
        <v>144</v>
      </c>
      <c r="B15" s="231">
        <v>22671</v>
      </c>
      <c r="C15" s="231">
        <v>21985</v>
      </c>
      <c r="D15" s="231">
        <v>2979</v>
      </c>
      <c r="E15" s="231">
        <v>8877</v>
      </c>
      <c r="F15" s="231">
        <v>11082</v>
      </c>
      <c r="G15" s="231">
        <v>48510</v>
      </c>
      <c r="H15" s="231">
        <v>0</v>
      </c>
      <c r="I15" s="231">
        <v>42541</v>
      </c>
      <c r="J15" s="231">
        <v>7214</v>
      </c>
    </row>
    <row r="16" spans="1:10" ht="14.25" customHeight="1">
      <c r="A16" s="202" t="s">
        <v>148</v>
      </c>
      <c r="B16" s="231">
        <v>26236</v>
      </c>
      <c r="C16" s="231">
        <v>42135</v>
      </c>
      <c r="D16" s="231">
        <v>1400</v>
      </c>
      <c r="E16" s="231">
        <v>10166</v>
      </c>
      <c r="F16" s="231">
        <v>12864</v>
      </c>
      <c r="G16" s="231">
        <v>75817</v>
      </c>
      <c r="H16" s="231">
        <v>0</v>
      </c>
      <c r="I16" s="231">
        <v>68901</v>
      </c>
      <c r="J16" s="231">
        <v>10763</v>
      </c>
    </row>
    <row r="17" spans="1:10" ht="14.25" customHeight="1">
      <c r="A17" s="202" t="s">
        <v>149</v>
      </c>
      <c r="B17" s="231">
        <v>29152</v>
      </c>
      <c r="C17" s="231">
        <v>73674</v>
      </c>
      <c r="D17" s="231">
        <v>3072</v>
      </c>
      <c r="E17" s="231">
        <v>16923</v>
      </c>
      <c r="F17" s="231">
        <v>19059</v>
      </c>
      <c r="G17" s="231">
        <v>71984</v>
      </c>
      <c r="H17" s="231">
        <v>4878</v>
      </c>
      <c r="I17" s="231">
        <v>71219</v>
      </c>
      <c r="J17" s="231">
        <v>35327</v>
      </c>
    </row>
    <row r="18" spans="1:10" ht="14.25" customHeight="1">
      <c r="A18" s="202" t="s">
        <v>151</v>
      </c>
      <c r="B18" s="231">
        <v>51131</v>
      </c>
      <c r="C18" s="231">
        <v>85995</v>
      </c>
      <c r="D18" s="231">
        <v>2296</v>
      </c>
      <c r="E18" s="231">
        <v>24156</v>
      </c>
      <c r="F18" s="231">
        <v>43868</v>
      </c>
      <c r="G18" s="231">
        <v>76837</v>
      </c>
      <c r="H18" s="231">
        <v>0</v>
      </c>
      <c r="I18" s="231">
        <v>97716</v>
      </c>
      <c r="J18" s="231">
        <v>23850</v>
      </c>
    </row>
    <row r="19" spans="1:10" ht="14.25" customHeight="1">
      <c r="A19" s="202" t="s">
        <v>152</v>
      </c>
      <c r="B19" s="231">
        <v>60124</v>
      </c>
      <c r="C19" s="231">
        <v>89069</v>
      </c>
      <c r="D19" s="231">
        <v>0</v>
      </c>
      <c r="E19" s="231">
        <v>30605</v>
      </c>
      <c r="F19" s="231">
        <v>36715</v>
      </c>
      <c r="G19" s="231">
        <v>127911</v>
      </c>
      <c r="H19" s="231">
        <v>7380</v>
      </c>
      <c r="I19" s="231">
        <v>172985</v>
      </c>
      <c r="J19" s="231">
        <v>54092</v>
      </c>
    </row>
    <row r="20" spans="1:10" ht="14.25" customHeight="1">
      <c r="A20" s="202" t="s">
        <v>154</v>
      </c>
      <c r="B20" s="231">
        <v>91847</v>
      </c>
      <c r="C20" s="231">
        <v>322212</v>
      </c>
      <c r="D20" s="231">
        <v>0</v>
      </c>
      <c r="E20" s="231">
        <v>12023</v>
      </c>
      <c r="F20" s="231">
        <v>40333</v>
      </c>
      <c r="G20" s="231">
        <v>151927</v>
      </c>
      <c r="H20" s="231">
        <v>0</v>
      </c>
      <c r="I20" s="231">
        <v>199899</v>
      </c>
      <c r="J20" s="231">
        <v>162802</v>
      </c>
    </row>
    <row r="21" spans="1:10" ht="14.25" customHeight="1">
      <c r="A21" s="202" t="s">
        <v>347</v>
      </c>
      <c r="B21" s="231">
        <v>39071</v>
      </c>
      <c r="C21" s="231">
        <v>117435</v>
      </c>
      <c r="D21" s="231">
        <v>6</v>
      </c>
      <c r="E21" s="231">
        <v>5762</v>
      </c>
      <c r="F21" s="231">
        <v>11609</v>
      </c>
      <c r="G21" s="231">
        <v>27414</v>
      </c>
      <c r="H21" s="231">
        <v>0</v>
      </c>
      <c r="I21" s="231">
        <v>56952</v>
      </c>
      <c r="J21" s="231">
        <v>21926</v>
      </c>
    </row>
    <row r="22" spans="1:10" ht="14.25" customHeight="1">
      <c r="A22" s="202" t="s">
        <v>312</v>
      </c>
      <c r="B22" s="231">
        <v>39195</v>
      </c>
      <c r="C22" s="231">
        <v>74100</v>
      </c>
      <c r="D22" s="231">
        <v>79</v>
      </c>
      <c r="E22" s="231">
        <v>7612</v>
      </c>
      <c r="F22" s="231">
        <v>9849</v>
      </c>
      <c r="G22" s="231">
        <v>28388</v>
      </c>
      <c r="H22" s="231">
        <v>5110</v>
      </c>
      <c r="I22" s="231">
        <v>49294</v>
      </c>
      <c r="J22" s="231">
        <v>31586</v>
      </c>
    </row>
    <row r="23" spans="1:10" ht="14.25" customHeight="1">
      <c r="A23" s="202" t="s">
        <v>155</v>
      </c>
      <c r="B23" s="231">
        <v>15421</v>
      </c>
      <c r="C23" s="231">
        <v>61708</v>
      </c>
      <c r="D23" s="231">
        <v>0</v>
      </c>
      <c r="E23" s="231">
        <v>2222</v>
      </c>
      <c r="F23" s="231">
        <v>4652</v>
      </c>
      <c r="G23" s="231">
        <v>14237</v>
      </c>
      <c r="H23" s="231">
        <v>0</v>
      </c>
      <c r="I23" s="231">
        <v>20349</v>
      </c>
      <c r="J23" s="231">
        <v>7631</v>
      </c>
    </row>
    <row r="24" spans="1:10" ht="14.25" customHeight="1">
      <c r="A24" s="202" t="s">
        <v>348</v>
      </c>
      <c r="B24" s="231">
        <v>30890</v>
      </c>
      <c r="C24" s="231">
        <v>116484</v>
      </c>
      <c r="D24" s="231">
        <v>249</v>
      </c>
      <c r="E24" s="231">
        <v>5054</v>
      </c>
      <c r="F24" s="231">
        <v>7099</v>
      </c>
      <c r="G24" s="231">
        <v>27639</v>
      </c>
      <c r="H24" s="231">
        <v>3848</v>
      </c>
      <c r="I24" s="231">
        <v>41006</v>
      </c>
      <c r="J24" s="231">
        <v>31611</v>
      </c>
    </row>
    <row r="25" spans="1:10" ht="14.25" customHeight="1">
      <c r="A25" s="202" t="s">
        <v>158</v>
      </c>
      <c r="B25" s="231">
        <v>718</v>
      </c>
      <c r="C25" s="231">
        <v>3429</v>
      </c>
      <c r="D25" s="231">
        <v>0</v>
      </c>
      <c r="E25" s="231">
        <v>396</v>
      </c>
      <c r="F25" s="231">
        <v>224</v>
      </c>
      <c r="G25" s="231">
        <v>644</v>
      </c>
      <c r="H25" s="231">
        <v>0</v>
      </c>
      <c r="I25" s="231">
        <v>1462</v>
      </c>
      <c r="J25" s="231">
        <v>740</v>
      </c>
    </row>
    <row r="26" spans="1:10" ht="14.25" customHeight="1">
      <c r="A26" s="202" t="s">
        <v>160</v>
      </c>
      <c r="B26" s="231">
        <v>34387</v>
      </c>
      <c r="C26" s="231">
        <v>94401</v>
      </c>
      <c r="D26" s="231">
        <v>281</v>
      </c>
      <c r="E26" s="231">
        <v>6727</v>
      </c>
      <c r="F26" s="231">
        <v>11352</v>
      </c>
      <c r="G26" s="231">
        <v>33446</v>
      </c>
      <c r="H26" s="231">
        <v>0</v>
      </c>
      <c r="I26" s="231">
        <v>49837</v>
      </c>
      <c r="J26" s="231">
        <v>21746</v>
      </c>
    </row>
    <row r="27" spans="1:10" ht="14.25" customHeight="1">
      <c r="A27" s="202" t="s">
        <v>165</v>
      </c>
      <c r="B27" s="231">
        <v>38454</v>
      </c>
      <c r="C27" s="231">
        <v>79951</v>
      </c>
      <c r="D27" s="231">
        <v>114</v>
      </c>
      <c r="E27" s="231">
        <v>8553</v>
      </c>
      <c r="F27" s="231">
        <v>39997</v>
      </c>
      <c r="G27" s="231">
        <v>121146</v>
      </c>
      <c r="H27" s="231">
        <v>0</v>
      </c>
      <c r="I27" s="231">
        <v>132294</v>
      </c>
      <c r="J27" s="231">
        <v>14197</v>
      </c>
    </row>
    <row r="28" spans="1:10" ht="14.25" customHeight="1">
      <c r="A28" s="202" t="s">
        <v>168</v>
      </c>
      <c r="B28" s="231">
        <v>2514</v>
      </c>
      <c r="C28" s="231">
        <v>10474</v>
      </c>
      <c r="D28" s="231">
        <v>0</v>
      </c>
      <c r="E28" s="231">
        <v>227</v>
      </c>
      <c r="F28" s="231">
        <v>618</v>
      </c>
      <c r="G28" s="231">
        <v>4128</v>
      </c>
      <c r="H28" s="231">
        <v>0</v>
      </c>
      <c r="I28" s="231">
        <v>4210</v>
      </c>
      <c r="J28" s="231">
        <v>4096</v>
      </c>
    </row>
    <row r="29" spans="1:10" ht="14.25" customHeight="1">
      <c r="A29" s="202" t="s">
        <v>169</v>
      </c>
      <c r="B29" s="231">
        <v>17200</v>
      </c>
      <c r="C29" s="231">
        <v>73388</v>
      </c>
      <c r="D29" s="231">
        <v>19</v>
      </c>
      <c r="E29" s="231">
        <v>1424</v>
      </c>
      <c r="F29" s="231">
        <v>4090</v>
      </c>
      <c r="G29" s="231">
        <v>12961</v>
      </c>
      <c r="H29" s="231">
        <v>0</v>
      </c>
      <c r="I29" s="231">
        <v>17904</v>
      </c>
      <c r="J29" s="231">
        <v>24793</v>
      </c>
    </row>
    <row r="30" spans="1:10" ht="14.25" customHeight="1">
      <c r="A30" s="202" t="s">
        <v>170</v>
      </c>
      <c r="B30" s="231">
        <v>19613</v>
      </c>
      <c r="C30" s="231">
        <v>29718</v>
      </c>
      <c r="D30" s="231">
        <v>4032</v>
      </c>
      <c r="E30" s="231">
        <v>9578</v>
      </c>
      <c r="F30" s="231">
        <v>12453</v>
      </c>
      <c r="G30" s="231">
        <v>67847</v>
      </c>
      <c r="H30" s="231">
        <v>0</v>
      </c>
      <c r="I30" s="231">
        <v>41055</v>
      </c>
      <c r="J30" s="231">
        <v>23757</v>
      </c>
    </row>
    <row r="31" spans="1:10" ht="14.25" customHeight="1">
      <c r="A31" s="202" t="s">
        <v>173</v>
      </c>
      <c r="B31" s="231">
        <v>66517</v>
      </c>
      <c r="C31" s="231">
        <v>97783</v>
      </c>
      <c r="D31" s="231">
        <v>4083</v>
      </c>
      <c r="E31" s="231">
        <v>13900</v>
      </c>
      <c r="F31" s="231">
        <v>32901</v>
      </c>
      <c r="G31" s="231">
        <v>131813</v>
      </c>
      <c r="H31" s="231">
        <v>0</v>
      </c>
      <c r="I31" s="231">
        <v>198572</v>
      </c>
      <c r="J31" s="231">
        <v>37598</v>
      </c>
    </row>
    <row r="32" spans="1:10" ht="14.25" customHeight="1">
      <c r="A32" s="202" t="s">
        <v>280</v>
      </c>
      <c r="B32" s="231">
        <v>5750</v>
      </c>
      <c r="C32" s="231">
        <v>18530</v>
      </c>
      <c r="D32" s="231">
        <v>36</v>
      </c>
      <c r="E32" s="231">
        <v>1034</v>
      </c>
      <c r="F32" s="231">
        <v>1201</v>
      </c>
      <c r="G32" s="231">
        <v>1616</v>
      </c>
      <c r="H32" s="231">
        <v>1047</v>
      </c>
      <c r="I32" s="231">
        <v>1943</v>
      </c>
      <c r="J32" s="231">
        <v>5026</v>
      </c>
    </row>
    <row r="33" spans="1:10" ht="14.25" customHeight="1">
      <c r="A33" s="202" t="s">
        <v>176</v>
      </c>
      <c r="B33" s="231">
        <v>12452</v>
      </c>
      <c r="C33" s="231">
        <v>36278</v>
      </c>
      <c r="D33" s="231">
        <v>0</v>
      </c>
      <c r="E33" s="231">
        <v>1425</v>
      </c>
      <c r="F33" s="231">
        <v>2319</v>
      </c>
      <c r="G33" s="231">
        <v>5905</v>
      </c>
      <c r="H33" s="231">
        <v>0</v>
      </c>
      <c r="I33" s="231">
        <v>16534</v>
      </c>
      <c r="J33" s="231">
        <v>8853</v>
      </c>
    </row>
    <row r="34" spans="1:10" ht="14.25" customHeight="1">
      <c r="A34" s="202" t="s">
        <v>316</v>
      </c>
      <c r="B34" s="231">
        <v>779</v>
      </c>
      <c r="C34" s="231">
        <v>5910</v>
      </c>
      <c r="D34" s="231">
        <v>0</v>
      </c>
      <c r="E34" s="231">
        <v>241</v>
      </c>
      <c r="F34" s="231">
        <v>0</v>
      </c>
      <c r="G34" s="231">
        <v>959</v>
      </c>
      <c r="H34" s="231">
        <v>0</v>
      </c>
      <c r="I34" s="231">
        <v>829</v>
      </c>
      <c r="J34" s="231">
        <v>916</v>
      </c>
    </row>
    <row r="35" spans="1:10" ht="14.25" customHeight="1">
      <c r="A35" s="202" t="s">
        <v>179</v>
      </c>
      <c r="B35" s="231">
        <v>1567</v>
      </c>
      <c r="C35" s="231">
        <v>8765</v>
      </c>
      <c r="D35" s="231">
        <v>0</v>
      </c>
      <c r="E35" s="231">
        <v>993</v>
      </c>
      <c r="F35" s="231">
        <v>189</v>
      </c>
      <c r="G35" s="231">
        <v>1426</v>
      </c>
      <c r="H35" s="231">
        <v>0</v>
      </c>
      <c r="I35" s="231">
        <v>2329</v>
      </c>
      <c r="J35" s="231">
        <v>1728</v>
      </c>
    </row>
    <row r="36" spans="1:10" ht="14.25" customHeight="1">
      <c r="A36" s="202" t="s">
        <v>182</v>
      </c>
      <c r="B36" s="231">
        <v>28988</v>
      </c>
      <c r="C36" s="231">
        <v>53789</v>
      </c>
      <c r="D36" s="231">
        <v>17</v>
      </c>
      <c r="E36" s="231">
        <v>18046</v>
      </c>
      <c r="F36" s="231">
        <v>6458</v>
      </c>
      <c r="G36" s="231">
        <v>49955</v>
      </c>
      <c r="H36" s="231">
        <v>0</v>
      </c>
      <c r="I36" s="231">
        <v>47459</v>
      </c>
      <c r="J36" s="231">
        <v>10714</v>
      </c>
    </row>
    <row r="37" spans="1:10" ht="14.25" customHeight="1">
      <c r="A37" s="202" t="s">
        <v>317</v>
      </c>
      <c r="B37" s="231">
        <v>112282</v>
      </c>
      <c r="C37" s="231">
        <v>176538</v>
      </c>
      <c r="D37" s="231">
        <v>45</v>
      </c>
      <c r="E37" s="231">
        <v>55905</v>
      </c>
      <c r="F37" s="231">
        <v>122701</v>
      </c>
      <c r="G37" s="231">
        <v>344167</v>
      </c>
      <c r="H37" s="231">
        <v>0</v>
      </c>
      <c r="I37" s="231">
        <v>326214</v>
      </c>
      <c r="J37" s="231">
        <v>114505</v>
      </c>
    </row>
    <row r="38" spans="1:10" ht="14.25" customHeight="1">
      <c r="A38" s="202" t="s">
        <v>185</v>
      </c>
      <c r="B38" s="231">
        <v>2860</v>
      </c>
      <c r="C38" s="231">
        <v>13941</v>
      </c>
      <c r="D38" s="231">
        <v>0</v>
      </c>
      <c r="E38" s="231">
        <v>346</v>
      </c>
      <c r="F38" s="231">
        <v>592</v>
      </c>
      <c r="G38" s="231">
        <v>2543</v>
      </c>
      <c r="H38" s="231">
        <v>0</v>
      </c>
      <c r="I38" s="231">
        <v>4162</v>
      </c>
      <c r="J38" s="231">
        <v>6520</v>
      </c>
    </row>
    <row r="39" spans="1:10" ht="14.25" customHeight="1">
      <c r="A39" s="202" t="s">
        <v>186</v>
      </c>
      <c r="B39" s="231">
        <v>90159</v>
      </c>
      <c r="C39" s="231">
        <v>130321</v>
      </c>
      <c r="D39" s="231">
        <v>0</v>
      </c>
      <c r="E39" s="231">
        <v>18889</v>
      </c>
      <c r="F39" s="231">
        <v>39089</v>
      </c>
      <c r="G39" s="231">
        <v>116590</v>
      </c>
      <c r="H39" s="231">
        <v>0</v>
      </c>
      <c r="I39" s="231">
        <v>128616</v>
      </c>
      <c r="J39" s="231">
        <v>159653</v>
      </c>
    </row>
    <row r="40" spans="1:10" ht="14.25" customHeight="1">
      <c r="A40" s="202" t="s">
        <v>282</v>
      </c>
      <c r="B40" s="231">
        <v>122990</v>
      </c>
      <c r="C40" s="231">
        <v>175395</v>
      </c>
      <c r="D40" s="231">
        <v>11316</v>
      </c>
      <c r="E40" s="231">
        <v>24891</v>
      </c>
      <c r="F40" s="231">
        <v>47698</v>
      </c>
      <c r="G40" s="231">
        <v>168663</v>
      </c>
      <c r="H40" s="231">
        <v>0</v>
      </c>
      <c r="I40" s="231">
        <v>271313</v>
      </c>
      <c r="J40" s="231">
        <v>58121</v>
      </c>
    </row>
    <row r="41" spans="1:10" ht="14.25" customHeight="1">
      <c r="A41" s="202" t="s">
        <v>190</v>
      </c>
      <c r="B41" s="231">
        <v>9958</v>
      </c>
      <c r="C41" s="231">
        <v>32985</v>
      </c>
      <c r="D41" s="231">
        <v>74</v>
      </c>
      <c r="E41" s="231">
        <v>7426</v>
      </c>
      <c r="F41" s="231">
        <v>1978</v>
      </c>
      <c r="G41" s="231">
        <v>7257</v>
      </c>
      <c r="H41" s="231">
        <v>4023</v>
      </c>
      <c r="I41" s="231">
        <v>18605</v>
      </c>
      <c r="J41" s="231">
        <v>5576</v>
      </c>
    </row>
    <row r="42" spans="1:10" ht="14.25" customHeight="1">
      <c r="A42" s="202" t="s">
        <v>192</v>
      </c>
      <c r="B42" s="231">
        <v>21493</v>
      </c>
      <c r="C42" s="231">
        <v>67890</v>
      </c>
      <c r="D42" s="231">
        <v>97</v>
      </c>
      <c r="E42" s="231">
        <v>3040</v>
      </c>
      <c r="F42" s="231">
        <v>4638</v>
      </c>
      <c r="G42" s="231">
        <v>9435</v>
      </c>
      <c r="H42" s="231">
        <v>0</v>
      </c>
      <c r="I42" s="231">
        <v>18624</v>
      </c>
      <c r="J42" s="231">
        <v>24149</v>
      </c>
    </row>
    <row r="43" spans="1:10" ht="14.25" customHeight="1">
      <c r="A43" s="202" t="s">
        <v>193</v>
      </c>
      <c r="B43" s="231">
        <v>9942</v>
      </c>
      <c r="C43" s="231">
        <v>43882</v>
      </c>
      <c r="D43" s="231">
        <v>94</v>
      </c>
      <c r="E43" s="231">
        <v>1232</v>
      </c>
      <c r="F43" s="231">
        <v>3078</v>
      </c>
      <c r="G43" s="231">
        <v>12800</v>
      </c>
      <c r="H43" s="231">
        <v>0</v>
      </c>
      <c r="I43" s="231">
        <v>16549</v>
      </c>
      <c r="J43" s="231">
        <v>10580</v>
      </c>
    </row>
    <row r="44" spans="1:10" ht="14.25" customHeight="1">
      <c r="A44" s="202" t="s">
        <v>318</v>
      </c>
      <c r="B44" s="231">
        <v>63589</v>
      </c>
      <c r="C44" s="231">
        <v>138247</v>
      </c>
      <c r="D44" s="231">
        <v>2610</v>
      </c>
      <c r="E44" s="231">
        <v>17845</v>
      </c>
      <c r="F44" s="231">
        <v>25400</v>
      </c>
      <c r="G44" s="231">
        <v>172220</v>
      </c>
      <c r="H44" s="231">
        <v>8650</v>
      </c>
      <c r="I44" s="231">
        <v>115160</v>
      </c>
      <c r="J44" s="231">
        <v>60382</v>
      </c>
    </row>
    <row r="45" spans="1:10" ht="14.25" customHeight="1">
      <c r="A45" s="202" t="s">
        <v>196</v>
      </c>
      <c r="B45" s="231">
        <v>824</v>
      </c>
      <c r="C45" s="231">
        <v>5476</v>
      </c>
      <c r="D45" s="231">
        <v>0</v>
      </c>
      <c r="E45" s="231">
        <v>35</v>
      </c>
      <c r="F45" s="231">
        <v>135</v>
      </c>
      <c r="G45" s="231">
        <v>895</v>
      </c>
      <c r="H45" s="231">
        <v>44</v>
      </c>
      <c r="I45" s="231">
        <v>1722</v>
      </c>
      <c r="J45" s="231">
        <v>1053</v>
      </c>
    </row>
    <row r="46" spans="1:10" ht="14.25" customHeight="1">
      <c r="A46" s="202" t="s">
        <v>198</v>
      </c>
      <c r="B46" s="231">
        <v>79582</v>
      </c>
      <c r="C46" s="231">
        <v>272324</v>
      </c>
      <c r="D46" s="231">
        <v>1289</v>
      </c>
      <c r="E46" s="231">
        <v>8893</v>
      </c>
      <c r="F46" s="231">
        <v>28773</v>
      </c>
      <c r="G46" s="231">
        <v>60957</v>
      </c>
      <c r="H46" s="231">
        <v>0</v>
      </c>
      <c r="I46" s="231">
        <v>108001</v>
      </c>
      <c r="J46" s="231">
        <v>92994</v>
      </c>
    </row>
    <row r="47" spans="1:10" ht="14.25" customHeight="1">
      <c r="A47" s="202" t="s">
        <v>199</v>
      </c>
      <c r="B47" s="231">
        <v>79319</v>
      </c>
      <c r="C47" s="231">
        <v>103658</v>
      </c>
      <c r="D47" s="231">
        <v>1847</v>
      </c>
      <c r="E47" s="231">
        <v>17974</v>
      </c>
      <c r="F47" s="231">
        <v>28083</v>
      </c>
      <c r="G47" s="231">
        <v>114530</v>
      </c>
      <c r="H47" s="231">
        <v>4804</v>
      </c>
      <c r="I47" s="231">
        <v>130186</v>
      </c>
      <c r="J47" s="231">
        <v>26886</v>
      </c>
    </row>
    <row r="48" spans="1:10" ht="14.25" customHeight="1">
      <c r="A48" s="202" t="s">
        <v>202</v>
      </c>
      <c r="B48" s="231">
        <v>5159</v>
      </c>
      <c r="C48" s="231">
        <v>15317</v>
      </c>
      <c r="D48" s="231">
        <v>35</v>
      </c>
      <c r="E48" s="231">
        <v>973</v>
      </c>
      <c r="F48" s="231">
        <v>662</v>
      </c>
      <c r="G48" s="231">
        <v>1626</v>
      </c>
      <c r="H48" s="231">
        <v>0</v>
      </c>
      <c r="I48" s="231">
        <v>4629</v>
      </c>
      <c r="J48" s="231">
        <v>2955</v>
      </c>
    </row>
    <row r="49" spans="1:10" ht="14.25" customHeight="1">
      <c r="A49" s="202" t="s">
        <v>203</v>
      </c>
      <c r="B49" s="231">
        <v>66790</v>
      </c>
      <c r="C49" s="231">
        <v>97420</v>
      </c>
      <c r="D49" s="231">
        <v>13749</v>
      </c>
      <c r="E49" s="231">
        <v>50649</v>
      </c>
      <c r="F49" s="231">
        <v>83421</v>
      </c>
      <c r="G49" s="231">
        <v>272004</v>
      </c>
      <c r="H49" s="231">
        <v>6692</v>
      </c>
      <c r="I49" s="231">
        <v>188306</v>
      </c>
      <c r="J49" s="231">
        <v>33128</v>
      </c>
    </row>
    <row r="50" spans="1:10" ht="14.25" customHeight="1">
      <c r="A50" s="2" t="s">
        <v>319</v>
      </c>
      <c r="B50" s="231">
        <v>24482</v>
      </c>
      <c r="C50" s="231">
        <v>60997</v>
      </c>
      <c r="D50" s="231">
        <v>628</v>
      </c>
      <c r="E50" s="231">
        <v>5286</v>
      </c>
      <c r="F50" s="231">
        <v>13270</v>
      </c>
      <c r="G50" s="231">
        <v>41807</v>
      </c>
      <c r="H50" s="231">
        <v>0</v>
      </c>
      <c r="I50" s="231">
        <v>51487</v>
      </c>
      <c r="J50" s="231">
        <v>18509</v>
      </c>
    </row>
    <row r="51" spans="1:10" ht="14.25" customHeight="1">
      <c r="A51" s="2" t="s">
        <v>206</v>
      </c>
      <c r="B51" s="33">
        <v>24463</v>
      </c>
      <c r="C51" s="33">
        <v>93693</v>
      </c>
      <c r="D51" s="33">
        <v>479</v>
      </c>
      <c r="E51" s="33">
        <v>4063</v>
      </c>
      <c r="F51" s="33">
        <v>14757</v>
      </c>
      <c r="G51" s="33">
        <v>38813</v>
      </c>
      <c r="H51" s="33">
        <v>0</v>
      </c>
      <c r="I51" s="33">
        <v>49528</v>
      </c>
      <c r="J51" s="14">
        <v>31082</v>
      </c>
    </row>
    <row r="52" spans="1:10" ht="14.25" customHeight="1">
      <c r="A52" s="2" t="s">
        <v>207</v>
      </c>
      <c r="B52" s="33">
        <v>72721</v>
      </c>
      <c r="C52" s="33">
        <v>228691</v>
      </c>
      <c r="D52" s="33">
        <v>218</v>
      </c>
      <c r="E52" s="33">
        <v>9002</v>
      </c>
      <c r="F52" s="33">
        <v>13406</v>
      </c>
      <c r="G52" s="33">
        <v>40032</v>
      </c>
      <c r="H52" s="33">
        <v>1209</v>
      </c>
      <c r="I52" s="33">
        <v>50202</v>
      </c>
      <c r="J52" s="14">
        <v>35524</v>
      </c>
    </row>
    <row r="53" spans="1:10" ht="14.25" customHeight="1">
      <c r="A53" s="2" t="s">
        <v>208</v>
      </c>
      <c r="B53" s="33">
        <v>7224</v>
      </c>
      <c r="C53" s="33">
        <v>24443</v>
      </c>
      <c r="D53" s="33">
        <v>0</v>
      </c>
      <c r="E53" s="33">
        <v>975</v>
      </c>
      <c r="F53" s="33">
        <v>2173</v>
      </c>
      <c r="G53" s="33">
        <v>4515</v>
      </c>
      <c r="H53" s="33">
        <v>0</v>
      </c>
      <c r="I53" s="33">
        <v>17614</v>
      </c>
      <c r="J53" s="14">
        <v>8077</v>
      </c>
    </row>
    <row r="54" spans="1:10" ht="14.25" customHeight="1">
      <c r="A54" s="2" t="s">
        <v>210</v>
      </c>
      <c r="B54" s="33">
        <v>37610</v>
      </c>
      <c r="C54" s="33">
        <v>63183</v>
      </c>
      <c r="D54" s="33">
        <v>810</v>
      </c>
      <c r="E54" s="33">
        <v>7979</v>
      </c>
      <c r="F54" s="33">
        <v>13049</v>
      </c>
      <c r="G54" s="33">
        <v>46937</v>
      </c>
      <c r="H54" s="33">
        <v>10</v>
      </c>
      <c r="I54" s="33">
        <v>51076</v>
      </c>
      <c r="J54" s="14">
        <v>19397</v>
      </c>
    </row>
    <row r="55" spans="1:10" ht="14.25" customHeight="1">
      <c r="A55" s="2" t="s">
        <v>349</v>
      </c>
      <c r="B55" s="33">
        <v>1393</v>
      </c>
      <c r="C55" s="33">
        <v>33893</v>
      </c>
      <c r="D55" s="33">
        <v>4</v>
      </c>
      <c r="E55" s="33">
        <v>146</v>
      </c>
      <c r="F55" s="33">
        <v>140</v>
      </c>
      <c r="G55" s="33">
        <v>1550</v>
      </c>
      <c r="H55" s="33">
        <v>0</v>
      </c>
      <c r="I55" s="33">
        <v>893</v>
      </c>
      <c r="J55" s="14">
        <v>6847</v>
      </c>
    </row>
    <row r="56" spans="1:10" ht="14.25" customHeight="1">
      <c r="A56" s="2" t="s">
        <v>213</v>
      </c>
      <c r="B56" s="33">
        <v>2808</v>
      </c>
      <c r="C56" s="33">
        <v>9143</v>
      </c>
      <c r="D56" s="33">
        <v>70</v>
      </c>
      <c r="E56" s="33">
        <v>610</v>
      </c>
      <c r="F56" s="33">
        <v>1962</v>
      </c>
      <c r="G56" s="33">
        <v>4645</v>
      </c>
      <c r="H56" s="33">
        <v>0</v>
      </c>
      <c r="I56" s="33">
        <v>7157</v>
      </c>
      <c r="J56" s="14">
        <v>2075</v>
      </c>
    </row>
    <row r="57" spans="1:10" ht="14.25" customHeight="1">
      <c r="A57" s="2" t="s">
        <v>357</v>
      </c>
      <c r="B57" s="33">
        <v>4965</v>
      </c>
      <c r="C57" s="33">
        <v>31695</v>
      </c>
      <c r="D57" s="33">
        <v>0</v>
      </c>
      <c r="E57" s="33">
        <v>1205</v>
      </c>
      <c r="F57" s="33">
        <v>1622</v>
      </c>
      <c r="G57" s="33">
        <v>4895</v>
      </c>
      <c r="H57" s="33">
        <v>0</v>
      </c>
      <c r="I57" s="33">
        <v>8972</v>
      </c>
      <c r="J57" s="14">
        <v>780</v>
      </c>
    </row>
    <row r="58" spans="1:10" ht="14.25" customHeight="1">
      <c r="A58" s="2" t="s">
        <v>218</v>
      </c>
      <c r="B58" s="33">
        <v>156938</v>
      </c>
      <c r="C58" s="33">
        <v>460468</v>
      </c>
      <c r="D58" s="33">
        <v>617</v>
      </c>
      <c r="E58" s="33">
        <v>20588</v>
      </c>
      <c r="F58" s="33">
        <v>55826</v>
      </c>
      <c r="G58" s="33">
        <v>165754</v>
      </c>
      <c r="H58" s="33">
        <v>0</v>
      </c>
      <c r="I58" s="33">
        <v>205362</v>
      </c>
      <c r="J58" s="14">
        <v>133359</v>
      </c>
    </row>
    <row r="59" spans="1:10" ht="14.25" customHeight="1">
      <c r="A59" s="2" t="s">
        <v>219</v>
      </c>
      <c r="B59" s="33">
        <v>90638</v>
      </c>
      <c r="C59" s="33">
        <v>84920</v>
      </c>
      <c r="D59" s="33">
        <v>75</v>
      </c>
      <c r="E59" s="33">
        <v>10870</v>
      </c>
      <c r="F59" s="33">
        <v>27307</v>
      </c>
      <c r="G59" s="33">
        <v>58079</v>
      </c>
      <c r="H59" s="33">
        <v>47</v>
      </c>
      <c r="I59" s="33">
        <v>98919</v>
      </c>
      <c r="J59" s="14">
        <v>32806</v>
      </c>
    </row>
    <row r="60" spans="1:10" ht="14.25" customHeight="1">
      <c r="A60" s="2" t="s">
        <v>320</v>
      </c>
      <c r="B60" s="33">
        <v>2918</v>
      </c>
      <c r="C60" s="33">
        <v>19479</v>
      </c>
      <c r="D60" s="33">
        <v>0</v>
      </c>
      <c r="E60" s="33">
        <v>1016</v>
      </c>
      <c r="F60" s="33">
        <v>496</v>
      </c>
      <c r="G60" s="33">
        <v>4738</v>
      </c>
      <c r="H60" s="33">
        <v>217</v>
      </c>
      <c r="I60" s="33">
        <v>7974</v>
      </c>
      <c r="J60" s="14">
        <v>5119</v>
      </c>
    </row>
    <row r="61" spans="1:10" ht="14.25" customHeight="1">
      <c r="A61" s="2" t="s">
        <v>220</v>
      </c>
      <c r="B61" s="33">
        <v>114977</v>
      </c>
      <c r="C61" s="33">
        <v>308391</v>
      </c>
      <c r="D61" s="33">
        <v>2298</v>
      </c>
      <c r="E61" s="33">
        <v>14466</v>
      </c>
      <c r="F61" s="33">
        <v>51880</v>
      </c>
      <c r="G61" s="33">
        <v>209886</v>
      </c>
      <c r="H61" s="33">
        <v>0</v>
      </c>
      <c r="I61" s="33">
        <v>204596</v>
      </c>
      <c r="J61" s="14">
        <v>199164</v>
      </c>
    </row>
    <row r="62" spans="1:10" ht="14.25" customHeight="1">
      <c r="A62" s="2" t="s">
        <v>283</v>
      </c>
      <c r="B62" s="33">
        <v>790</v>
      </c>
      <c r="C62" s="33">
        <v>3830</v>
      </c>
      <c r="D62" s="33">
        <v>4</v>
      </c>
      <c r="E62" s="33">
        <v>318</v>
      </c>
      <c r="F62" s="33">
        <v>173</v>
      </c>
      <c r="G62" s="33">
        <v>1221</v>
      </c>
      <c r="H62" s="33">
        <v>287</v>
      </c>
      <c r="I62" s="33">
        <v>1262</v>
      </c>
      <c r="J62" s="14">
        <v>1363</v>
      </c>
    </row>
    <row r="63" spans="1:10" ht="14.25" customHeight="1">
      <c r="A63" s="2" t="s">
        <v>223</v>
      </c>
      <c r="B63" s="33">
        <v>2919</v>
      </c>
      <c r="C63" s="33">
        <v>11316</v>
      </c>
      <c r="D63" s="33">
        <v>0</v>
      </c>
      <c r="E63" s="33">
        <v>788</v>
      </c>
      <c r="F63" s="33">
        <v>1639</v>
      </c>
      <c r="G63" s="33">
        <v>3809</v>
      </c>
      <c r="H63" s="33">
        <v>147</v>
      </c>
      <c r="I63" s="33">
        <v>5704</v>
      </c>
      <c r="J63" s="14">
        <v>1674</v>
      </c>
    </row>
    <row r="64" spans="1:10" ht="14.25" customHeight="1">
      <c r="A64" s="2" t="s">
        <v>224</v>
      </c>
      <c r="B64" s="33">
        <v>96218</v>
      </c>
      <c r="C64" s="33">
        <v>135195</v>
      </c>
      <c r="D64" s="33">
        <v>12024</v>
      </c>
      <c r="E64" s="33">
        <v>39370</v>
      </c>
      <c r="F64" s="33">
        <v>83869</v>
      </c>
      <c r="G64" s="33">
        <v>334060</v>
      </c>
      <c r="H64" s="33">
        <v>0</v>
      </c>
      <c r="I64" s="33">
        <v>215011</v>
      </c>
      <c r="J64" s="14">
        <v>65301</v>
      </c>
    </row>
    <row r="65" spans="1:10" ht="14.25" customHeight="1">
      <c r="A65" s="2" t="s">
        <v>225</v>
      </c>
      <c r="B65" s="33">
        <v>58463</v>
      </c>
      <c r="C65" s="33">
        <v>86317</v>
      </c>
      <c r="D65" s="33">
        <v>1669</v>
      </c>
      <c r="E65" s="33">
        <v>17571</v>
      </c>
      <c r="F65" s="33">
        <v>0</v>
      </c>
      <c r="G65" s="33">
        <v>134928</v>
      </c>
      <c r="H65" s="33">
        <v>0</v>
      </c>
      <c r="I65" s="33">
        <v>40525</v>
      </c>
      <c r="J65" s="14">
        <v>48716</v>
      </c>
    </row>
    <row r="66" spans="1:10" ht="14.25" customHeight="1">
      <c r="A66" s="2" t="s">
        <v>226</v>
      </c>
      <c r="B66" s="33">
        <v>66829</v>
      </c>
      <c r="C66" s="33">
        <v>212380</v>
      </c>
      <c r="D66" s="33">
        <v>514</v>
      </c>
      <c r="E66" s="33">
        <v>17440</v>
      </c>
      <c r="F66" s="33">
        <v>22419</v>
      </c>
      <c r="G66" s="33">
        <v>74075</v>
      </c>
      <c r="H66" s="33">
        <v>0</v>
      </c>
      <c r="I66" s="33">
        <v>84288</v>
      </c>
      <c r="J66" s="14">
        <v>47324</v>
      </c>
    </row>
    <row r="67" spans="1:10" ht="14.25" customHeight="1">
      <c r="A67" s="2" t="s">
        <v>228</v>
      </c>
      <c r="B67" s="33">
        <v>17712</v>
      </c>
      <c r="C67" s="33">
        <v>45864</v>
      </c>
      <c r="D67" s="33">
        <v>301</v>
      </c>
      <c r="E67" s="33">
        <v>3367</v>
      </c>
      <c r="F67" s="33">
        <v>6508</v>
      </c>
      <c r="G67" s="33">
        <v>28851</v>
      </c>
      <c r="H67" s="33">
        <v>0</v>
      </c>
      <c r="I67" s="33">
        <v>36218</v>
      </c>
      <c r="J67" s="14">
        <v>19154</v>
      </c>
    </row>
    <row r="68" spans="1:10" ht="14.25" customHeight="1">
      <c r="A68" s="2" t="s">
        <v>229</v>
      </c>
      <c r="B68" s="33">
        <v>68588</v>
      </c>
      <c r="C68" s="33">
        <v>121722</v>
      </c>
      <c r="D68" s="33">
        <v>2154</v>
      </c>
      <c r="E68" s="33">
        <v>20967</v>
      </c>
      <c r="F68" s="33">
        <v>22744</v>
      </c>
      <c r="G68" s="33">
        <v>120572</v>
      </c>
      <c r="H68" s="33">
        <v>8386</v>
      </c>
      <c r="I68" s="33">
        <v>93443</v>
      </c>
      <c r="J68" s="14">
        <v>66604</v>
      </c>
    </row>
    <row r="69" spans="1:10" ht="14.25" customHeight="1">
      <c r="A69" s="2" t="s">
        <v>322</v>
      </c>
      <c r="B69" s="33">
        <v>156322</v>
      </c>
      <c r="C69" s="33">
        <v>494819</v>
      </c>
      <c r="D69" s="33">
        <v>0</v>
      </c>
      <c r="E69" s="33">
        <v>20491</v>
      </c>
      <c r="F69" s="33">
        <v>75849</v>
      </c>
      <c r="G69" s="33">
        <v>179916</v>
      </c>
      <c r="H69" s="33">
        <v>0</v>
      </c>
      <c r="I69" s="33">
        <v>285219</v>
      </c>
      <c r="J69" s="14">
        <v>97863</v>
      </c>
    </row>
    <row r="70" spans="1:10" ht="14.25" customHeight="1">
      <c r="A70" s="2" t="s">
        <v>323</v>
      </c>
      <c r="B70" s="33">
        <v>14305</v>
      </c>
      <c r="C70" s="33">
        <v>49573</v>
      </c>
      <c r="D70" s="33">
        <v>114</v>
      </c>
      <c r="E70" s="33">
        <v>2674</v>
      </c>
      <c r="F70" s="33">
        <v>3756</v>
      </c>
      <c r="G70" s="33">
        <v>12160</v>
      </c>
      <c r="H70" s="33">
        <v>0</v>
      </c>
      <c r="I70" s="33">
        <v>19583</v>
      </c>
      <c r="J70" s="14">
        <v>7995</v>
      </c>
    </row>
    <row r="71" spans="1:10" ht="14.25" customHeight="1">
      <c r="A71" s="2" t="s">
        <v>350</v>
      </c>
      <c r="B71" s="33">
        <v>20580</v>
      </c>
      <c r="C71" s="33">
        <v>111421</v>
      </c>
      <c r="D71" s="33">
        <v>173</v>
      </c>
      <c r="E71" s="33">
        <v>3403</v>
      </c>
      <c r="F71" s="33">
        <v>5527</v>
      </c>
      <c r="G71" s="33">
        <v>25552</v>
      </c>
      <c r="H71" s="33">
        <v>0</v>
      </c>
      <c r="I71" s="33">
        <v>39267</v>
      </c>
      <c r="J71" s="14">
        <v>28391</v>
      </c>
    </row>
    <row r="72" spans="1:10" ht="14.25" customHeight="1">
      <c r="A72" s="2" t="s">
        <v>284</v>
      </c>
      <c r="B72" s="33">
        <v>81263</v>
      </c>
      <c r="C72" s="33">
        <v>104786</v>
      </c>
      <c r="D72" s="33">
        <v>0</v>
      </c>
      <c r="E72" s="33">
        <v>17059</v>
      </c>
      <c r="F72" s="33">
        <v>44760</v>
      </c>
      <c r="G72" s="33">
        <v>202788</v>
      </c>
      <c r="H72" s="33">
        <v>0</v>
      </c>
      <c r="I72" s="33">
        <v>137274</v>
      </c>
      <c r="J72" s="14">
        <v>68958</v>
      </c>
    </row>
    <row r="73" spans="1:10" ht="14.25" customHeight="1">
      <c r="A73" s="2" t="s">
        <v>232</v>
      </c>
      <c r="B73" s="33">
        <v>42066</v>
      </c>
      <c r="C73" s="33">
        <v>109534</v>
      </c>
      <c r="D73" s="33">
        <v>0</v>
      </c>
      <c r="E73" s="33">
        <v>5737</v>
      </c>
      <c r="F73" s="33">
        <v>15694</v>
      </c>
      <c r="G73" s="33">
        <v>31651</v>
      </c>
      <c r="H73" s="33">
        <v>0</v>
      </c>
      <c r="I73" s="33">
        <v>70839</v>
      </c>
      <c r="J73" s="14">
        <v>20053</v>
      </c>
    </row>
    <row r="74" spans="1:10" ht="14.25" customHeight="1">
      <c r="A74" s="2" t="s">
        <v>233</v>
      </c>
      <c r="B74" s="33">
        <v>36695</v>
      </c>
      <c r="C74" s="33">
        <v>121662</v>
      </c>
      <c r="D74" s="33">
        <v>447</v>
      </c>
      <c r="E74" s="33">
        <v>6124</v>
      </c>
      <c r="F74" s="33">
        <v>10463</v>
      </c>
      <c r="G74" s="33">
        <v>31489</v>
      </c>
      <c r="H74" s="33">
        <v>0</v>
      </c>
      <c r="I74" s="33">
        <v>46321</v>
      </c>
      <c r="J74" s="14">
        <v>33771</v>
      </c>
    </row>
    <row r="75" spans="1:10" ht="14.25" customHeight="1">
      <c r="A75" s="2" t="s">
        <v>234</v>
      </c>
      <c r="B75" s="33">
        <v>9628</v>
      </c>
      <c r="C75" s="33">
        <v>17972</v>
      </c>
      <c r="D75" s="33">
        <v>10</v>
      </c>
      <c r="E75" s="33">
        <v>5117</v>
      </c>
      <c r="F75" s="33">
        <v>4459</v>
      </c>
      <c r="G75" s="33">
        <v>12969</v>
      </c>
      <c r="H75" s="33">
        <v>0</v>
      </c>
      <c r="I75" s="33">
        <v>15502</v>
      </c>
      <c r="J75" s="14">
        <v>3598</v>
      </c>
    </row>
    <row r="76" spans="1:10" ht="14.25" customHeight="1">
      <c r="A76" s="2" t="s">
        <v>236</v>
      </c>
      <c r="B76" s="33">
        <v>6996</v>
      </c>
      <c r="C76" s="33">
        <v>26683</v>
      </c>
      <c r="D76" s="33">
        <v>69</v>
      </c>
      <c r="E76" s="33">
        <v>2053</v>
      </c>
      <c r="F76" s="33">
        <v>2508</v>
      </c>
      <c r="G76" s="33">
        <v>6524</v>
      </c>
      <c r="H76" s="33">
        <v>0</v>
      </c>
      <c r="I76" s="33">
        <v>13656</v>
      </c>
      <c r="J76" s="14">
        <v>1271</v>
      </c>
    </row>
    <row r="77" spans="1:10" ht="14.25" customHeight="1">
      <c r="A77" s="2" t="s">
        <v>238</v>
      </c>
      <c r="B77" s="33">
        <v>10312</v>
      </c>
      <c r="C77" s="33">
        <v>15587</v>
      </c>
      <c r="D77" s="33">
        <v>4360</v>
      </c>
      <c r="E77" s="33">
        <v>4107</v>
      </c>
      <c r="F77" s="33">
        <v>7788</v>
      </c>
      <c r="G77" s="33">
        <v>60524</v>
      </c>
      <c r="H77" s="33">
        <v>0</v>
      </c>
      <c r="I77" s="33">
        <v>12848</v>
      </c>
      <c r="J77" s="14">
        <v>4305</v>
      </c>
    </row>
    <row r="78" spans="1:10" ht="14.25" customHeight="1">
      <c r="A78" s="2" t="s">
        <v>239</v>
      </c>
      <c r="B78" s="33">
        <v>138305</v>
      </c>
      <c r="C78" s="33">
        <v>280493</v>
      </c>
      <c r="D78" s="33">
        <v>822</v>
      </c>
      <c r="E78" s="33">
        <v>16048</v>
      </c>
      <c r="F78" s="33">
        <v>55502</v>
      </c>
      <c r="G78" s="33">
        <v>169268</v>
      </c>
      <c r="H78" s="33">
        <v>0</v>
      </c>
      <c r="I78" s="33">
        <v>193736</v>
      </c>
      <c r="J78" s="14">
        <v>133085</v>
      </c>
    </row>
    <row r="79" spans="1:10" ht="14.25" customHeight="1">
      <c r="A79" s="2" t="s">
        <v>351</v>
      </c>
      <c r="B79" s="33">
        <v>171143</v>
      </c>
      <c r="C79" s="33">
        <v>182673</v>
      </c>
      <c r="D79" s="33">
        <v>1937</v>
      </c>
      <c r="E79" s="33">
        <v>41819</v>
      </c>
      <c r="F79" s="33">
        <v>35245</v>
      </c>
      <c r="G79" s="33">
        <v>94476</v>
      </c>
      <c r="H79" s="33">
        <v>0</v>
      </c>
      <c r="I79" s="33">
        <v>141539</v>
      </c>
      <c r="J79" s="14">
        <v>70477</v>
      </c>
    </row>
    <row r="80" spans="1:10" ht="14.25" customHeight="1">
      <c r="A80" s="2" t="s">
        <v>244</v>
      </c>
      <c r="B80" s="33">
        <v>3258</v>
      </c>
      <c r="C80" s="33">
        <v>6358</v>
      </c>
      <c r="D80" s="33">
        <v>43</v>
      </c>
      <c r="E80" s="33">
        <v>346</v>
      </c>
      <c r="F80" s="33">
        <v>562</v>
      </c>
      <c r="G80" s="33">
        <v>1506</v>
      </c>
      <c r="H80" s="33">
        <v>0</v>
      </c>
      <c r="I80" s="33">
        <v>2132</v>
      </c>
      <c r="J80" s="14">
        <v>1839</v>
      </c>
    </row>
    <row r="81" spans="1:10" ht="14.25" customHeight="1">
      <c r="A81" s="2" t="s">
        <v>326</v>
      </c>
      <c r="B81" s="33">
        <v>2126</v>
      </c>
      <c r="C81" s="33">
        <v>11148</v>
      </c>
      <c r="D81" s="33">
        <v>21</v>
      </c>
      <c r="E81" s="33">
        <v>404</v>
      </c>
      <c r="F81" s="33">
        <v>878</v>
      </c>
      <c r="G81" s="33">
        <v>2650</v>
      </c>
      <c r="H81" s="33">
        <v>0</v>
      </c>
      <c r="I81" s="33">
        <v>7088</v>
      </c>
      <c r="J81" s="14">
        <v>3967</v>
      </c>
    </row>
    <row r="82" spans="1:10" ht="14.25" customHeight="1">
      <c r="A82" s="2" t="s">
        <v>247</v>
      </c>
      <c r="B82" s="33">
        <v>2773</v>
      </c>
      <c r="C82" s="33">
        <v>10209</v>
      </c>
      <c r="D82" s="33">
        <v>13</v>
      </c>
      <c r="E82" s="33">
        <v>201</v>
      </c>
      <c r="F82" s="33">
        <v>592</v>
      </c>
      <c r="G82" s="33">
        <v>2645</v>
      </c>
      <c r="H82" s="33">
        <v>0</v>
      </c>
      <c r="I82" s="33">
        <v>3482</v>
      </c>
      <c r="J82" s="14">
        <v>1632</v>
      </c>
    </row>
    <row r="83" spans="1:10" ht="14.25" customHeight="1">
      <c r="A83" s="2" t="s">
        <v>249</v>
      </c>
      <c r="B83" s="33">
        <v>22759</v>
      </c>
      <c r="C83" s="33">
        <v>58483</v>
      </c>
      <c r="D83" s="33">
        <v>327</v>
      </c>
      <c r="E83" s="33">
        <v>6367</v>
      </c>
      <c r="F83" s="33">
        <v>9460</v>
      </c>
      <c r="G83" s="33">
        <v>41267</v>
      </c>
      <c r="H83" s="33">
        <v>0</v>
      </c>
      <c r="I83" s="33">
        <v>39791</v>
      </c>
      <c r="J83" s="14">
        <v>22528</v>
      </c>
    </row>
    <row r="84" spans="1:10" ht="14.25" customHeight="1">
      <c r="A84" s="2" t="s">
        <v>254</v>
      </c>
      <c r="B84" s="33">
        <v>47377</v>
      </c>
      <c r="C84" s="33">
        <v>69750</v>
      </c>
      <c r="D84" s="33">
        <v>0</v>
      </c>
      <c r="E84" s="33">
        <v>9253</v>
      </c>
      <c r="F84" s="33">
        <v>11411</v>
      </c>
      <c r="G84" s="33">
        <v>57082</v>
      </c>
      <c r="H84" s="33">
        <v>0</v>
      </c>
      <c r="I84" s="33">
        <v>32831</v>
      </c>
      <c r="J84" s="14">
        <v>30068</v>
      </c>
    </row>
    <row r="85" spans="1:10" ht="14.25" customHeight="1">
      <c r="A85" s="2" t="s">
        <v>256</v>
      </c>
      <c r="B85" s="33">
        <v>631</v>
      </c>
      <c r="C85" s="33">
        <v>4909</v>
      </c>
      <c r="D85" s="33">
        <v>3</v>
      </c>
      <c r="E85" s="33">
        <v>74</v>
      </c>
      <c r="F85" s="33">
        <v>344</v>
      </c>
      <c r="G85" s="33">
        <v>894</v>
      </c>
      <c r="H85" s="33">
        <v>0</v>
      </c>
      <c r="I85" s="33">
        <v>2618</v>
      </c>
      <c r="J85" s="14">
        <v>1697</v>
      </c>
    </row>
    <row r="86" spans="1:10" ht="14.25" customHeight="1">
      <c r="A86" s="2" t="s">
        <v>327</v>
      </c>
      <c r="B86" s="33">
        <v>14632</v>
      </c>
      <c r="C86" s="33">
        <v>60353</v>
      </c>
      <c r="D86" s="33">
        <v>6</v>
      </c>
      <c r="E86" s="33">
        <v>2775</v>
      </c>
      <c r="F86" s="33">
        <v>8210</v>
      </c>
      <c r="G86" s="33">
        <v>27545</v>
      </c>
      <c r="H86" s="33">
        <v>0</v>
      </c>
      <c r="I86" s="33">
        <v>45900</v>
      </c>
      <c r="J86" s="14">
        <v>8110</v>
      </c>
    </row>
    <row r="87" spans="1:10" ht="14.25" customHeight="1">
      <c r="A87" s="2" t="s">
        <v>257</v>
      </c>
      <c r="B87" s="33">
        <v>89962</v>
      </c>
      <c r="C87" s="33">
        <v>119436</v>
      </c>
      <c r="D87" s="33">
        <v>778</v>
      </c>
      <c r="E87" s="33">
        <v>25783</v>
      </c>
      <c r="F87" s="33">
        <v>40201</v>
      </c>
      <c r="G87" s="33">
        <v>204931</v>
      </c>
      <c r="H87" s="33">
        <v>0</v>
      </c>
      <c r="I87" s="33">
        <v>89129</v>
      </c>
      <c r="J87" s="14">
        <v>42312</v>
      </c>
    </row>
    <row r="88" spans="1:10" ht="14.25" customHeight="1">
      <c r="A88" s="2" t="s">
        <v>258</v>
      </c>
      <c r="B88" s="33">
        <v>30484</v>
      </c>
      <c r="C88" s="33">
        <v>85512</v>
      </c>
      <c r="D88" s="33">
        <v>244</v>
      </c>
      <c r="E88" s="33">
        <v>4645</v>
      </c>
      <c r="F88" s="33">
        <v>7482</v>
      </c>
      <c r="G88" s="33">
        <v>38167</v>
      </c>
      <c r="H88" s="33">
        <v>0</v>
      </c>
      <c r="I88" s="33">
        <v>59110</v>
      </c>
      <c r="J88" s="14">
        <v>16095</v>
      </c>
    </row>
    <row r="89" spans="1:10" ht="14.25" customHeight="1">
      <c r="A89" s="2" t="s">
        <v>285</v>
      </c>
      <c r="B89" s="33">
        <v>7862</v>
      </c>
      <c r="C89" s="33">
        <v>24526</v>
      </c>
      <c r="D89" s="33">
        <v>282</v>
      </c>
      <c r="E89" s="33">
        <v>2508</v>
      </c>
      <c r="F89" s="33">
        <v>3667</v>
      </c>
      <c r="G89" s="33">
        <v>16588</v>
      </c>
      <c r="H89" s="33">
        <v>0</v>
      </c>
      <c r="I89" s="33">
        <v>21671</v>
      </c>
      <c r="J89" s="14">
        <v>4464</v>
      </c>
    </row>
    <row r="90" spans="1:10" ht="14.25" customHeight="1">
      <c r="A90" s="2" t="s">
        <v>260</v>
      </c>
      <c r="B90" s="33">
        <v>115322</v>
      </c>
      <c r="C90" s="33">
        <v>235437</v>
      </c>
      <c r="D90" s="33">
        <v>800</v>
      </c>
      <c r="E90" s="33">
        <v>32443</v>
      </c>
      <c r="F90" s="33">
        <v>34533</v>
      </c>
      <c r="G90" s="33">
        <v>132346</v>
      </c>
      <c r="H90" s="33">
        <v>1568</v>
      </c>
      <c r="I90" s="33">
        <v>222243</v>
      </c>
      <c r="J90" s="14">
        <v>98514</v>
      </c>
    </row>
    <row r="91" spans="1:10" ht="14.25" customHeight="1">
      <c r="A91" s="2" t="s">
        <v>261</v>
      </c>
      <c r="B91" s="33">
        <v>58070</v>
      </c>
      <c r="C91" s="33">
        <v>94415</v>
      </c>
      <c r="D91" s="33">
        <v>0</v>
      </c>
      <c r="E91" s="33">
        <v>17186</v>
      </c>
      <c r="F91" s="33">
        <v>28836</v>
      </c>
      <c r="G91" s="33">
        <v>100796</v>
      </c>
      <c r="H91" s="33">
        <v>0</v>
      </c>
      <c r="I91" s="33">
        <v>88975</v>
      </c>
      <c r="J91" s="14">
        <v>49882</v>
      </c>
    </row>
    <row r="92" spans="1:10" ht="14.25" customHeight="1">
      <c r="A92" s="2" t="s">
        <v>286</v>
      </c>
      <c r="B92" s="33">
        <v>3789</v>
      </c>
      <c r="C92" s="33">
        <v>13366</v>
      </c>
      <c r="D92" s="33">
        <v>17</v>
      </c>
      <c r="E92" s="33">
        <v>478</v>
      </c>
      <c r="F92" s="33">
        <v>856</v>
      </c>
      <c r="G92" s="33">
        <v>4463</v>
      </c>
      <c r="H92" s="33">
        <v>0</v>
      </c>
      <c r="I92" s="33">
        <v>8978</v>
      </c>
      <c r="J92" s="14">
        <v>4454</v>
      </c>
    </row>
    <row r="93" spans="1:10" ht="14.25" customHeight="1">
      <c r="A93" s="2"/>
      <c r="B93" s="33"/>
      <c r="C93" s="33"/>
      <c r="D93" s="33"/>
      <c r="E93" s="33"/>
      <c r="F93" s="33"/>
      <c r="G93" s="33"/>
      <c r="H93" s="33"/>
      <c r="I93" s="33"/>
      <c r="J93" s="14"/>
    </row>
    <row r="94" spans="1:10" ht="14.25" customHeight="1">
      <c r="A94" s="7" t="s">
        <v>105</v>
      </c>
      <c r="B94" s="66">
        <v>33893</v>
      </c>
      <c r="C94" s="66">
        <v>5476</v>
      </c>
      <c r="D94" s="66">
        <v>1124</v>
      </c>
      <c r="E94" s="66">
        <v>7612</v>
      </c>
      <c r="F94" s="66">
        <v>12969</v>
      </c>
      <c r="G94" s="66">
        <v>1209</v>
      </c>
      <c r="H94" s="66">
        <v>4804</v>
      </c>
      <c r="I94" s="66">
        <v>27338</v>
      </c>
      <c r="J94" s="15">
        <v>18983</v>
      </c>
    </row>
    <row r="95" spans="1:10" ht="14.25" customHeight="1">
      <c r="A95" s="7" t="s">
        <v>104</v>
      </c>
      <c r="B95" s="66">
        <v>66998.202247191017</v>
      </c>
      <c r="C95" s="66">
        <v>38604.966292134828</v>
      </c>
      <c r="D95" s="66">
        <v>5127.4831460674159</v>
      </c>
      <c r="E95" s="66">
        <v>13882.438202247191</v>
      </c>
      <c r="F95" s="66">
        <v>40888.865168539327</v>
      </c>
      <c r="G95" s="66">
        <v>34788.8202247191</v>
      </c>
      <c r="H95" s="66">
        <v>32466.898876404495</v>
      </c>
      <c r="I95" s="66">
        <v>52419.539325842699</v>
      </c>
      <c r="J95" s="15">
        <v>28898</v>
      </c>
    </row>
    <row r="96" spans="1:10" ht="14.25" customHeight="1">
      <c r="A96" s="7" t="s">
        <v>329</v>
      </c>
      <c r="B96" s="66">
        <v>3557431</v>
      </c>
      <c r="C96" s="66">
        <v>7748236</v>
      </c>
      <c r="D96" s="66">
        <v>85555</v>
      </c>
      <c r="E96" s="66">
        <v>896836</v>
      </c>
      <c r="F96" s="66">
        <v>1603568</v>
      </c>
      <c r="G96" s="66">
        <v>5861698</v>
      </c>
      <c r="H96" s="66">
        <v>71462</v>
      </c>
      <c r="I96" s="66">
        <v>5997098</v>
      </c>
      <c r="J96" s="15">
        <v>2827512</v>
      </c>
    </row>
    <row r="97" spans="1:10" ht="14.25" customHeight="1">
      <c r="A97" s="7"/>
      <c r="B97" s="66"/>
      <c r="C97" s="66"/>
      <c r="D97" s="66"/>
      <c r="E97" s="66"/>
      <c r="F97" s="66"/>
      <c r="G97" s="66"/>
      <c r="H97" s="66"/>
      <c r="I97" s="66"/>
      <c r="J97" s="15"/>
    </row>
  </sheetData>
  <sortState xmlns:xlrd2="http://schemas.microsoft.com/office/spreadsheetml/2017/richdata2" ref="A4:J50">
    <sortCondition ref="A4"/>
  </sortState>
  <phoneticPr fontId="51" type="noConversion"/>
  <conditionalFormatting sqref="B4:J50">
    <cfRule type="cellIs" dxfId="80" priority="3" operator="lessThan">
      <formula>0</formula>
    </cfRule>
    <cfRule type="cellIs" dxfId="79" priority="7" operator="lessThan">
      <formula>0</formula>
    </cfRule>
  </conditionalFormatting>
  <conditionalFormatting sqref="B4:J97">
    <cfRule type="cellIs" dxfId="78" priority="1" operator="equal">
      <formula>0</formula>
    </cfRule>
  </conditionalFormatting>
  <conditionalFormatting sqref="L90">
    <cfRule type="cellIs" dxfId="77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M97"/>
  <sheetViews>
    <sheetView zoomScaleNormal="100" workbookViewId="0">
      <pane ySplit="3" topLeftCell="A80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17.85546875" customWidth="1"/>
    <col min="2" max="2" width="22.28515625" customWidth="1"/>
    <col min="3" max="3" width="18.28515625" customWidth="1"/>
    <col min="4" max="4" width="20" customWidth="1"/>
    <col min="5" max="5" width="13.85546875" customWidth="1"/>
    <col min="6" max="6" width="13" customWidth="1"/>
    <col min="7" max="7" width="17.28515625" customWidth="1"/>
    <col min="8" max="8" width="18.5703125" customWidth="1"/>
    <col min="9" max="9" width="21.28515625" style="29" customWidth="1"/>
    <col min="10" max="10" width="17.28515625" style="29" customWidth="1"/>
    <col min="13" max="13" width="10.140625" style="29" customWidth="1"/>
    <col min="14" max="14" width="10" customWidth="1"/>
    <col min="15" max="15" width="9.140625" customWidth="1"/>
    <col min="16" max="16" width="12.5703125" customWidth="1"/>
  </cols>
  <sheetData>
    <row r="1" spans="1:13" ht="16.5" customHeight="1">
      <c r="A1" s="9" t="s">
        <v>368</v>
      </c>
      <c r="I1"/>
      <c r="J1"/>
      <c r="M1"/>
    </row>
    <row r="2" spans="1:13" ht="15">
      <c r="A2" s="9"/>
      <c r="I2" s="2"/>
      <c r="J2" s="2"/>
      <c r="M2" s="2"/>
    </row>
    <row r="3" spans="1:13" ht="39" customHeight="1">
      <c r="A3" s="7"/>
      <c r="B3" s="152" t="s">
        <v>369</v>
      </c>
      <c r="C3" s="152" t="s">
        <v>370</v>
      </c>
      <c r="D3" s="152" t="s">
        <v>371</v>
      </c>
      <c r="E3" s="152" t="s">
        <v>372</v>
      </c>
      <c r="F3" s="152" t="s">
        <v>373</v>
      </c>
      <c r="G3" s="105" t="s">
        <v>374</v>
      </c>
      <c r="H3" s="105" t="s">
        <v>375</v>
      </c>
      <c r="I3" s="105" t="s">
        <v>376</v>
      </c>
      <c r="J3" s="2"/>
      <c r="M3" s="2"/>
    </row>
    <row r="4" spans="1:13" ht="14.25" customHeight="1">
      <c r="A4" s="202" t="s">
        <v>346</v>
      </c>
      <c r="B4" s="231">
        <v>6226</v>
      </c>
      <c r="C4" s="231">
        <v>42309</v>
      </c>
      <c r="D4" s="231">
        <v>146</v>
      </c>
      <c r="E4" s="231">
        <v>0</v>
      </c>
      <c r="F4" s="231">
        <v>15</v>
      </c>
      <c r="G4" s="231">
        <v>24889</v>
      </c>
      <c r="H4" s="231">
        <v>1997</v>
      </c>
      <c r="I4" s="231">
        <v>372</v>
      </c>
      <c r="J4" s="2"/>
      <c r="M4" s="2"/>
    </row>
    <row r="5" spans="1:13" ht="14.25" customHeight="1">
      <c r="A5" s="202" t="s">
        <v>278</v>
      </c>
      <c r="B5" s="231">
        <v>4818</v>
      </c>
      <c r="C5" s="231">
        <v>23345</v>
      </c>
      <c r="D5" s="231">
        <v>0</v>
      </c>
      <c r="E5" s="231">
        <v>1485</v>
      </c>
      <c r="F5" s="231">
        <v>0</v>
      </c>
      <c r="G5" s="231">
        <v>29646</v>
      </c>
      <c r="H5" s="231">
        <v>207</v>
      </c>
      <c r="I5" s="231">
        <v>195</v>
      </c>
      <c r="J5" s="2"/>
      <c r="M5" s="2"/>
    </row>
    <row r="6" spans="1:13" ht="14.25" customHeight="1">
      <c r="A6" s="202" t="s">
        <v>123</v>
      </c>
      <c r="B6" s="231">
        <v>160</v>
      </c>
      <c r="C6" s="231">
        <v>82</v>
      </c>
      <c r="D6" s="231">
        <v>0</v>
      </c>
      <c r="E6" s="231">
        <v>22</v>
      </c>
      <c r="F6" s="231">
        <v>0</v>
      </c>
      <c r="G6" s="231">
        <v>166</v>
      </c>
      <c r="H6" s="231">
        <v>58</v>
      </c>
      <c r="I6" s="231">
        <v>539</v>
      </c>
      <c r="J6" s="2"/>
      <c r="M6" s="2"/>
    </row>
    <row r="7" spans="1:13" ht="14.25" customHeight="1">
      <c r="A7" s="202" t="s">
        <v>124</v>
      </c>
      <c r="B7" s="231">
        <v>2873</v>
      </c>
      <c r="C7" s="231">
        <v>27658</v>
      </c>
      <c r="D7" s="231">
        <v>112</v>
      </c>
      <c r="E7" s="231">
        <v>776</v>
      </c>
      <c r="F7" s="231">
        <v>0</v>
      </c>
      <c r="G7" s="231">
        <v>15798</v>
      </c>
      <c r="H7" s="231">
        <v>687</v>
      </c>
      <c r="I7" s="231">
        <v>761</v>
      </c>
      <c r="J7" s="2"/>
      <c r="M7" s="2"/>
    </row>
    <row r="8" spans="1:13" ht="14.25" customHeight="1">
      <c r="A8" s="202" t="s">
        <v>126</v>
      </c>
      <c r="B8" s="231">
        <v>1520</v>
      </c>
      <c r="C8" s="231">
        <v>18706</v>
      </c>
      <c r="D8" s="231">
        <v>377</v>
      </c>
      <c r="E8" s="231">
        <v>1469</v>
      </c>
      <c r="F8" s="231">
        <v>84</v>
      </c>
      <c r="G8" s="231">
        <v>21102</v>
      </c>
      <c r="H8" s="231">
        <v>0</v>
      </c>
      <c r="I8" s="231">
        <v>64</v>
      </c>
      <c r="J8" s="2"/>
      <c r="M8" s="2"/>
    </row>
    <row r="9" spans="1:13" ht="14.25" customHeight="1">
      <c r="A9" s="202" t="s">
        <v>127</v>
      </c>
      <c r="B9" s="231">
        <v>3093</v>
      </c>
      <c r="C9" s="231">
        <v>38065</v>
      </c>
      <c r="D9" s="231">
        <v>425</v>
      </c>
      <c r="E9" s="231">
        <v>28</v>
      </c>
      <c r="F9" s="231">
        <v>0</v>
      </c>
      <c r="G9" s="231">
        <v>11340</v>
      </c>
      <c r="H9" s="231">
        <v>17</v>
      </c>
      <c r="I9" s="231">
        <v>670</v>
      </c>
      <c r="J9" s="2"/>
      <c r="M9" s="2"/>
    </row>
    <row r="10" spans="1:13" ht="14.25" customHeight="1">
      <c r="A10" s="202" t="s">
        <v>305</v>
      </c>
      <c r="B10" s="231">
        <v>577</v>
      </c>
      <c r="C10" s="231">
        <v>3627</v>
      </c>
      <c r="D10" s="231">
        <v>0</v>
      </c>
      <c r="E10" s="231">
        <v>0</v>
      </c>
      <c r="F10" s="231">
        <v>0</v>
      </c>
      <c r="G10" s="231">
        <v>3086</v>
      </c>
      <c r="H10" s="231">
        <v>37</v>
      </c>
      <c r="I10" s="231">
        <v>0</v>
      </c>
      <c r="J10" s="2"/>
      <c r="M10" s="2"/>
    </row>
    <row r="11" spans="1:13" ht="14.25" customHeight="1">
      <c r="A11" s="202" t="s">
        <v>133</v>
      </c>
      <c r="B11" s="231">
        <v>7090</v>
      </c>
      <c r="C11" s="231">
        <v>61906</v>
      </c>
      <c r="D11" s="231">
        <v>1288</v>
      </c>
      <c r="E11" s="231">
        <v>4867</v>
      </c>
      <c r="F11" s="231">
        <v>0</v>
      </c>
      <c r="G11" s="231">
        <v>75209</v>
      </c>
      <c r="H11" s="231">
        <v>1895</v>
      </c>
      <c r="I11" s="231">
        <v>169</v>
      </c>
      <c r="J11" s="2"/>
      <c r="M11" s="2"/>
    </row>
    <row r="12" spans="1:13" ht="14.25" customHeight="1">
      <c r="A12" s="202" t="s">
        <v>137</v>
      </c>
      <c r="B12" s="231">
        <v>4707</v>
      </c>
      <c r="C12" s="231">
        <v>58733</v>
      </c>
      <c r="D12" s="231">
        <v>520</v>
      </c>
      <c r="E12" s="231">
        <v>7391</v>
      </c>
      <c r="F12" s="231">
        <v>0</v>
      </c>
      <c r="G12" s="231">
        <v>52978</v>
      </c>
      <c r="H12" s="231">
        <v>0</v>
      </c>
      <c r="I12" s="231">
        <v>268</v>
      </c>
      <c r="J12" s="2"/>
      <c r="M12" s="2"/>
    </row>
    <row r="13" spans="1:13" ht="14.25" customHeight="1">
      <c r="A13" s="202" t="s">
        <v>139</v>
      </c>
      <c r="B13" s="231">
        <v>0</v>
      </c>
      <c r="C13" s="231">
        <v>1908</v>
      </c>
      <c r="D13" s="231">
        <v>0</v>
      </c>
      <c r="E13" s="231">
        <v>0</v>
      </c>
      <c r="F13" s="231">
        <v>0</v>
      </c>
      <c r="G13" s="231">
        <v>347</v>
      </c>
      <c r="H13" s="231">
        <v>0</v>
      </c>
      <c r="I13" s="231">
        <v>0</v>
      </c>
      <c r="J13" s="2"/>
      <c r="M13" s="2"/>
    </row>
    <row r="14" spans="1:13" ht="14.25" customHeight="1">
      <c r="A14" s="202" t="s">
        <v>142</v>
      </c>
      <c r="B14" s="231">
        <v>694</v>
      </c>
      <c r="C14" s="231">
        <v>2184</v>
      </c>
      <c r="D14" s="231">
        <v>3</v>
      </c>
      <c r="E14" s="231">
        <v>176</v>
      </c>
      <c r="F14" s="231">
        <v>0</v>
      </c>
      <c r="G14" s="231">
        <v>3419</v>
      </c>
      <c r="H14" s="231">
        <v>0</v>
      </c>
      <c r="I14" s="231">
        <v>26</v>
      </c>
      <c r="J14" s="2"/>
      <c r="M14" s="2"/>
    </row>
    <row r="15" spans="1:13" ht="14.25" customHeight="1">
      <c r="A15" s="202" t="s">
        <v>144</v>
      </c>
      <c r="B15" s="231">
        <v>511</v>
      </c>
      <c r="C15" s="231">
        <v>6507</v>
      </c>
      <c r="D15" s="231">
        <v>0</v>
      </c>
      <c r="E15" s="231">
        <v>243</v>
      </c>
      <c r="F15" s="231">
        <v>0</v>
      </c>
      <c r="G15" s="231">
        <v>8527</v>
      </c>
      <c r="H15" s="231">
        <v>3843</v>
      </c>
      <c r="I15" s="231">
        <v>714</v>
      </c>
      <c r="J15" s="2"/>
      <c r="M15" s="2"/>
    </row>
    <row r="16" spans="1:13" ht="14.25" customHeight="1">
      <c r="A16" s="202" t="s">
        <v>148</v>
      </c>
      <c r="B16" s="231">
        <v>2599</v>
      </c>
      <c r="C16" s="231">
        <v>6659</v>
      </c>
      <c r="D16" s="231">
        <v>368</v>
      </c>
      <c r="E16" s="231">
        <v>1375</v>
      </c>
      <c r="F16" s="231">
        <v>0</v>
      </c>
      <c r="G16" s="231">
        <v>12823</v>
      </c>
      <c r="H16" s="231">
        <v>3</v>
      </c>
      <c r="I16" s="231">
        <v>402</v>
      </c>
      <c r="J16" s="2"/>
      <c r="M16" s="2"/>
    </row>
    <row r="17" spans="1:13" ht="14.25" customHeight="1">
      <c r="A17" s="202" t="s">
        <v>149</v>
      </c>
      <c r="B17" s="231">
        <v>3886</v>
      </c>
      <c r="C17" s="231">
        <v>17287</v>
      </c>
      <c r="D17" s="231">
        <v>0</v>
      </c>
      <c r="E17" s="231">
        <v>2111</v>
      </c>
      <c r="F17" s="231">
        <v>0</v>
      </c>
      <c r="G17" s="231">
        <v>30214</v>
      </c>
      <c r="H17" s="231">
        <v>0</v>
      </c>
      <c r="I17" s="231">
        <v>2299</v>
      </c>
      <c r="J17" s="2"/>
      <c r="M17" s="2"/>
    </row>
    <row r="18" spans="1:13" ht="14.25" customHeight="1">
      <c r="A18" s="202" t="s">
        <v>151</v>
      </c>
      <c r="B18" s="231">
        <v>1548</v>
      </c>
      <c r="C18" s="231">
        <v>27453</v>
      </c>
      <c r="D18" s="231">
        <v>29</v>
      </c>
      <c r="E18" s="231">
        <v>3380</v>
      </c>
      <c r="F18" s="231">
        <v>4223</v>
      </c>
      <c r="G18" s="231">
        <v>19665</v>
      </c>
      <c r="H18" s="231">
        <v>0</v>
      </c>
      <c r="I18" s="231">
        <v>247</v>
      </c>
      <c r="J18" s="2"/>
      <c r="M18" s="2"/>
    </row>
    <row r="19" spans="1:13" ht="14.25" customHeight="1">
      <c r="A19" s="202" t="s">
        <v>152</v>
      </c>
      <c r="B19" s="231">
        <v>4117</v>
      </c>
      <c r="C19" s="231">
        <v>57671</v>
      </c>
      <c r="D19" s="231">
        <v>716</v>
      </c>
      <c r="E19" s="231">
        <v>1032</v>
      </c>
      <c r="F19" s="231">
        <v>0</v>
      </c>
      <c r="G19" s="231">
        <v>43340</v>
      </c>
      <c r="H19" s="231">
        <v>0</v>
      </c>
      <c r="I19" s="231">
        <v>0</v>
      </c>
      <c r="J19" s="2"/>
      <c r="M19" s="2"/>
    </row>
    <row r="20" spans="1:13" ht="14.25" customHeight="1">
      <c r="A20" s="202" t="s">
        <v>154</v>
      </c>
      <c r="B20" s="231">
        <v>15155</v>
      </c>
      <c r="C20" s="231">
        <v>188960</v>
      </c>
      <c r="D20" s="231">
        <v>642</v>
      </c>
      <c r="E20" s="231">
        <v>1172</v>
      </c>
      <c r="F20" s="231">
        <v>75998</v>
      </c>
      <c r="G20" s="231">
        <v>99193</v>
      </c>
      <c r="H20" s="231">
        <v>0</v>
      </c>
      <c r="I20" s="231">
        <v>177</v>
      </c>
      <c r="J20" s="2"/>
      <c r="M20" s="2"/>
    </row>
    <row r="21" spans="1:13" ht="14.25" customHeight="1">
      <c r="A21" s="202" t="s">
        <v>347</v>
      </c>
      <c r="B21" s="231">
        <v>3161</v>
      </c>
      <c r="C21" s="231">
        <v>51985</v>
      </c>
      <c r="D21" s="231">
        <v>373</v>
      </c>
      <c r="E21" s="231">
        <v>2469</v>
      </c>
      <c r="F21" s="231">
        <v>0</v>
      </c>
      <c r="G21" s="231">
        <v>20740</v>
      </c>
      <c r="H21" s="231">
        <v>231</v>
      </c>
      <c r="I21" s="231">
        <v>1813</v>
      </c>
      <c r="J21" s="2"/>
      <c r="M21" s="2"/>
    </row>
    <row r="22" spans="1:13" ht="14.25" customHeight="1">
      <c r="A22" s="202" t="s">
        <v>312</v>
      </c>
      <c r="B22" s="231">
        <v>7240</v>
      </c>
      <c r="C22" s="231">
        <v>60285</v>
      </c>
      <c r="D22" s="231">
        <v>0</v>
      </c>
      <c r="E22" s="231">
        <v>674</v>
      </c>
      <c r="F22" s="231">
        <v>0</v>
      </c>
      <c r="G22" s="231">
        <v>17044</v>
      </c>
      <c r="H22" s="231">
        <v>197</v>
      </c>
      <c r="I22" s="231">
        <v>237</v>
      </c>
      <c r="J22" s="2"/>
      <c r="M22" s="2"/>
    </row>
    <row r="23" spans="1:13" ht="14.25" customHeight="1">
      <c r="A23" s="202" t="s">
        <v>155</v>
      </c>
      <c r="B23" s="231">
        <v>1524</v>
      </c>
      <c r="C23" s="231">
        <v>7805</v>
      </c>
      <c r="D23" s="231">
        <v>0</v>
      </c>
      <c r="E23" s="231">
        <v>1253</v>
      </c>
      <c r="F23" s="231">
        <v>8160</v>
      </c>
      <c r="G23" s="231">
        <v>22024</v>
      </c>
      <c r="H23" s="231">
        <v>173</v>
      </c>
      <c r="I23" s="231">
        <v>237</v>
      </c>
      <c r="J23" s="2"/>
      <c r="M23" s="2"/>
    </row>
    <row r="24" spans="1:13" ht="14.25" customHeight="1">
      <c r="A24" s="202" t="s">
        <v>348</v>
      </c>
      <c r="B24" s="231">
        <v>6409</v>
      </c>
      <c r="C24" s="231">
        <v>31852</v>
      </c>
      <c r="D24" s="231">
        <v>0</v>
      </c>
      <c r="E24" s="231">
        <v>1</v>
      </c>
      <c r="F24" s="231">
        <v>0</v>
      </c>
      <c r="G24" s="231">
        <v>34669</v>
      </c>
      <c r="H24" s="231">
        <v>6490</v>
      </c>
      <c r="I24" s="231">
        <v>1091</v>
      </c>
      <c r="J24" s="2"/>
      <c r="M24" s="2"/>
    </row>
    <row r="25" spans="1:13" ht="14.25" customHeight="1">
      <c r="A25" s="202" t="s">
        <v>158</v>
      </c>
      <c r="B25" s="231">
        <v>88</v>
      </c>
      <c r="C25" s="231">
        <v>1322</v>
      </c>
      <c r="D25" s="231">
        <v>0</v>
      </c>
      <c r="E25" s="231">
        <v>6</v>
      </c>
      <c r="F25" s="231">
        <v>0</v>
      </c>
      <c r="G25" s="231">
        <v>3769</v>
      </c>
      <c r="H25" s="231">
        <v>21</v>
      </c>
      <c r="I25" s="231">
        <v>13</v>
      </c>
      <c r="J25" s="2"/>
      <c r="M25" s="2"/>
    </row>
    <row r="26" spans="1:13" ht="14.25" customHeight="1">
      <c r="A26" s="202" t="s">
        <v>160</v>
      </c>
      <c r="B26" s="231">
        <v>4890</v>
      </c>
      <c r="C26" s="231">
        <v>29721</v>
      </c>
      <c r="D26" s="231">
        <v>245</v>
      </c>
      <c r="E26" s="231">
        <v>2467</v>
      </c>
      <c r="F26" s="231">
        <v>0</v>
      </c>
      <c r="G26" s="231">
        <v>20372</v>
      </c>
      <c r="H26" s="231">
        <v>2589</v>
      </c>
      <c r="I26" s="231">
        <v>5926</v>
      </c>
      <c r="J26" s="2"/>
      <c r="M26" s="2"/>
    </row>
    <row r="27" spans="1:13" ht="14.25" customHeight="1">
      <c r="A27" s="202" t="s">
        <v>165</v>
      </c>
      <c r="B27" s="231">
        <v>2768</v>
      </c>
      <c r="C27" s="231">
        <v>10814</v>
      </c>
      <c r="D27" s="231">
        <v>394</v>
      </c>
      <c r="E27" s="231">
        <v>1905</v>
      </c>
      <c r="F27" s="231">
        <v>152</v>
      </c>
      <c r="G27" s="231">
        <v>25080</v>
      </c>
      <c r="H27" s="231">
        <v>11799</v>
      </c>
      <c r="I27" s="231">
        <v>50</v>
      </c>
      <c r="J27" s="2"/>
      <c r="M27" s="2"/>
    </row>
    <row r="28" spans="1:13" ht="14.25" customHeight="1">
      <c r="A28" s="202" t="s">
        <v>168</v>
      </c>
      <c r="B28" s="231">
        <v>945</v>
      </c>
      <c r="C28" s="231">
        <v>8619</v>
      </c>
      <c r="D28" s="231">
        <v>0</v>
      </c>
      <c r="E28" s="231">
        <v>85</v>
      </c>
      <c r="F28" s="231">
        <v>0</v>
      </c>
      <c r="G28" s="231">
        <v>2435</v>
      </c>
      <c r="H28" s="231">
        <v>0</v>
      </c>
      <c r="I28" s="231">
        <v>0</v>
      </c>
      <c r="J28" s="2"/>
      <c r="M28" s="2"/>
    </row>
    <row r="29" spans="1:13" ht="14.25" customHeight="1">
      <c r="A29" s="202" t="s">
        <v>169</v>
      </c>
      <c r="B29" s="231">
        <v>1542</v>
      </c>
      <c r="C29" s="231">
        <v>33830</v>
      </c>
      <c r="D29" s="231">
        <v>0</v>
      </c>
      <c r="E29" s="231">
        <v>0</v>
      </c>
      <c r="F29" s="231">
        <v>0</v>
      </c>
      <c r="G29" s="231">
        <v>11401</v>
      </c>
      <c r="H29" s="231">
        <v>565</v>
      </c>
      <c r="I29" s="231">
        <v>724</v>
      </c>
      <c r="J29" s="2"/>
      <c r="M29" s="2"/>
    </row>
    <row r="30" spans="1:13" ht="14.25" customHeight="1">
      <c r="A30" s="202" t="s">
        <v>170</v>
      </c>
      <c r="B30" s="231">
        <v>2338</v>
      </c>
      <c r="C30" s="231">
        <v>14978</v>
      </c>
      <c r="D30" s="231">
        <v>0</v>
      </c>
      <c r="E30" s="231">
        <v>0</v>
      </c>
      <c r="F30" s="231">
        <v>0</v>
      </c>
      <c r="G30" s="231">
        <v>26457</v>
      </c>
      <c r="H30" s="231">
        <v>98</v>
      </c>
      <c r="I30" s="231">
        <v>6940</v>
      </c>
      <c r="J30" s="2"/>
      <c r="M30" s="2"/>
    </row>
    <row r="31" spans="1:13" ht="14.25" customHeight="1">
      <c r="A31" s="202" t="s">
        <v>173</v>
      </c>
      <c r="B31" s="231">
        <v>2845</v>
      </c>
      <c r="C31" s="231">
        <v>22461</v>
      </c>
      <c r="D31" s="231">
        <v>3010</v>
      </c>
      <c r="E31" s="231">
        <v>1867</v>
      </c>
      <c r="F31" s="231">
        <v>0</v>
      </c>
      <c r="G31" s="231">
        <v>39591</v>
      </c>
      <c r="H31" s="231">
        <v>18237</v>
      </c>
      <c r="I31" s="231">
        <v>1654</v>
      </c>
      <c r="J31" s="2"/>
      <c r="M31" s="2"/>
    </row>
    <row r="32" spans="1:13" ht="14.25" customHeight="1">
      <c r="A32" s="202" t="s">
        <v>280</v>
      </c>
      <c r="B32" s="231">
        <v>3069</v>
      </c>
      <c r="C32" s="231">
        <v>5005</v>
      </c>
      <c r="D32" s="231">
        <v>4</v>
      </c>
      <c r="E32" s="231">
        <v>168</v>
      </c>
      <c r="F32" s="231">
        <v>0</v>
      </c>
      <c r="G32" s="231">
        <v>4476</v>
      </c>
      <c r="H32" s="231">
        <v>48</v>
      </c>
      <c r="I32" s="231">
        <v>0</v>
      </c>
      <c r="J32" s="2"/>
      <c r="M32" s="2"/>
    </row>
    <row r="33" spans="1:13" ht="14.25" customHeight="1">
      <c r="A33" s="202" t="s">
        <v>176</v>
      </c>
      <c r="B33" s="231">
        <v>2981</v>
      </c>
      <c r="C33" s="231">
        <v>20633</v>
      </c>
      <c r="D33" s="231">
        <v>0</v>
      </c>
      <c r="E33" s="231">
        <v>62</v>
      </c>
      <c r="F33" s="231">
        <v>0</v>
      </c>
      <c r="G33" s="231">
        <v>12403</v>
      </c>
      <c r="H33" s="231">
        <v>0</v>
      </c>
      <c r="I33" s="231">
        <v>209</v>
      </c>
      <c r="J33" s="2"/>
      <c r="M33" s="2"/>
    </row>
    <row r="34" spans="1:13" ht="14.25" customHeight="1">
      <c r="A34" s="202" t="s">
        <v>316</v>
      </c>
      <c r="B34" s="231">
        <v>860</v>
      </c>
      <c r="C34" s="231">
        <v>1104</v>
      </c>
      <c r="D34" s="231">
        <v>0</v>
      </c>
      <c r="E34" s="231">
        <v>6</v>
      </c>
      <c r="F34" s="231">
        <v>0</v>
      </c>
      <c r="G34" s="231">
        <v>687</v>
      </c>
      <c r="H34" s="231">
        <v>167</v>
      </c>
      <c r="I34" s="231">
        <v>0</v>
      </c>
      <c r="J34" s="2"/>
      <c r="M34" s="2"/>
    </row>
    <row r="35" spans="1:13" ht="14.25" customHeight="1">
      <c r="A35" s="202" t="s">
        <v>179</v>
      </c>
      <c r="B35" s="231">
        <v>507</v>
      </c>
      <c r="C35" s="231">
        <v>1401</v>
      </c>
      <c r="D35" s="231">
        <v>202</v>
      </c>
      <c r="E35" s="231">
        <v>0</v>
      </c>
      <c r="F35" s="231">
        <v>0</v>
      </c>
      <c r="G35" s="231">
        <v>15</v>
      </c>
      <c r="H35" s="231">
        <v>0</v>
      </c>
      <c r="I35" s="231">
        <v>0</v>
      </c>
      <c r="J35" s="2"/>
      <c r="M35" s="2"/>
    </row>
    <row r="36" spans="1:13" ht="14.25" customHeight="1">
      <c r="A36" s="202" t="s">
        <v>182</v>
      </c>
      <c r="B36" s="231">
        <v>7304</v>
      </c>
      <c r="C36" s="231">
        <v>10566</v>
      </c>
      <c r="D36" s="231">
        <v>0</v>
      </c>
      <c r="E36" s="231">
        <v>2673</v>
      </c>
      <c r="F36" s="231">
        <v>0</v>
      </c>
      <c r="G36" s="231">
        <v>25167</v>
      </c>
      <c r="H36" s="231">
        <v>220</v>
      </c>
      <c r="I36" s="231">
        <v>0</v>
      </c>
      <c r="J36" s="2"/>
      <c r="M36" s="2"/>
    </row>
    <row r="37" spans="1:13" ht="14.25" customHeight="1">
      <c r="A37" s="202" t="s">
        <v>317</v>
      </c>
      <c r="B37" s="231">
        <v>2893</v>
      </c>
      <c r="C37" s="231">
        <v>80794</v>
      </c>
      <c r="D37" s="231">
        <v>2910</v>
      </c>
      <c r="E37" s="231">
        <v>1488</v>
      </c>
      <c r="F37" s="231">
        <v>0</v>
      </c>
      <c r="G37" s="231">
        <v>21117</v>
      </c>
      <c r="H37" s="231">
        <v>0</v>
      </c>
      <c r="I37" s="231">
        <v>7</v>
      </c>
      <c r="J37" s="2"/>
      <c r="M37" s="2"/>
    </row>
    <row r="38" spans="1:13" ht="14.25" customHeight="1">
      <c r="A38" s="202" t="s">
        <v>185</v>
      </c>
      <c r="B38" s="231">
        <v>572</v>
      </c>
      <c r="C38" s="231">
        <v>11635</v>
      </c>
      <c r="D38" s="231">
        <v>2</v>
      </c>
      <c r="E38" s="231">
        <v>285</v>
      </c>
      <c r="F38" s="231">
        <v>0</v>
      </c>
      <c r="G38" s="231">
        <v>1686</v>
      </c>
      <c r="H38" s="231">
        <v>0</v>
      </c>
      <c r="I38" s="231">
        <v>0</v>
      </c>
      <c r="J38" s="2"/>
      <c r="M38" s="2"/>
    </row>
    <row r="39" spans="1:13" ht="14.25" customHeight="1">
      <c r="A39" s="202" t="s">
        <v>186</v>
      </c>
      <c r="B39" s="231">
        <v>5197</v>
      </c>
      <c r="C39" s="231">
        <v>124413</v>
      </c>
      <c r="D39" s="231">
        <v>78</v>
      </c>
      <c r="E39" s="231">
        <v>3591</v>
      </c>
      <c r="F39" s="231">
        <v>0</v>
      </c>
      <c r="G39" s="231">
        <v>37972</v>
      </c>
      <c r="H39" s="231">
        <v>10222</v>
      </c>
      <c r="I39" s="231">
        <v>7927</v>
      </c>
      <c r="J39" s="2"/>
      <c r="M39" s="2"/>
    </row>
    <row r="40" spans="1:13" ht="14.25" customHeight="1">
      <c r="A40" s="202" t="s">
        <v>282</v>
      </c>
      <c r="B40" s="231">
        <v>12302</v>
      </c>
      <c r="C40" s="231">
        <v>65861</v>
      </c>
      <c r="D40" s="231">
        <v>1434</v>
      </c>
      <c r="E40" s="231">
        <v>8985</v>
      </c>
      <c r="F40" s="231">
        <v>737</v>
      </c>
      <c r="G40" s="231">
        <v>67562</v>
      </c>
      <c r="H40" s="231">
        <v>11627</v>
      </c>
      <c r="I40" s="231">
        <v>12827</v>
      </c>
      <c r="J40" s="2"/>
      <c r="M40" s="2"/>
    </row>
    <row r="41" spans="1:13" ht="14.25" customHeight="1">
      <c r="A41" s="202" t="s">
        <v>190</v>
      </c>
      <c r="B41" s="231">
        <v>1439</v>
      </c>
      <c r="C41" s="231">
        <v>10040</v>
      </c>
      <c r="D41" s="231">
        <v>0</v>
      </c>
      <c r="E41" s="231">
        <v>1057</v>
      </c>
      <c r="F41" s="231">
        <v>0</v>
      </c>
      <c r="G41" s="231">
        <v>19192</v>
      </c>
      <c r="H41" s="231">
        <v>2549</v>
      </c>
      <c r="I41" s="231">
        <v>382</v>
      </c>
      <c r="J41" s="2"/>
      <c r="M41" s="2"/>
    </row>
    <row r="42" spans="1:13" ht="14.25" customHeight="1">
      <c r="A42" s="202" t="s">
        <v>192</v>
      </c>
      <c r="B42" s="231">
        <v>2102</v>
      </c>
      <c r="C42" s="231">
        <v>11975</v>
      </c>
      <c r="D42" s="231">
        <v>112</v>
      </c>
      <c r="E42" s="231">
        <v>2143</v>
      </c>
      <c r="F42" s="231">
        <v>225</v>
      </c>
      <c r="G42" s="231">
        <v>16480</v>
      </c>
      <c r="H42" s="231">
        <v>0</v>
      </c>
      <c r="I42" s="231">
        <v>175</v>
      </c>
      <c r="J42" s="2"/>
      <c r="M42" s="2"/>
    </row>
    <row r="43" spans="1:13" ht="14.25" customHeight="1">
      <c r="A43" s="202" t="s">
        <v>193</v>
      </c>
      <c r="B43" s="231">
        <v>1067</v>
      </c>
      <c r="C43" s="231">
        <v>18275</v>
      </c>
      <c r="D43" s="231">
        <v>24</v>
      </c>
      <c r="E43" s="231">
        <v>425</v>
      </c>
      <c r="F43" s="231">
        <v>0</v>
      </c>
      <c r="G43" s="231">
        <v>3675</v>
      </c>
      <c r="H43" s="231">
        <v>1744</v>
      </c>
      <c r="I43" s="231">
        <v>8</v>
      </c>
      <c r="J43" s="2"/>
      <c r="M43" s="2"/>
    </row>
    <row r="44" spans="1:13" ht="14.25" customHeight="1">
      <c r="A44" s="202" t="s">
        <v>318</v>
      </c>
      <c r="B44" s="231">
        <v>3252</v>
      </c>
      <c r="C44" s="231">
        <v>70184</v>
      </c>
      <c r="D44" s="231">
        <v>751</v>
      </c>
      <c r="E44" s="231">
        <v>6</v>
      </c>
      <c r="F44" s="231">
        <v>8559</v>
      </c>
      <c r="G44" s="231">
        <v>30587</v>
      </c>
      <c r="H44" s="231">
        <v>1336</v>
      </c>
      <c r="I44" s="231">
        <v>315</v>
      </c>
      <c r="J44" s="2"/>
      <c r="M44" s="2"/>
    </row>
    <row r="45" spans="1:13" ht="14.25" customHeight="1">
      <c r="A45" s="202" t="s">
        <v>196</v>
      </c>
      <c r="B45" s="231">
        <v>87</v>
      </c>
      <c r="C45" s="231">
        <v>2416</v>
      </c>
      <c r="D45" s="231">
        <v>49</v>
      </c>
      <c r="E45" s="231">
        <v>0</v>
      </c>
      <c r="F45" s="231">
        <v>0</v>
      </c>
      <c r="G45" s="231">
        <v>687</v>
      </c>
      <c r="H45" s="231">
        <v>37</v>
      </c>
      <c r="I45" s="231">
        <v>212</v>
      </c>
      <c r="J45" s="2"/>
      <c r="M45" s="2"/>
    </row>
    <row r="46" spans="1:13" ht="14.25" customHeight="1">
      <c r="A46" s="202" t="s">
        <v>198</v>
      </c>
      <c r="B46" s="231">
        <v>12586</v>
      </c>
      <c r="C46" s="231">
        <v>121945</v>
      </c>
      <c r="D46" s="231">
        <v>0</v>
      </c>
      <c r="E46" s="231">
        <v>1824</v>
      </c>
      <c r="F46" s="231">
        <v>0</v>
      </c>
      <c r="G46" s="231">
        <v>71276</v>
      </c>
      <c r="H46" s="231">
        <v>1961</v>
      </c>
      <c r="I46" s="231">
        <v>24</v>
      </c>
      <c r="J46" s="2"/>
      <c r="M46" s="2"/>
    </row>
    <row r="47" spans="1:13" ht="14.25" customHeight="1">
      <c r="A47" s="202" t="s">
        <v>199</v>
      </c>
      <c r="B47" s="231">
        <v>6292</v>
      </c>
      <c r="C47" s="231">
        <v>34502</v>
      </c>
      <c r="D47" s="231">
        <v>3276</v>
      </c>
      <c r="E47" s="231">
        <v>5374</v>
      </c>
      <c r="F47" s="231">
        <v>0</v>
      </c>
      <c r="G47" s="231">
        <v>36152</v>
      </c>
      <c r="H47" s="231">
        <v>609</v>
      </c>
      <c r="I47" s="231">
        <v>2318</v>
      </c>
      <c r="J47" s="2"/>
      <c r="M47" s="2"/>
    </row>
    <row r="48" spans="1:13" ht="14.25" customHeight="1">
      <c r="A48" s="202" t="s">
        <v>202</v>
      </c>
      <c r="B48" s="231">
        <v>1255</v>
      </c>
      <c r="C48" s="231">
        <v>4340</v>
      </c>
      <c r="D48" s="231">
        <v>58</v>
      </c>
      <c r="E48" s="231">
        <v>716</v>
      </c>
      <c r="F48" s="231">
        <v>0</v>
      </c>
      <c r="G48" s="231">
        <v>8590</v>
      </c>
      <c r="H48" s="231">
        <v>0</v>
      </c>
      <c r="I48" s="231">
        <v>0</v>
      </c>
      <c r="J48" s="2"/>
      <c r="M48" s="2"/>
    </row>
    <row r="49" spans="1:13" ht="14.25" customHeight="1">
      <c r="A49" s="202" t="s">
        <v>203</v>
      </c>
      <c r="B49" s="231">
        <v>3203</v>
      </c>
      <c r="C49" s="231">
        <v>38861</v>
      </c>
      <c r="D49" s="231">
        <v>3160</v>
      </c>
      <c r="E49" s="231">
        <v>48</v>
      </c>
      <c r="F49" s="231">
        <v>0</v>
      </c>
      <c r="G49" s="231">
        <v>51802</v>
      </c>
      <c r="H49" s="231">
        <v>18</v>
      </c>
      <c r="I49" s="231">
        <v>2598</v>
      </c>
      <c r="J49" s="2"/>
      <c r="M49" s="2"/>
    </row>
    <row r="50" spans="1:13" ht="14.25" customHeight="1">
      <c r="A50" s="2" t="s">
        <v>319</v>
      </c>
      <c r="B50" s="231">
        <v>4340</v>
      </c>
      <c r="C50" s="231">
        <v>37184</v>
      </c>
      <c r="D50" s="231">
        <v>124</v>
      </c>
      <c r="E50" s="231">
        <v>1650</v>
      </c>
      <c r="F50" s="231">
        <v>0</v>
      </c>
      <c r="G50" s="231">
        <v>16727</v>
      </c>
      <c r="H50" s="231">
        <v>19</v>
      </c>
      <c r="I50" s="231">
        <v>4754</v>
      </c>
      <c r="J50" s="2"/>
      <c r="M50" s="2"/>
    </row>
    <row r="51" spans="1:13" ht="14.25" customHeight="1">
      <c r="A51" s="2" t="s">
        <v>206</v>
      </c>
      <c r="B51" s="14">
        <v>3940</v>
      </c>
      <c r="C51" s="14">
        <v>35122</v>
      </c>
      <c r="D51" s="14">
        <v>370</v>
      </c>
      <c r="E51" s="14">
        <v>0</v>
      </c>
      <c r="F51" s="14">
        <v>8811</v>
      </c>
      <c r="G51" s="14">
        <v>31458</v>
      </c>
      <c r="H51" s="14">
        <v>3387</v>
      </c>
      <c r="I51" s="14">
        <v>115</v>
      </c>
      <c r="J51" s="2"/>
      <c r="M51" s="2"/>
    </row>
    <row r="52" spans="1:13" ht="14.25" customHeight="1">
      <c r="A52" s="2" t="s">
        <v>207</v>
      </c>
      <c r="B52" s="14">
        <v>13510</v>
      </c>
      <c r="C52" s="14">
        <v>46602</v>
      </c>
      <c r="D52" s="14">
        <v>177</v>
      </c>
      <c r="E52" s="14">
        <v>7002</v>
      </c>
      <c r="F52" s="14">
        <v>445</v>
      </c>
      <c r="G52" s="14">
        <v>76264</v>
      </c>
      <c r="H52" s="14">
        <v>3503</v>
      </c>
      <c r="I52" s="14">
        <v>1651</v>
      </c>
      <c r="J52" s="2"/>
      <c r="M52" s="2"/>
    </row>
    <row r="53" spans="1:13" ht="14.25" customHeight="1">
      <c r="A53" s="2" t="s">
        <v>208</v>
      </c>
      <c r="B53" s="14">
        <v>1216</v>
      </c>
      <c r="C53" s="14">
        <v>15400</v>
      </c>
      <c r="D53" s="14">
        <v>15</v>
      </c>
      <c r="E53" s="14">
        <v>0</v>
      </c>
      <c r="F53" s="14">
        <v>0</v>
      </c>
      <c r="G53" s="14">
        <v>5097</v>
      </c>
      <c r="H53" s="14">
        <v>928</v>
      </c>
      <c r="I53" s="14">
        <v>2</v>
      </c>
      <c r="J53" s="2"/>
      <c r="M53" s="2"/>
    </row>
    <row r="54" spans="1:13" ht="14.25" customHeight="1">
      <c r="A54" s="2" t="s">
        <v>210</v>
      </c>
      <c r="B54" s="14">
        <v>1043</v>
      </c>
      <c r="C54" s="14">
        <v>28377</v>
      </c>
      <c r="D54" s="14">
        <v>537</v>
      </c>
      <c r="E54" s="14">
        <v>49</v>
      </c>
      <c r="F54" s="14">
        <v>0</v>
      </c>
      <c r="G54" s="14">
        <v>9753</v>
      </c>
      <c r="H54" s="14">
        <v>1173</v>
      </c>
      <c r="I54" s="14">
        <v>987</v>
      </c>
      <c r="J54" s="2"/>
      <c r="M54" s="2"/>
    </row>
    <row r="55" spans="1:13" ht="14.25" customHeight="1">
      <c r="A55" s="2" t="s">
        <v>349</v>
      </c>
      <c r="B55" s="14">
        <v>82</v>
      </c>
      <c r="C55" s="14">
        <v>15575</v>
      </c>
      <c r="D55" s="14">
        <v>0</v>
      </c>
      <c r="E55" s="14">
        <v>0</v>
      </c>
      <c r="F55" s="14">
        <v>0</v>
      </c>
      <c r="G55" s="14">
        <v>201</v>
      </c>
      <c r="H55" s="14">
        <v>0</v>
      </c>
      <c r="I55" s="14">
        <v>0</v>
      </c>
      <c r="J55" s="2"/>
      <c r="M55" s="2"/>
    </row>
    <row r="56" spans="1:13" ht="14.25" customHeight="1">
      <c r="A56" s="2" t="s">
        <v>213</v>
      </c>
      <c r="B56" s="14">
        <v>574</v>
      </c>
      <c r="C56" s="14">
        <v>3714</v>
      </c>
      <c r="D56" s="14">
        <v>0</v>
      </c>
      <c r="E56" s="14">
        <v>264</v>
      </c>
      <c r="F56" s="14">
        <v>0</v>
      </c>
      <c r="G56" s="14">
        <v>4765</v>
      </c>
      <c r="H56" s="14">
        <v>0</v>
      </c>
      <c r="I56" s="14">
        <v>1767</v>
      </c>
      <c r="J56" s="2"/>
      <c r="M56" s="2"/>
    </row>
    <row r="57" spans="1:13" ht="14.25" customHeight="1">
      <c r="A57" s="2" t="s">
        <v>357</v>
      </c>
      <c r="B57" s="14">
        <v>1403</v>
      </c>
      <c r="C57" s="14">
        <v>1496</v>
      </c>
      <c r="D57" s="14">
        <v>21</v>
      </c>
      <c r="E57" s="14">
        <v>0</v>
      </c>
      <c r="F57" s="14">
        <v>0</v>
      </c>
      <c r="G57" s="14">
        <v>7747</v>
      </c>
      <c r="H57" s="14">
        <v>47</v>
      </c>
      <c r="I57" s="14">
        <v>2</v>
      </c>
      <c r="J57" s="2"/>
      <c r="M57" s="2"/>
    </row>
    <row r="58" spans="1:13" ht="14.25" customHeight="1">
      <c r="A58" s="2" t="s">
        <v>218</v>
      </c>
      <c r="B58" s="14">
        <v>14633</v>
      </c>
      <c r="C58" s="14">
        <v>168370</v>
      </c>
      <c r="D58" s="14">
        <v>0</v>
      </c>
      <c r="E58" s="14">
        <v>14126</v>
      </c>
      <c r="F58" s="14">
        <v>0</v>
      </c>
      <c r="G58" s="14">
        <v>110175</v>
      </c>
      <c r="H58" s="14">
        <v>15060</v>
      </c>
      <c r="I58" s="14">
        <v>4012</v>
      </c>
      <c r="J58" s="2"/>
      <c r="M58" s="2"/>
    </row>
    <row r="59" spans="1:13" ht="14.25" customHeight="1">
      <c r="A59" s="2" t="s">
        <v>219</v>
      </c>
      <c r="B59" s="14">
        <v>3993</v>
      </c>
      <c r="C59" s="14">
        <v>43624</v>
      </c>
      <c r="D59" s="14">
        <v>1888</v>
      </c>
      <c r="E59" s="14">
        <v>13324</v>
      </c>
      <c r="F59" s="14">
        <v>0</v>
      </c>
      <c r="G59" s="14">
        <v>32313</v>
      </c>
      <c r="H59" s="14">
        <v>0</v>
      </c>
      <c r="I59" s="14">
        <v>1267</v>
      </c>
      <c r="J59" s="2"/>
      <c r="M59" s="2"/>
    </row>
    <row r="60" spans="1:13" ht="14.25" customHeight="1">
      <c r="A60" s="2" t="s">
        <v>320</v>
      </c>
      <c r="B60" s="14">
        <v>851</v>
      </c>
      <c r="C60" s="14">
        <v>7002</v>
      </c>
      <c r="D60" s="14">
        <v>0</v>
      </c>
      <c r="E60" s="14">
        <v>0</v>
      </c>
      <c r="F60" s="14">
        <v>37</v>
      </c>
      <c r="G60" s="14">
        <v>2649</v>
      </c>
      <c r="H60" s="14">
        <v>552</v>
      </c>
      <c r="I60" s="14">
        <v>0</v>
      </c>
      <c r="J60" s="2"/>
      <c r="M60" s="2"/>
    </row>
    <row r="61" spans="1:13" ht="14.25" customHeight="1">
      <c r="A61" s="2" t="s">
        <v>220</v>
      </c>
      <c r="B61" s="14">
        <v>6823</v>
      </c>
      <c r="C61" s="14">
        <v>179697</v>
      </c>
      <c r="D61" s="14">
        <v>4</v>
      </c>
      <c r="E61" s="14">
        <v>1956</v>
      </c>
      <c r="F61" s="14">
        <v>0</v>
      </c>
      <c r="G61" s="14">
        <v>39264</v>
      </c>
      <c r="H61" s="14">
        <v>476</v>
      </c>
      <c r="I61" s="14">
        <v>283</v>
      </c>
      <c r="J61" s="2"/>
      <c r="M61" s="2"/>
    </row>
    <row r="62" spans="1:13" ht="14.25" customHeight="1">
      <c r="A62" s="2" t="s">
        <v>283</v>
      </c>
      <c r="B62" s="14">
        <v>533</v>
      </c>
      <c r="C62" s="14">
        <v>2046</v>
      </c>
      <c r="D62" s="14">
        <v>0</v>
      </c>
      <c r="E62" s="14">
        <v>12</v>
      </c>
      <c r="F62" s="14">
        <v>0</v>
      </c>
      <c r="G62" s="14">
        <v>512</v>
      </c>
      <c r="H62" s="14">
        <v>0</v>
      </c>
      <c r="I62" s="14">
        <v>1</v>
      </c>
      <c r="J62" s="2"/>
      <c r="M62" s="2"/>
    </row>
    <row r="63" spans="1:13" ht="14.25" customHeight="1">
      <c r="A63" s="2" t="s">
        <v>223</v>
      </c>
      <c r="B63" s="14">
        <v>629</v>
      </c>
      <c r="C63" s="14">
        <v>2549</v>
      </c>
      <c r="D63" s="14">
        <v>0</v>
      </c>
      <c r="E63" s="14">
        <v>200</v>
      </c>
      <c r="F63" s="14">
        <v>0</v>
      </c>
      <c r="G63" s="14">
        <v>3341</v>
      </c>
      <c r="H63" s="14">
        <v>90</v>
      </c>
      <c r="I63" s="14">
        <v>24</v>
      </c>
      <c r="J63" s="2"/>
      <c r="M63" s="2"/>
    </row>
    <row r="64" spans="1:13" ht="14.25" customHeight="1">
      <c r="A64" s="2" t="s">
        <v>224</v>
      </c>
      <c r="B64" s="14">
        <v>1656</v>
      </c>
      <c r="C64" s="14">
        <v>76065</v>
      </c>
      <c r="D64" s="14">
        <v>0</v>
      </c>
      <c r="E64" s="14">
        <v>243</v>
      </c>
      <c r="F64" s="14">
        <v>3425</v>
      </c>
      <c r="G64" s="14">
        <v>21556</v>
      </c>
      <c r="H64" s="14">
        <v>0</v>
      </c>
      <c r="I64" s="14">
        <v>1656</v>
      </c>
      <c r="J64" s="2"/>
      <c r="M64" s="2"/>
    </row>
    <row r="65" spans="1:13" ht="14.25" customHeight="1">
      <c r="A65" s="2" t="s">
        <v>225</v>
      </c>
      <c r="B65" s="14">
        <v>3740</v>
      </c>
      <c r="C65" s="14">
        <v>44132</v>
      </c>
      <c r="D65" s="14">
        <v>72</v>
      </c>
      <c r="E65" s="14">
        <v>188</v>
      </c>
      <c r="F65" s="14">
        <v>2575</v>
      </c>
      <c r="G65" s="14">
        <v>26552</v>
      </c>
      <c r="H65" s="14">
        <v>13000</v>
      </c>
      <c r="I65" s="14">
        <v>160</v>
      </c>
      <c r="J65" s="2"/>
      <c r="M65" s="2"/>
    </row>
    <row r="66" spans="1:13" ht="14.25" customHeight="1">
      <c r="A66" s="2" t="s">
        <v>226</v>
      </c>
      <c r="B66" s="14">
        <v>6775</v>
      </c>
      <c r="C66" s="14">
        <v>30285</v>
      </c>
      <c r="D66" s="14">
        <v>0</v>
      </c>
      <c r="E66" s="14">
        <v>7367</v>
      </c>
      <c r="F66" s="14">
        <v>0</v>
      </c>
      <c r="G66" s="14">
        <v>51646</v>
      </c>
      <c r="H66" s="14">
        <v>0</v>
      </c>
      <c r="I66" s="14">
        <v>6465</v>
      </c>
      <c r="J66" s="2"/>
      <c r="M66" s="2"/>
    </row>
    <row r="67" spans="1:13" ht="14.25" customHeight="1">
      <c r="A67" s="2" t="s">
        <v>228</v>
      </c>
      <c r="B67" s="14">
        <v>2409</v>
      </c>
      <c r="C67" s="14">
        <v>24783</v>
      </c>
      <c r="D67" s="14">
        <v>168</v>
      </c>
      <c r="E67" s="14">
        <v>66</v>
      </c>
      <c r="F67" s="14">
        <v>0</v>
      </c>
      <c r="G67" s="14">
        <v>16760</v>
      </c>
      <c r="H67" s="14">
        <v>23</v>
      </c>
      <c r="I67" s="14">
        <v>0</v>
      </c>
      <c r="J67" s="2"/>
      <c r="M67" s="2"/>
    </row>
    <row r="68" spans="1:13" ht="14.25" customHeight="1">
      <c r="A68" s="2" t="s">
        <v>229</v>
      </c>
      <c r="B68" s="14">
        <v>2802</v>
      </c>
      <c r="C68" s="14">
        <v>72444</v>
      </c>
      <c r="D68" s="14">
        <v>945</v>
      </c>
      <c r="E68" s="14">
        <v>5395</v>
      </c>
      <c r="F68" s="14">
        <v>0</v>
      </c>
      <c r="G68" s="14">
        <v>22635</v>
      </c>
      <c r="H68" s="14">
        <v>35509</v>
      </c>
      <c r="I68" s="14">
        <v>1292</v>
      </c>
      <c r="J68" s="2"/>
      <c r="M68" s="2"/>
    </row>
    <row r="69" spans="1:13" ht="14.25" customHeight="1">
      <c r="A69" s="2" t="s">
        <v>322</v>
      </c>
      <c r="B69" s="14">
        <v>16032</v>
      </c>
      <c r="C69" s="14">
        <v>148179</v>
      </c>
      <c r="D69" s="14">
        <v>7411</v>
      </c>
      <c r="E69" s="14">
        <v>1230</v>
      </c>
      <c r="F69" s="14">
        <v>0</v>
      </c>
      <c r="G69" s="14">
        <v>116661</v>
      </c>
      <c r="H69" s="14">
        <v>8060</v>
      </c>
      <c r="I69" s="14">
        <v>12151</v>
      </c>
      <c r="J69" s="2"/>
      <c r="M69" s="2"/>
    </row>
    <row r="70" spans="1:13" ht="14.25" customHeight="1">
      <c r="A70" s="2" t="s">
        <v>323</v>
      </c>
      <c r="B70" s="14">
        <v>1900</v>
      </c>
      <c r="C70" s="14">
        <v>12608</v>
      </c>
      <c r="D70" s="14">
        <v>5</v>
      </c>
      <c r="E70" s="14">
        <v>156</v>
      </c>
      <c r="F70" s="14">
        <v>0</v>
      </c>
      <c r="G70" s="14">
        <v>12724</v>
      </c>
      <c r="H70" s="14">
        <v>763</v>
      </c>
      <c r="I70" s="14">
        <v>4274</v>
      </c>
      <c r="J70" s="2"/>
      <c r="M70" s="2"/>
    </row>
    <row r="71" spans="1:13" ht="14.25" customHeight="1">
      <c r="A71" s="2" t="s">
        <v>350</v>
      </c>
      <c r="B71" s="14">
        <v>4002</v>
      </c>
      <c r="C71" s="14">
        <v>53622</v>
      </c>
      <c r="D71" s="14">
        <v>123</v>
      </c>
      <c r="E71" s="14">
        <v>34</v>
      </c>
      <c r="F71" s="14">
        <v>0</v>
      </c>
      <c r="G71" s="14">
        <v>21134</v>
      </c>
      <c r="H71" s="14">
        <v>3</v>
      </c>
      <c r="I71" s="14">
        <v>128</v>
      </c>
      <c r="J71" s="2"/>
      <c r="M71" s="2"/>
    </row>
    <row r="72" spans="1:13" ht="14.25" customHeight="1">
      <c r="A72" s="2" t="s">
        <v>284</v>
      </c>
      <c r="B72" s="14">
        <v>3694</v>
      </c>
      <c r="C72" s="14">
        <v>48777</v>
      </c>
      <c r="D72" s="14">
        <v>2938</v>
      </c>
      <c r="E72" s="14">
        <v>5214</v>
      </c>
      <c r="F72" s="14">
        <v>0</v>
      </c>
      <c r="G72" s="14">
        <v>27934</v>
      </c>
      <c r="H72" s="14">
        <v>8983</v>
      </c>
      <c r="I72" s="14">
        <v>11593</v>
      </c>
      <c r="J72" s="2"/>
      <c r="M72" s="2"/>
    </row>
    <row r="73" spans="1:13" ht="14.25" customHeight="1">
      <c r="A73" s="2" t="s">
        <v>232</v>
      </c>
      <c r="B73" s="14">
        <v>3934</v>
      </c>
      <c r="C73" s="14">
        <v>29935</v>
      </c>
      <c r="D73" s="14">
        <v>0</v>
      </c>
      <c r="E73" s="14">
        <v>3143</v>
      </c>
      <c r="F73" s="14">
        <v>0</v>
      </c>
      <c r="G73" s="14">
        <v>45780</v>
      </c>
      <c r="H73" s="14">
        <v>0</v>
      </c>
      <c r="I73" s="14">
        <v>2413</v>
      </c>
      <c r="J73" s="2"/>
      <c r="M73" s="2"/>
    </row>
    <row r="74" spans="1:13" ht="14.25" customHeight="1">
      <c r="A74" s="2" t="s">
        <v>233</v>
      </c>
      <c r="B74" s="14">
        <v>9832</v>
      </c>
      <c r="C74" s="14">
        <v>64137</v>
      </c>
      <c r="D74" s="14">
        <v>0</v>
      </c>
      <c r="E74" s="14">
        <v>3905</v>
      </c>
      <c r="F74" s="14">
        <v>0</v>
      </c>
      <c r="G74" s="14">
        <v>28334</v>
      </c>
      <c r="H74" s="14">
        <v>428</v>
      </c>
      <c r="I74" s="14">
        <v>849</v>
      </c>
      <c r="J74" s="2"/>
      <c r="M74" s="2"/>
    </row>
    <row r="75" spans="1:13" ht="14.25" customHeight="1">
      <c r="A75" s="2" t="s">
        <v>234</v>
      </c>
      <c r="B75" s="14">
        <v>2135</v>
      </c>
      <c r="C75" s="14">
        <v>5080</v>
      </c>
      <c r="D75" s="14">
        <v>162</v>
      </c>
      <c r="E75" s="14">
        <v>809</v>
      </c>
      <c r="F75" s="14">
        <v>0</v>
      </c>
      <c r="G75" s="14">
        <v>10347</v>
      </c>
      <c r="H75" s="14">
        <v>2110</v>
      </c>
      <c r="I75" s="14">
        <v>1192</v>
      </c>
      <c r="J75" s="2"/>
      <c r="M75" s="2"/>
    </row>
    <row r="76" spans="1:13" ht="14.25" customHeight="1">
      <c r="A76" s="2" t="s">
        <v>236</v>
      </c>
      <c r="B76" s="14">
        <v>929</v>
      </c>
      <c r="C76" s="14">
        <v>5927</v>
      </c>
      <c r="D76" s="14">
        <v>0</v>
      </c>
      <c r="E76" s="14">
        <v>0</v>
      </c>
      <c r="F76" s="14">
        <v>0</v>
      </c>
      <c r="G76" s="14">
        <v>7653</v>
      </c>
      <c r="H76" s="14">
        <v>144</v>
      </c>
      <c r="I76" s="14">
        <v>127</v>
      </c>
      <c r="J76" s="2"/>
      <c r="M76" s="2"/>
    </row>
    <row r="77" spans="1:13" ht="14.25" customHeight="1">
      <c r="A77" s="2" t="s">
        <v>238</v>
      </c>
      <c r="B77" s="14">
        <v>394</v>
      </c>
      <c r="C77" s="14">
        <v>4082</v>
      </c>
      <c r="D77" s="14">
        <v>408</v>
      </c>
      <c r="E77" s="14">
        <v>781</v>
      </c>
      <c r="F77" s="14">
        <v>0</v>
      </c>
      <c r="G77" s="14">
        <v>6994</v>
      </c>
      <c r="H77" s="14">
        <v>157</v>
      </c>
      <c r="I77" s="14">
        <v>0</v>
      </c>
      <c r="J77" s="2"/>
      <c r="M77" s="2"/>
    </row>
    <row r="78" spans="1:13" ht="14.25" customHeight="1">
      <c r="A78" s="2" t="s">
        <v>239</v>
      </c>
      <c r="B78" s="14">
        <v>6911</v>
      </c>
      <c r="C78" s="14">
        <v>128466</v>
      </c>
      <c r="D78" s="14">
        <v>321</v>
      </c>
      <c r="E78" s="14">
        <v>6096</v>
      </c>
      <c r="F78" s="14">
        <v>0</v>
      </c>
      <c r="G78" s="14">
        <v>53239</v>
      </c>
      <c r="H78" s="14">
        <v>1151</v>
      </c>
      <c r="I78" s="14">
        <v>2281</v>
      </c>
      <c r="J78" s="2"/>
      <c r="M78" s="2"/>
    </row>
    <row r="79" spans="1:13" ht="14.25" customHeight="1">
      <c r="A79" s="2" t="s">
        <v>351</v>
      </c>
      <c r="B79" s="14">
        <v>11600</v>
      </c>
      <c r="C79" s="14">
        <v>127817</v>
      </c>
      <c r="D79" s="14">
        <v>763</v>
      </c>
      <c r="E79" s="14">
        <v>20093</v>
      </c>
      <c r="F79" s="14">
        <v>14862</v>
      </c>
      <c r="G79" s="14">
        <v>80625</v>
      </c>
      <c r="H79" s="14">
        <v>5358</v>
      </c>
      <c r="I79" s="14">
        <v>6266</v>
      </c>
      <c r="J79" s="2"/>
      <c r="M79" s="2"/>
    </row>
    <row r="80" spans="1:13" ht="14.25" customHeight="1">
      <c r="A80" s="2" t="s">
        <v>244</v>
      </c>
      <c r="B80" s="14">
        <v>601</v>
      </c>
      <c r="C80" s="14">
        <v>1542</v>
      </c>
      <c r="D80" s="14">
        <v>10</v>
      </c>
      <c r="E80" s="14">
        <v>562</v>
      </c>
      <c r="F80" s="14">
        <v>0</v>
      </c>
      <c r="G80" s="14">
        <v>1134</v>
      </c>
      <c r="H80" s="14">
        <v>77</v>
      </c>
      <c r="I80" s="14">
        <v>3</v>
      </c>
      <c r="J80" s="2"/>
      <c r="M80" s="2"/>
    </row>
    <row r="81" spans="1:13" ht="14.25" customHeight="1">
      <c r="A81" s="2" t="s">
        <v>326</v>
      </c>
      <c r="B81" s="14">
        <v>736</v>
      </c>
      <c r="C81" s="14">
        <v>2463</v>
      </c>
      <c r="D81" s="14">
        <v>0</v>
      </c>
      <c r="E81" s="14">
        <v>140</v>
      </c>
      <c r="F81" s="14">
        <v>0</v>
      </c>
      <c r="G81" s="14">
        <v>2108</v>
      </c>
      <c r="H81" s="14">
        <v>4</v>
      </c>
      <c r="I81" s="14">
        <v>0</v>
      </c>
      <c r="J81" s="2"/>
      <c r="M81" s="2"/>
    </row>
    <row r="82" spans="1:13" ht="14.25" customHeight="1">
      <c r="A82" s="2" t="s">
        <v>247</v>
      </c>
      <c r="B82" s="14">
        <v>193</v>
      </c>
      <c r="C82" s="14">
        <v>4551</v>
      </c>
      <c r="D82" s="14">
        <v>0</v>
      </c>
      <c r="E82" s="14">
        <v>22</v>
      </c>
      <c r="F82" s="14">
        <v>0</v>
      </c>
      <c r="G82" s="14">
        <v>2659</v>
      </c>
      <c r="H82" s="14">
        <v>1</v>
      </c>
      <c r="I82" s="14">
        <v>4</v>
      </c>
      <c r="J82" s="2"/>
      <c r="M82" s="2"/>
    </row>
    <row r="83" spans="1:13" ht="14.25" customHeight="1">
      <c r="A83" s="2" t="s">
        <v>249</v>
      </c>
      <c r="B83" s="14">
        <v>2226</v>
      </c>
      <c r="C83" s="14">
        <v>40709</v>
      </c>
      <c r="D83" s="14">
        <v>0</v>
      </c>
      <c r="E83" s="14">
        <v>0</v>
      </c>
      <c r="F83" s="14">
        <v>0</v>
      </c>
      <c r="G83" s="14">
        <v>15374</v>
      </c>
      <c r="H83" s="14">
        <v>1083</v>
      </c>
      <c r="I83" s="14">
        <v>1622</v>
      </c>
      <c r="J83" s="2"/>
      <c r="M83" s="2"/>
    </row>
    <row r="84" spans="1:13" ht="14.25" customHeight="1">
      <c r="A84" s="2" t="s">
        <v>254</v>
      </c>
      <c r="B84" s="14">
        <v>19505</v>
      </c>
      <c r="C84" s="14">
        <v>19973</v>
      </c>
      <c r="D84" s="14">
        <v>0</v>
      </c>
      <c r="E84" s="14">
        <v>3558</v>
      </c>
      <c r="F84" s="14">
        <v>0</v>
      </c>
      <c r="G84" s="14">
        <v>19744</v>
      </c>
      <c r="H84" s="14">
        <v>0</v>
      </c>
      <c r="I84" s="14">
        <v>262</v>
      </c>
      <c r="J84" s="2"/>
      <c r="M84" s="2"/>
    </row>
    <row r="85" spans="1:13" ht="14.25" customHeight="1">
      <c r="A85" s="2" t="s">
        <v>256</v>
      </c>
      <c r="B85" s="14">
        <v>160</v>
      </c>
      <c r="C85" s="14">
        <v>3308</v>
      </c>
      <c r="D85" s="14">
        <v>0</v>
      </c>
      <c r="E85" s="14">
        <v>0</v>
      </c>
      <c r="F85" s="14">
        <v>0</v>
      </c>
      <c r="G85" s="14">
        <v>687</v>
      </c>
      <c r="H85" s="14">
        <v>0</v>
      </c>
      <c r="I85" s="14">
        <v>56</v>
      </c>
      <c r="J85" s="2"/>
      <c r="M85" s="2"/>
    </row>
    <row r="86" spans="1:13" ht="14.25" customHeight="1">
      <c r="A86" s="2" t="s">
        <v>327</v>
      </c>
      <c r="B86" s="14">
        <v>1650</v>
      </c>
      <c r="C86" s="14">
        <v>22455</v>
      </c>
      <c r="D86" s="14">
        <v>0</v>
      </c>
      <c r="E86" s="14">
        <v>28</v>
      </c>
      <c r="F86" s="14">
        <v>0</v>
      </c>
      <c r="G86" s="14">
        <v>15649</v>
      </c>
      <c r="H86" s="14">
        <v>1174</v>
      </c>
      <c r="I86" s="14">
        <v>0</v>
      </c>
      <c r="J86" s="2"/>
      <c r="M86" s="2"/>
    </row>
    <row r="87" spans="1:13" ht="14.25" customHeight="1">
      <c r="A87" s="2" t="s">
        <v>257</v>
      </c>
      <c r="B87" s="14">
        <v>2796</v>
      </c>
      <c r="C87" s="14">
        <v>45548</v>
      </c>
      <c r="D87" s="14">
        <v>4733</v>
      </c>
      <c r="E87" s="14">
        <v>4827</v>
      </c>
      <c r="F87" s="14">
        <v>0</v>
      </c>
      <c r="G87" s="14">
        <v>29981</v>
      </c>
      <c r="H87" s="14">
        <v>0</v>
      </c>
      <c r="I87" s="14">
        <v>1478</v>
      </c>
      <c r="J87" s="2"/>
      <c r="M87" s="2"/>
    </row>
    <row r="88" spans="1:13" ht="14.25" customHeight="1">
      <c r="A88" s="2" t="s">
        <v>258</v>
      </c>
      <c r="B88" s="14">
        <v>5884</v>
      </c>
      <c r="C88" s="14">
        <v>25728</v>
      </c>
      <c r="D88" s="14">
        <v>46</v>
      </c>
      <c r="E88" s="14">
        <v>7</v>
      </c>
      <c r="F88" s="14">
        <v>0</v>
      </c>
      <c r="G88" s="14">
        <v>13407</v>
      </c>
      <c r="H88" s="14">
        <v>0</v>
      </c>
      <c r="I88" s="14">
        <v>8</v>
      </c>
      <c r="J88" s="2"/>
      <c r="M88" s="2"/>
    </row>
    <row r="89" spans="1:13" ht="14.25" customHeight="1">
      <c r="A89" s="2" t="s">
        <v>285</v>
      </c>
      <c r="B89" s="14">
        <v>940</v>
      </c>
      <c r="C89" s="14">
        <v>9966</v>
      </c>
      <c r="D89" s="14">
        <v>108</v>
      </c>
      <c r="E89" s="14">
        <v>320</v>
      </c>
      <c r="F89" s="14">
        <v>0</v>
      </c>
      <c r="G89" s="14">
        <v>7211</v>
      </c>
      <c r="H89" s="14">
        <v>0</v>
      </c>
      <c r="I89" s="14">
        <v>55</v>
      </c>
      <c r="J89" s="2"/>
      <c r="M89" s="2"/>
    </row>
    <row r="90" spans="1:13" ht="14.25" customHeight="1">
      <c r="A90" s="2" t="s">
        <v>260</v>
      </c>
      <c r="B90" s="14">
        <v>9054</v>
      </c>
      <c r="C90" s="14">
        <v>149356</v>
      </c>
      <c r="D90" s="14">
        <v>1683</v>
      </c>
      <c r="E90" s="14">
        <v>20909</v>
      </c>
      <c r="F90" s="14">
        <v>943</v>
      </c>
      <c r="G90" s="14">
        <v>112574</v>
      </c>
      <c r="H90" s="14">
        <v>69</v>
      </c>
      <c r="I90" s="14">
        <v>0</v>
      </c>
      <c r="J90" s="2"/>
      <c r="M90" s="2"/>
    </row>
    <row r="91" spans="1:13" ht="14.25" customHeight="1">
      <c r="A91" s="2" t="s">
        <v>261</v>
      </c>
      <c r="B91" s="14">
        <v>1511</v>
      </c>
      <c r="C91" s="14">
        <v>40789</v>
      </c>
      <c r="D91" s="14">
        <v>9</v>
      </c>
      <c r="E91" s="14">
        <v>487</v>
      </c>
      <c r="F91" s="14">
        <v>2801</v>
      </c>
      <c r="G91" s="14">
        <v>15377</v>
      </c>
      <c r="H91" s="14">
        <v>477</v>
      </c>
      <c r="I91" s="14">
        <v>2733</v>
      </c>
      <c r="J91" s="2"/>
      <c r="M91" s="2"/>
    </row>
    <row r="92" spans="1:13" ht="14.25" customHeight="1">
      <c r="A92" s="2" t="s">
        <v>286</v>
      </c>
      <c r="B92" s="14">
        <v>1544</v>
      </c>
      <c r="C92" s="14">
        <v>12916</v>
      </c>
      <c r="D92" s="14">
        <v>10</v>
      </c>
      <c r="E92" s="14">
        <v>0</v>
      </c>
      <c r="F92" s="14">
        <v>0</v>
      </c>
      <c r="G92" s="14">
        <v>4895</v>
      </c>
      <c r="H92" s="14">
        <v>2</v>
      </c>
      <c r="I92" s="14">
        <v>5</v>
      </c>
      <c r="J92" s="2"/>
      <c r="M92" s="2"/>
    </row>
    <row r="93" spans="1:13" ht="14.25" customHeight="1">
      <c r="A93" s="2"/>
      <c r="B93" s="14"/>
      <c r="C93" s="14"/>
      <c r="D93" s="14"/>
      <c r="E93" s="14"/>
      <c r="F93" s="14"/>
      <c r="G93" s="14"/>
      <c r="H93" s="14"/>
      <c r="I93" s="14"/>
      <c r="J93" s="2"/>
      <c r="M93" s="2"/>
    </row>
    <row r="94" spans="1:13" ht="14.25" customHeight="1">
      <c r="A94" s="7" t="s">
        <v>105</v>
      </c>
      <c r="B94" s="15">
        <v>2768</v>
      </c>
      <c r="C94" s="15">
        <v>23345</v>
      </c>
      <c r="D94" s="15">
        <v>21</v>
      </c>
      <c r="E94" s="15">
        <v>487</v>
      </c>
      <c r="F94" s="15">
        <v>0</v>
      </c>
      <c r="G94" s="15">
        <v>17044</v>
      </c>
      <c r="H94" s="15">
        <v>90</v>
      </c>
      <c r="I94" s="15">
        <v>237</v>
      </c>
      <c r="J94" s="2"/>
      <c r="M94" s="2"/>
    </row>
    <row r="95" spans="1:13" s="287" customFormat="1" ht="14.25" customHeight="1">
      <c r="A95" s="7" t="s">
        <v>104</v>
      </c>
      <c r="B95" s="15">
        <v>3813.5617977528091</v>
      </c>
      <c r="C95" s="15">
        <v>37450.370786516854</v>
      </c>
      <c r="D95" s="15">
        <v>491.67415730337081</v>
      </c>
      <c r="E95" s="15">
        <v>2126.6067415730336</v>
      </c>
      <c r="F95" s="15">
        <v>1483.7303370786517</v>
      </c>
      <c r="G95" s="15">
        <v>24904.382022471909</v>
      </c>
      <c r="H95" s="15">
        <v>2061.7191011235955</v>
      </c>
      <c r="I95" s="15">
        <v>1399.1910112359551</v>
      </c>
      <c r="J95" s="7"/>
      <c r="K95" s="89"/>
      <c r="L95" s="89"/>
      <c r="M95" s="7"/>
    </row>
    <row r="96" spans="1:13" ht="14.25" customHeight="1">
      <c r="A96" s="7" t="s">
        <v>329</v>
      </c>
      <c r="B96" s="15">
        <v>339407</v>
      </c>
      <c r="C96" s="15">
        <v>3333083</v>
      </c>
      <c r="D96" s="15">
        <v>43759</v>
      </c>
      <c r="E96" s="15">
        <v>189268</v>
      </c>
      <c r="F96" s="15">
        <v>132052</v>
      </c>
      <c r="G96" s="15">
        <v>2216490</v>
      </c>
      <c r="H96" s="15">
        <v>183493</v>
      </c>
      <c r="I96" s="15">
        <v>124528</v>
      </c>
      <c r="J96" s="2"/>
      <c r="M96" s="2"/>
    </row>
    <row r="97" spans="1:13" ht="14.25" customHeight="1">
      <c r="A97" s="7"/>
      <c r="B97" s="15"/>
      <c r="C97" s="15"/>
      <c r="D97" s="15"/>
      <c r="E97" s="15"/>
      <c r="F97" s="15"/>
      <c r="G97" s="15"/>
      <c r="H97" s="15"/>
      <c r="I97" s="15"/>
      <c r="J97" s="2"/>
      <c r="M97" s="2"/>
    </row>
  </sheetData>
  <sortState xmlns:xlrd2="http://schemas.microsoft.com/office/spreadsheetml/2017/richdata2" ref="A4:F50">
    <sortCondition ref="A4"/>
  </sortState>
  <phoneticPr fontId="51" type="noConversion"/>
  <conditionalFormatting sqref="B4:D97 F4:I97">
    <cfRule type="cellIs" dxfId="76" priority="4" operator="equal">
      <formula>0</formula>
    </cfRule>
  </conditionalFormatting>
  <conditionalFormatting sqref="B4:I50">
    <cfRule type="cellIs" dxfId="75" priority="1" operator="lessThan">
      <formula>0</formula>
    </cfRule>
    <cfRule type="cellIs" dxfId="74" priority="2" operator="lessThan">
      <formula>0</formula>
    </cfRule>
  </conditionalFormatting>
  <conditionalFormatting sqref="E4:E50">
    <cfRule type="cellIs" dxfId="73" priority="3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BZ99"/>
  <sheetViews>
    <sheetView zoomScaleNormal="100" workbookViewId="0">
      <pane ySplit="3" topLeftCell="A85" activePane="bottomLeft" state="frozen"/>
      <selection pane="bottomLeft"/>
      <selection activeCell="G34" sqref="G34"/>
    </sheetView>
  </sheetViews>
  <sheetFormatPr defaultColWidth="18.7109375" defaultRowHeight="14.25" customHeight="1"/>
  <cols>
    <col min="2" max="4" width="18.7109375" style="20"/>
    <col min="18" max="18" width="18.7109375" style="117"/>
    <col min="24" max="78" width="18.7109375" style="117"/>
  </cols>
  <sheetData>
    <row r="1" spans="1:78" ht="15">
      <c r="A1" s="9" t="s">
        <v>377</v>
      </c>
      <c r="R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ht="15">
      <c r="A2" s="9"/>
      <c r="R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ht="27.75" customHeight="1">
      <c r="A3" s="7"/>
      <c r="B3" s="105" t="s">
        <v>378</v>
      </c>
      <c r="C3" s="105" t="s">
        <v>379</v>
      </c>
      <c r="D3" s="105" t="s">
        <v>380</v>
      </c>
      <c r="E3" s="105" t="s">
        <v>381</v>
      </c>
      <c r="F3" s="105" t="s">
        <v>382</v>
      </c>
      <c r="G3" s="105" t="s">
        <v>383</v>
      </c>
      <c r="H3" s="105" t="s">
        <v>384</v>
      </c>
      <c r="I3" s="105" t="s">
        <v>385</v>
      </c>
      <c r="R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ht="14.25" customHeight="1">
      <c r="A4" s="202" t="s">
        <v>346</v>
      </c>
      <c r="B4" s="231">
        <v>136</v>
      </c>
      <c r="C4" s="231">
        <v>18483</v>
      </c>
      <c r="D4" s="231">
        <v>998</v>
      </c>
      <c r="E4" s="231">
        <v>0</v>
      </c>
      <c r="F4" s="231">
        <v>0</v>
      </c>
      <c r="G4" s="231">
        <v>7233</v>
      </c>
      <c r="H4" s="231">
        <v>10759</v>
      </c>
      <c r="I4" s="231">
        <v>100727</v>
      </c>
      <c r="R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ht="14.25" customHeight="1">
      <c r="A5" s="202" t="s">
        <v>278</v>
      </c>
      <c r="B5" s="231">
        <v>0</v>
      </c>
      <c r="C5" s="231">
        <v>6889</v>
      </c>
      <c r="D5" s="231">
        <v>0</v>
      </c>
      <c r="E5" s="231">
        <v>0</v>
      </c>
      <c r="F5" s="231">
        <v>40</v>
      </c>
      <c r="G5" s="231">
        <v>13792</v>
      </c>
      <c r="H5" s="231">
        <v>8226</v>
      </c>
      <c r="I5" s="231">
        <v>35627</v>
      </c>
      <c r="R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14.25" customHeight="1">
      <c r="A6" s="202" t="s">
        <v>123</v>
      </c>
      <c r="B6" s="231">
        <v>2</v>
      </c>
      <c r="C6" s="231">
        <v>158</v>
      </c>
      <c r="D6" s="231">
        <v>2</v>
      </c>
      <c r="E6" s="231">
        <v>24</v>
      </c>
      <c r="F6" s="231">
        <v>32</v>
      </c>
      <c r="G6" s="231">
        <v>13</v>
      </c>
      <c r="H6" s="231">
        <v>306</v>
      </c>
      <c r="I6" s="231">
        <v>144</v>
      </c>
      <c r="R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14.25" customHeight="1">
      <c r="A7" s="202" t="s">
        <v>124</v>
      </c>
      <c r="B7" s="231">
        <v>247</v>
      </c>
      <c r="C7" s="231">
        <v>12644</v>
      </c>
      <c r="D7" s="231">
        <v>0</v>
      </c>
      <c r="E7" s="231">
        <v>0</v>
      </c>
      <c r="F7" s="231">
        <v>108</v>
      </c>
      <c r="G7" s="231">
        <v>11232</v>
      </c>
      <c r="H7" s="231">
        <v>5827</v>
      </c>
      <c r="I7" s="231">
        <v>64306</v>
      </c>
      <c r="R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14.25" customHeight="1">
      <c r="A8" s="202" t="s">
        <v>126</v>
      </c>
      <c r="B8" s="231">
        <v>1398</v>
      </c>
      <c r="C8" s="231">
        <v>13622</v>
      </c>
      <c r="D8" s="231">
        <v>11927</v>
      </c>
      <c r="E8" s="231">
        <v>0</v>
      </c>
      <c r="F8" s="231">
        <v>0</v>
      </c>
      <c r="G8" s="231">
        <v>5441</v>
      </c>
      <c r="H8" s="231">
        <v>18827</v>
      </c>
      <c r="I8" s="231">
        <v>115151</v>
      </c>
      <c r="R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14.25" customHeight="1">
      <c r="A9" s="202" t="s">
        <v>127</v>
      </c>
      <c r="B9" s="231">
        <v>425</v>
      </c>
      <c r="C9" s="231">
        <v>4122</v>
      </c>
      <c r="D9" s="231">
        <v>0</v>
      </c>
      <c r="E9" s="231">
        <v>0</v>
      </c>
      <c r="F9" s="231">
        <v>19</v>
      </c>
      <c r="G9" s="231">
        <v>1311</v>
      </c>
      <c r="H9" s="231">
        <v>4769</v>
      </c>
      <c r="I9" s="231">
        <v>65158</v>
      </c>
      <c r="R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t="14.25" customHeight="1">
      <c r="A10" s="202" t="s">
        <v>305</v>
      </c>
      <c r="B10" s="231">
        <v>0</v>
      </c>
      <c r="C10" s="231">
        <v>1005</v>
      </c>
      <c r="D10" s="231">
        <v>0</v>
      </c>
      <c r="E10" s="231">
        <v>0</v>
      </c>
      <c r="F10" s="231">
        <v>0</v>
      </c>
      <c r="G10" s="231">
        <v>1189</v>
      </c>
      <c r="H10" s="231">
        <v>223</v>
      </c>
      <c r="I10" s="231">
        <v>6025</v>
      </c>
      <c r="R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t="14.25" customHeight="1">
      <c r="A11" s="202" t="s">
        <v>133</v>
      </c>
      <c r="B11" s="231">
        <v>1288</v>
      </c>
      <c r="C11" s="231">
        <v>18890</v>
      </c>
      <c r="D11" s="231">
        <v>45874</v>
      </c>
      <c r="E11" s="231">
        <v>0</v>
      </c>
      <c r="F11" s="231">
        <v>0</v>
      </c>
      <c r="G11" s="231">
        <v>16983</v>
      </c>
      <c r="H11" s="231">
        <v>73788</v>
      </c>
      <c r="I11" s="231">
        <v>180163</v>
      </c>
      <c r="R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t="14.25" customHeight="1">
      <c r="A12" s="202" t="s">
        <v>137</v>
      </c>
      <c r="B12" s="231">
        <v>520</v>
      </c>
      <c r="C12" s="231">
        <v>17725</v>
      </c>
      <c r="D12" s="231">
        <v>0</v>
      </c>
      <c r="E12" s="231">
        <v>0</v>
      </c>
      <c r="F12" s="231">
        <v>12</v>
      </c>
      <c r="G12" s="231">
        <v>4755</v>
      </c>
      <c r="H12" s="231">
        <v>21132</v>
      </c>
      <c r="I12" s="231">
        <v>115021</v>
      </c>
      <c r="R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t="14.25" customHeight="1">
      <c r="A13" s="202" t="s">
        <v>139</v>
      </c>
      <c r="B13" s="231">
        <v>0</v>
      </c>
      <c r="C13" s="231">
        <v>188</v>
      </c>
      <c r="D13" s="231">
        <v>0</v>
      </c>
      <c r="E13" s="231">
        <v>0</v>
      </c>
      <c r="F13" s="231">
        <v>0</v>
      </c>
      <c r="G13" s="231">
        <v>0</v>
      </c>
      <c r="H13" s="231">
        <v>93</v>
      </c>
      <c r="I13" s="231">
        <v>3054</v>
      </c>
      <c r="R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t="14.25" customHeight="1">
      <c r="A14" s="202" t="s">
        <v>142</v>
      </c>
      <c r="B14" s="231">
        <v>3</v>
      </c>
      <c r="C14" s="231">
        <v>5540</v>
      </c>
      <c r="D14" s="231">
        <v>0</v>
      </c>
      <c r="E14" s="231">
        <v>0</v>
      </c>
      <c r="F14" s="231">
        <v>0</v>
      </c>
      <c r="G14" s="231">
        <v>5064</v>
      </c>
      <c r="H14" s="231">
        <v>586</v>
      </c>
      <c r="I14" s="231">
        <v>13630</v>
      </c>
      <c r="R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t="14.25" customHeight="1">
      <c r="A15" s="202" t="s">
        <v>144</v>
      </c>
      <c r="B15" s="231">
        <v>1610</v>
      </c>
      <c r="C15" s="231">
        <v>2656</v>
      </c>
      <c r="D15" s="231">
        <v>18516</v>
      </c>
      <c r="E15" s="231">
        <v>0</v>
      </c>
      <c r="F15" s="231">
        <v>0</v>
      </c>
      <c r="G15" s="231">
        <v>6218</v>
      </c>
      <c r="H15" s="231">
        <v>19962</v>
      </c>
      <c r="I15" s="231">
        <v>41940</v>
      </c>
      <c r="R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t="14.25" customHeight="1">
      <c r="A16" s="202" t="s">
        <v>148</v>
      </c>
      <c r="B16" s="231">
        <v>368</v>
      </c>
      <c r="C16" s="231">
        <v>4728</v>
      </c>
      <c r="D16" s="231">
        <v>0</v>
      </c>
      <c r="E16" s="231">
        <v>0</v>
      </c>
      <c r="F16" s="231">
        <v>1</v>
      </c>
      <c r="G16" s="231">
        <v>2195</v>
      </c>
      <c r="H16" s="231">
        <v>17116</v>
      </c>
      <c r="I16" s="231">
        <v>20673</v>
      </c>
      <c r="R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ht="14.25" customHeight="1">
      <c r="A17" s="202" t="s">
        <v>149</v>
      </c>
      <c r="B17" s="231">
        <v>14340</v>
      </c>
      <c r="C17" s="231">
        <v>17650</v>
      </c>
      <c r="D17" s="231">
        <v>5639</v>
      </c>
      <c r="E17" s="231">
        <v>0</v>
      </c>
      <c r="F17" s="231">
        <v>9</v>
      </c>
      <c r="G17" s="231">
        <v>2668</v>
      </c>
      <c r="H17" s="231">
        <v>17834</v>
      </c>
      <c r="I17" s="231">
        <v>77207</v>
      </c>
      <c r="R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t="14.25" customHeight="1">
      <c r="A18" s="202" t="s">
        <v>151</v>
      </c>
      <c r="B18" s="231">
        <v>3410</v>
      </c>
      <c r="C18" s="231">
        <v>6748</v>
      </c>
      <c r="D18" s="231">
        <v>11728</v>
      </c>
      <c r="E18" s="231">
        <v>0</v>
      </c>
      <c r="F18" s="231">
        <v>6</v>
      </c>
      <c r="G18" s="231">
        <v>6306</v>
      </c>
      <c r="H18" s="231">
        <v>37340</v>
      </c>
      <c r="I18" s="231">
        <v>81302</v>
      </c>
      <c r="R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14.25" customHeight="1">
      <c r="A19" s="202" t="s">
        <v>152</v>
      </c>
      <c r="B19" s="231">
        <v>3568</v>
      </c>
      <c r="C19" s="231">
        <v>14045</v>
      </c>
      <c r="D19" s="231">
        <v>20198</v>
      </c>
      <c r="E19" s="231">
        <v>0</v>
      </c>
      <c r="F19" s="231">
        <v>0</v>
      </c>
      <c r="G19" s="231">
        <v>0</v>
      </c>
      <c r="H19" s="231">
        <v>53584</v>
      </c>
      <c r="I19" s="231">
        <v>187686</v>
      </c>
      <c r="R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t="14.25" customHeight="1">
      <c r="A20" s="202" t="s">
        <v>154</v>
      </c>
      <c r="B20" s="231">
        <v>75</v>
      </c>
      <c r="C20" s="231">
        <v>43451</v>
      </c>
      <c r="D20" s="231">
        <v>567</v>
      </c>
      <c r="E20" s="231">
        <v>268</v>
      </c>
      <c r="F20" s="231">
        <v>438</v>
      </c>
      <c r="G20" s="231">
        <v>0</v>
      </c>
      <c r="H20" s="231">
        <v>37767</v>
      </c>
      <c r="I20" s="231">
        <v>530979</v>
      </c>
      <c r="R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t="14.25" customHeight="1">
      <c r="A21" s="202" t="s">
        <v>347</v>
      </c>
      <c r="B21" s="231">
        <v>373</v>
      </c>
      <c r="C21" s="231">
        <v>36506</v>
      </c>
      <c r="D21" s="231">
        <v>0</v>
      </c>
      <c r="E21" s="231">
        <v>0</v>
      </c>
      <c r="F21" s="231">
        <v>301</v>
      </c>
      <c r="G21" s="231">
        <v>17793</v>
      </c>
      <c r="H21" s="231">
        <v>2749</v>
      </c>
      <c r="I21" s="231">
        <v>83069</v>
      </c>
      <c r="R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t="14.25" customHeight="1">
      <c r="A22" s="202" t="s">
        <v>312</v>
      </c>
      <c r="B22" s="231">
        <v>0</v>
      </c>
      <c r="C22" s="231">
        <v>15410</v>
      </c>
      <c r="D22" s="231">
        <v>393</v>
      </c>
      <c r="E22" s="231">
        <v>0</v>
      </c>
      <c r="F22" s="231">
        <v>21</v>
      </c>
      <c r="G22" s="231">
        <v>5173</v>
      </c>
      <c r="H22" s="231">
        <v>10326</v>
      </c>
      <c r="I22" s="231">
        <v>163769</v>
      </c>
      <c r="R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t="14.25" customHeight="1">
      <c r="A23" s="202" t="s">
        <v>155</v>
      </c>
      <c r="B23" s="231">
        <v>3736</v>
      </c>
      <c r="C23" s="231">
        <v>14927</v>
      </c>
      <c r="D23" s="231">
        <v>0</v>
      </c>
      <c r="E23" s="231">
        <v>0</v>
      </c>
      <c r="F23" s="231">
        <v>0</v>
      </c>
      <c r="G23" s="231">
        <v>0</v>
      </c>
      <c r="H23" s="231">
        <v>2532</v>
      </c>
      <c r="I23" s="231">
        <v>35127</v>
      </c>
      <c r="R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14.25" customHeight="1">
      <c r="A24" s="202" t="s">
        <v>348</v>
      </c>
      <c r="B24" s="231">
        <v>5788</v>
      </c>
      <c r="C24" s="231">
        <v>30669</v>
      </c>
      <c r="D24" s="231">
        <v>0</v>
      </c>
      <c r="E24" s="231">
        <v>30</v>
      </c>
      <c r="F24" s="231">
        <v>615</v>
      </c>
      <c r="G24" s="231">
        <v>9483</v>
      </c>
      <c r="H24" s="231">
        <v>3543</v>
      </c>
      <c r="I24" s="231">
        <v>86450</v>
      </c>
      <c r="R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14.25" customHeight="1">
      <c r="A25" s="202" t="s">
        <v>158</v>
      </c>
      <c r="B25" s="231">
        <v>0</v>
      </c>
      <c r="C25" s="231">
        <v>771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2160</v>
      </c>
      <c r="R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14.25" customHeight="1">
      <c r="A26" s="202" t="s">
        <v>160</v>
      </c>
      <c r="B26" s="231">
        <v>259</v>
      </c>
      <c r="C26" s="231">
        <v>14768</v>
      </c>
      <c r="D26" s="231">
        <v>934</v>
      </c>
      <c r="E26" s="231">
        <v>0</v>
      </c>
      <c r="F26" s="231">
        <v>2</v>
      </c>
      <c r="G26" s="231">
        <v>10191</v>
      </c>
      <c r="H26" s="231">
        <v>11980</v>
      </c>
      <c r="I26" s="231">
        <v>85236</v>
      </c>
      <c r="R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t="14.25" customHeight="1">
      <c r="A27" s="202" t="s">
        <v>165</v>
      </c>
      <c r="B27" s="231">
        <v>4129</v>
      </c>
      <c r="C27" s="231">
        <v>19865</v>
      </c>
      <c r="D27" s="231">
        <v>29189</v>
      </c>
      <c r="E27" s="231">
        <v>108</v>
      </c>
      <c r="F27" s="231">
        <v>14</v>
      </c>
      <c r="G27" s="231">
        <v>0</v>
      </c>
      <c r="H27" s="231">
        <v>29697</v>
      </c>
      <c r="I27" s="231">
        <v>33685</v>
      </c>
      <c r="R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ht="14.25" customHeight="1">
      <c r="A28" s="202" t="s">
        <v>168</v>
      </c>
      <c r="B28" s="231">
        <v>0</v>
      </c>
      <c r="C28" s="231">
        <v>1144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14041</v>
      </c>
      <c r="R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ht="14.25" customHeight="1">
      <c r="A29" s="202" t="s">
        <v>169</v>
      </c>
      <c r="B29" s="231">
        <v>0</v>
      </c>
      <c r="C29" s="231">
        <v>8904</v>
      </c>
      <c r="D29" s="231">
        <v>0</v>
      </c>
      <c r="E29" s="231">
        <v>0</v>
      </c>
      <c r="F29" s="231">
        <v>0</v>
      </c>
      <c r="G29" s="231">
        <v>0</v>
      </c>
      <c r="H29" s="231">
        <v>2131</v>
      </c>
      <c r="I29" s="231">
        <v>68076</v>
      </c>
      <c r="R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14.25" customHeight="1">
      <c r="A30" s="202" t="s">
        <v>170</v>
      </c>
      <c r="B30" s="231">
        <v>2042</v>
      </c>
      <c r="C30" s="231">
        <v>3677</v>
      </c>
      <c r="D30" s="231">
        <v>26655</v>
      </c>
      <c r="E30" s="231">
        <v>0</v>
      </c>
      <c r="F30" s="231">
        <v>0</v>
      </c>
      <c r="G30" s="231">
        <v>7441</v>
      </c>
      <c r="H30" s="231">
        <v>21520</v>
      </c>
      <c r="I30" s="231">
        <v>56993</v>
      </c>
      <c r="R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t="14.25" customHeight="1">
      <c r="A31" s="202" t="s">
        <v>173</v>
      </c>
      <c r="B31" s="231">
        <v>3010</v>
      </c>
      <c r="C31" s="231">
        <v>9434</v>
      </c>
      <c r="D31" s="231">
        <v>40003</v>
      </c>
      <c r="E31" s="231">
        <v>0</v>
      </c>
      <c r="F31" s="231">
        <v>7</v>
      </c>
      <c r="G31" s="231">
        <v>29452</v>
      </c>
      <c r="H31" s="231">
        <v>26911</v>
      </c>
      <c r="I31" s="231">
        <v>114783</v>
      </c>
      <c r="R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ht="14.25" customHeight="1">
      <c r="A32" s="202" t="s">
        <v>280</v>
      </c>
      <c r="B32" s="231">
        <v>2</v>
      </c>
      <c r="C32" s="231">
        <v>2884</v>
      </c>
      <c r="D32" s="231">
        <v>4</v>
      </c>
      <c r="E32" s="231">
        <v>0</v>
      </c>
      <c r="F32" s="231">
        <v>71</v>
      </c>
      <c r="G32" s="231">
        <v>2825</v>
      </c>
      <c r="H32" s="231">
        <v>338</v>
      </c>
      <c r="I32" s="231">
        <v>10735</v>
      </c>
      <c r="R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t="14.25" customHeight="1">
      <c r="A33" s="202" t="s">
        <v>176</v>
      </c>
      <c r="B33" s="231">
        <v>0</v>
      </c>
      <c r="C33" s="231">
        <v>9650</v>
      </c>
      <c r="D33" s="231">
        <v>0</v>
      </c>
      <c r="E33" s="231">
        <v>0</v>
      </c>
      <c r="F33" s="231">
        <v>52</v>
      </c>
      <c r="G33" s="231">
        <v>4059</v>
      </c>
      <c r="H33" s="231">
        <v>2852</v>
      </c>
      <c r="I33" s="231">
        <v>34372</v>
      </c>
      <c r="R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t="14.25" customHeight="1">
      <c r="A34" s="202" t="s">
        <v>316</v>
      </c>
      <c r="B34" s="231">
        <v>0</v>
      </c>
      <c r="C34" s="231">
        <v>1874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2020</v>
      </c>
      <c r="R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ht="14.25" customHeight="1">
      <c r="A35" s="202" t="s">
        <v>179</v>
      </c>
      <c r="B35" s="231">
        <v>0</v>
      </c>
      <c r="C35" s="231">
        <v>978</v>
      </c>
      <c r="D35" s="231">
        <v>0</v>
      </c>
      <c r="E35" s="231">
        <v>0</v>
      </c>
      <c r="F35" s="231">
        <v>24</v>
      </c>
      <c r="G35" s="231">
        <v>1624</v>
      </c>
      <c r="H35" s="231">
        <v>793</v>
      </c>
      <c r="I35" s="231">
        <v>3129</v>
      </c>
      <c r="R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ht="14.25" customHeight="1">
      <c r="A36" s="202" t="s">
        <v>182</v>
      </c>
      <c r="B36" s="231">
        <v>21764</v>
      </c>
      <c r="C36" s="231">
        <v>10895</v>
      </c>
      <c r="D36" s="231">
        <v>40</v>
      </c>
      <c r="E36" s="231">
        <v>0</v>
      </c>
      <c r="F36" s="231">
        <v>0</v>
      </c>
      <c r="G36" s="231">
        <v>5291</v>
      </c>
      <c r="H36" s="231">
        <v>4612</v>
      </c>
      <c r="I36" s="231">
        <v>33759</v>
      </c>
      <c r="R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t="14.25" customHeight="1">
      <c r="A37" s="202" t="s">
        <v>317</v>
      </c>
      <c r="B37" s="231">
        <v>2902</v>
      </c>
      <c r="C37" s="231">
        <v>9565</v>
      </c>
      <c r="D37" s="231">
        <v>22469</v>
      </c>
      <c r="E37" s="231">
        <v>0</v>
      </c>
      <c r="F37" s="231">
        <v>0</v>
      </c>
      <c r="G37" s="231">
        <v>2981</v>
      </c>
      <c r="H37" s="231">
        <v>25534</v>
      </c>
      <c r="I37" s="231">
        <v>405574</v>
      </c>
      <c r="R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ht="14.25" customHeight="1">
      <c r="A38" s="202" t="s">
        <v>185</v>
      </c>
      <c r="B38" s="231">
        <v>0</v>
      </c>
      <c r="C38" s="231">
        <v>2808</v>
      </c>
      <c r="D38" s="231">
        <v>0</v>
      </c>
      <c r="E38" s="231">
        <v>0</v>
      </c>
      <c r="F38" s="231">
        <v>0</v>
      </c>
      <c r="G38" s="231">
        <v>0</v>
      </c>
      <c r="H38" s="231">
        <v>338</v>
      </c>
      <c r="I38" s="231">
        <v>20131</v>
      </c>
      <c r="R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ht="14.25" customHeight="1">
      <c r="A39" s="202" t="s">
        <v>186</v>
      </c>
      <c r="B39" s="231">
        <v>1988</v>
      </c>
      <c r="C39" s="231">
        <v>14242</v>
      </c>
      <c r="D39" s="231">
        <v>23171</v>
      </c>
      <c r="E39" s="231">
        <v>0</v>
      </c>
      <c r="F39" s="231">
        <v>2</v>
      </c>
      <c r="G39" s="231">
        <v>20575</v>
      </c>
      <c r="H39" s="231">
        <v>33176</v>
      </c>
      <c r="I39" s="231">
        <v>444863</v>
      </c>
      <c r="R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ht="14.25" customHeight="1">
      <c r="A40" s="202" t="s">
        <v>282</v>
      </c>
      <c r="B40" s="231">
        <v>2192</v>
      </c>
      <c r="C40" s="231">
        <v>10406</v>
      </c>
      <c r="D40" s="231">
        <v>27583</v>
      </c>
      <c r="E40" s="231">
        <v>0</v>
      </c>
      <c r="F40" s="231">
        <v>96</v>
      </c>
      <c r="G40" s="231">
        <v>0</v>
      </c>
      <c r="H40" s="231">
        <v>57475</v>
      </c>
      <c r="I40" s="231">
        <v>674848</v>
      </c>
      <c r="R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ht="14.25" customHeight="1">
      <c r="A41" s="202" t="s">
        <v>190</v>
      </c>
      <c r="B41" s="231">
        <v>4166</v>
      </c>
      <c r="C41" s="231">
        <v>5200</v>
      </c>
      <c r="D41" s="231">
        <v>337</v>
      </c>
      <c r="E41" s="231">
        <v>0</v>
      </c>
      <c r="F41" s="231">
        <v>25</v>
      </c>
      <c r="G41" s="231">
        <v>0</v>
      </c>
      <c r="H41" s="231">
        <v>5887</v>
      </c>
      <c r="I41" s="231">
        <v>19100</v>
      </c>
      <c r="R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ht="14.25" customHeight="1">
      <c r="A42" s="202" t="s">
        <v>192</v>
      </c>
      <c r="B42" s="231">
        <v>167</v>
      </c>
      <c r="C42" s="231">
        <v>12380</v>
      </c>
      <c r="D42" s="231">
        <v>0</v>
      </c>
      <c r="E42" s="231">
        <v>0</v>
      </c>
      <c r="F42" s="231">
        <v>0</v>
      </c>
      <c r="G42" s="231">
        <v>5509</v>
      </c>
      <c r="H42" s="231">
        <v>2877</v>
      </c>
      <c r="I42" s="231">
        <v>55014</v>
      </c>
      <c r="R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t="14.25" customHeight="1">
      <c r="A43" s="202" t="s">
        <v>193</v>
      </c>
      <c r="B43" s="231">
        <v>19</v>
      </c>
      <c r="C43" s="231">
        <v>6588</v>
      </c>
      <c r="D43" s="231">
        <v>1190</v>
      </c>
      <c r="E43" s="231">
        <v>0</v>
      </c>
      <c r="F43" s="231">
        <v>0</v>
      </c>
      <c r="G43" s="231">
        <v>151</v>
      </c>
      <c r="H43" s="231">
        <v>2864</v>
      </c>
      <c r="I43" s="231">
        <v>52486</v>
      </c>
      <c r="R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t="14.25" customHeight="1">
      <c r="A44" s="202" t="s">
        <v>318</v>
      </c>
      <c r="B44" s="231">
        <v>751</v>
      </c>
      <c r="C44" s="231">
        <v>11411</v>
      </c>
      <c r="D44" s="231">
        <v>8756</v>
      </c>
      <c r="E44" s="231">
        <v>0</v>
      </c>
      <c r="F44" s="231">
        <v>2</v>
      </c>
      <c r="G44" s="231">
        <v>10629</v>
      </c>
      <c r="H44" s="231">
        <v>51683</v>
      </c>
      <c r="I44" s="231">
        <v>275933</v>
      </c>
      <c r="R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t="14.25" customHeight="1">
      <c r="A45" s="202" t="s">
        <v>196</v>
      </c>
      <c r="B45" s="231">
        <v>0</v>
      </c>
      <c r="C45" s="231">
        <v>732</v>
      </c>
      <c r="D45" s="231">
        <v>3</v>
      </c>
      <c r="E45" s="231">
        <v>0</v>
      </c>
      <c r="F45" s="231">
        <v>18</v>
      </c>
      <c r="G45" s="231">
        <v>0</v>
      </c>
      <c r="H45" s="231">
        <v>73</v>
      </c>
      <c r="I45" s="231">
        <v>3795</v>
      </c>
      <c r="R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t="14.25" customHeight="1">
      <c r="A46" s="202" t="s">
        <v>198</v>
      </c>
      <c r="B46" s="231">
        <v>0</v>
      </c>
      <c r="C46" s="231">
        <v>34569</v>
      </c>
      <c r="D46" s="231">
        <v>0</v>
      </c>
      <c r="E46" s="231">
        <v>63</v>
      </c>
      <c r="F46" s="231">
        <v>864</v>
      </c>
      <c r="G46" s="231">
        <v>30741</v>
      </c>
      <c r="H46" s="231">
        <v>10985</v>
      </c>
      <c r="I46" s="231">
        <v>298457</v>
      </c>
      <c r="R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ht="14.25" customHeight="1">
      <c r="A47" s="202" t="s">
        <v>199</v>
      </c>
      <c r="B47" s="231">
        <v>2325</v>
      </c>
      <c r="C47" s="231">
        <v>9283</v>
      </c>
      <c r="D47" s="231">
        <v>7574</v>
      </c>
      <c r="E47" s="231">
        <v>0</v>
      </c>
      <c r="F47" s="231">
        <v>0</v>
      </c>
      <c r="G47" s="231">
        <v>0</v>
      </c>
      <c r="H47" s="231">
        <v>33795</v>
      </c>
      <c r="I47" s="231">
        <v>125512</v>
      </c>
      <c r="R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t="14.25" customHeight="1">
      <c r="A48" s="202" t="s">
        <v>202</v>
      </c>
      <c r="B48" s="231">
        <v>359</v>
      </c>
      <c r="C48" s="231">
        <v>3445</v>
      </c>
      <c r="D48" s="231">
        <v>0</v>
      </c>
      <c r="E48" s="231">
        <v>0</v>
      </c>
      <c r="F48" s="231">
        <v>198</v>
      </c>
      <c r="G48" s="231">
        <v>5562</v>
      </c>
      <c r="H48" s="231">
        <v>912</v>
      </c>
      <c r="I48" s="231">
        <v>9494</v>
      </c>
      <c r="R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14.25" customHeight="1">
      <c r="A49" s="202" t="s">
        <v>203</v>
      </c>
      <c r="B49" s="231">
        <v>3160</v>
      </c>
      <c r="C49" s="231">
        <v>14047</v>
      </c>
      <c r="D49" s="231">
        <v>20554</v>
      </c>
      <c r="E49" s="231">
        <v>0</v>
      </c>
      <c r="F49" s="231">
        <v>20</v>
      </c>
      <c r="G49" s="231">
        <v>24596</v>
      </c>
      <c r="H49" s="231">
        <v>69362</v>
      </c>
      <c r="I49" s="231">
        <v>116929</v>
      </c>
      <c r="R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t="14.25" customHeight="1">
      <c r="A50" s="2" t="s">
        <v>319</v>
      </c>
      <c r="B50" s="231">
        <v>179</v>
      </c>
      <c r="C50" s="231">
        <v>16026</v>
      </c>
      <c r="D50" s="231">
        <v>0</v>
      </c>
      <c r="E50" s="231">
        <v>0</v>
      </c>
      <c r="F50" s="231">
        <v>815</v>
      </c>
      <c r="G50" s="231">
        <v>14995</v>
      </c>
      <c r="H50" s="231">
        <v>7995</v>
      </c>
      <c r="I50" s="231">
        <v>115207</v>
      </c>
      <c r="R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14.25" customHeight="1">
      <c r="A51" s="2" t="s">
        <v>206</v>
      </c>
      <c r="B51" s="33">
        <v>67</v>
      </c>
      <c r="C51" s="33">
        <v>8134</v>
      </c>
      <c r="D51" s="33">
        <v>160</v>
      </c>
      <c r="E51" s="14">
        <v>0</v>
      </c>
      <c r="F51" s="14">
        <v>0</v>
      </c>
      <c r="G51" s="14">
        <v>4628</v>
      </c>
      <c r="H51" s="14">
        <v>10243</v>
      </c>
      <c r="I51" s="14">
        <v>105592</v>
      </c>
      <c r="R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14.25" customHeight="1">
      <c r="A52" s="2" t="s">
        <v>207</v>
      </c>
      <c r="B52" s="33">
        <v>813</v>
      </c>
      <c r="C52" s="33">
        <v>55546</v>
      </c>
      <c r="D52" s="33">
        <v>0</v>
      </c>
      <c r="E52" s="14">
        <v>70</v>
      </c>
      <c r="F52" s="14">
        <v>685</v>
      </c>
      <c r="G52" s="14">
        <v>30907</v>
      </c>
      <c r="H52" s="14">
        <v>10515</v>
      </c>
      <c r="I52" s="14">
        <v>122481</v>
      </c>
      <c r="R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14.25" customHeight="1">
      <c r="A53" s="2" t="s">
        <v>208</v>
      </c>
      <c r="B53" s="33">
        <v>14</v>
      </c>
      <c r="C53" s="33">
        <v>7080</v>
      </c>
      <c r="D53" s="33">
        <v>0</v>
      </c>
      <c r="E53" s="14">
        <v>0</v>
      </c>
      <c r="F53" s="14">
        <v>0</v>
      </c>
      <c r="G53" s="14">
        <v>3385</v>
      </c>
      <c r="H53" s="14">
        <v>2752</v>
      </c>
      <c r="I53" s="14">
        <v>33859</v>
      </c>
      <c r="R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14.25" customHeight="1">
      <c r="A54" s="2" t="s">
        <v>210</v>
      </c>
      <c r="B54" s="33">
        <v>277</v>
      </c>
      <c r="C54" s="33">
        <v>5073</v>
      </c>
      <c r="D54" s="33">
        <v>3</v>
      </c>
      <c r="E54" s="14">
        <v>0</v>
      </c>
      <c r="F54" s="14">
        <v>0</v>
      </c>
      <c r="G54" s="14">
        <v>1624</v>
      </c>
      <c r="H54" s="14">
        <v>15317</v>
      </c>
      <c r="I54" s="14">
        <v>95607</v>
      </c>
      <c r="R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t="14.25" customHeight="1">
      <c r="A55" s="2" t="s">
        <v>349</v>
      </c>
      <c r="B55" s="33">
        <v>0</v>
      </c>
      <c r="C55" s="33">
        <v>1710</v>
      </c>
      <c r="D55" s="33">
        <v>0</v>
      </c>
      <c r="E55" s="14">
        <v>0</v>
      </c>
      <c r="F55" s="14">
        <v>0</v>
      </c>
      <c r="G55" s="14">
        <v>259</v>
      </c>
      <c r="H55" s="14">
        <v>86</v>
      </c>
      <c r="I55" s="14">
        <v>24257</v>
      </c>
      <c r="R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14.25" customHeight="1">
      <c r="A56" s="2" t="s">
        <v>213</v>
      </c>
      <c r="B56" s="33">
        <v>608</v>
      </c>
      <c r="C56" s="33">
        <v>3036</v>
      </c>
      <c r="D56" s="33">
        <v>0</v>
      </c>
      <c r="E56" s="14">
        <v>0</v>
      </c>
      <c r="F56" s="14">
        <v>0</v>
      </c>
      <c r="G56" s="14">
        <v>0</v>
      </c>
      <c r="H56" s="14">
        <v>985</v>
      </c>
      <c r="I56" s="14">
        <v>8151</v>
      </c>
      <c r="R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t="14.25" customHeight="1">
      <c r="A57" s="2" t="s">
        <v>357</v>
      </c>
      <c r="B57" s="33">
        <v>21</v>
      </c>
      <c r="C57" s="33">
        <v>4898</v>
      </c>
      <c r="D57" s="33">
        <v>364</v>
      </c>
      <c r="E57" s="14">
        <v>25</v>
      </c>
      <c r="F57" s="14">
        <v>76</v>
      </c>
      <c r="G57" s="14">
        <v>1256</v>
      </c>
      <c r="H57" s="14">
        <v>1719</v>
      </c>
      <c r="I57" s="14">
        <v>4326</v>
      </c>
      <c r="R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14.25" customHeight="1">
      <c r="A58" s="2" t="s">
        <v>218</v>
      </c>
      <c r="B58" s="33">
        <v>0</v>
      </c>
      <c r="C58" s="33">
        <v>51745</v>
      </c>
      <c r="D58" s="33">
        <v>3665</v>
      </c>
      <c r="E58" s="14">
        <v>0</v>
      </c>
      <c r="F58" s="14">
        <v>0</v>
      </c>
      <c r="G58" s="14">
        <v>40041</v>
      </c>
      <c r="H58" s="14">
        <v>18984</v>
      </c>
      <c r="I58" s="14">
        <v>445710</v>
      </c>
      <c r="R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ht="14.25" customHeight="1">
      <c r="A59" s="2" t="s">
        <v>219</v>
      </c>
      <c r="B59" s="33">
        <v>3120</v>
      </c>
      <c r="C59" s="33">
        <v>6127</v>
      </c>
      <c r="D59" s="33">
        <v>145</v>
      </c>
      <c r="E59" s="14">
        <v>0</v>
      </c>
      <c r="F59" s="14">
        <v>0</v>
      </c>
      <c r="G59" s="14">
        <v>0</v>
      </c>
      <c r="H59" s="14">
        <v>17929</v>
      </c>
      <c r="I59" s="14">
        <v>162611</v>
      </c>
      <c r="R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14.25" customHeight="1">
      <c r="A60" s="2" t="s">
        <v>320</v>
      </c>
      <c r="B60" s="33">
        <v>0</v>
      </c>
      <c r="C60" s="33">
        <v>3321</v>
      </c>
      <c r="D60" s="33">
        <v>0</v>
      </c>
      <c r="E60" s="14">
        <v>0</v>
      </c>
      <c r="F60" s="14">
        <v>31</v>
      </c>
      <c r="G60" s="14">
        <v>4646</v>
      </c>
      <c r="H60" s="14">
        <v>524</v>
      </c>
      <c r="I60" s="14">
        <v>14463</v>
      </c>
      <c r="R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14.25" customHeight="1">
      <c r="A61" s="2" t="s">
        <v>220</v>
      </c>
      <c r="B61" s="33">
        <v>516</v>
      </c>
      <c r="C61" s="33">
        <v>17933</v>
      </c>
      <c r="D61" s="33">
        <v>0</v>
      </c>
      <c r="E61" s="14">
        <v>4</v>
      </c>
      <c r="F61" s="14">
        <v>134</v>
      </c>
      <c r="G61" s="14">
        <v>28241</v>
      </c>
      <c r="H61" s="14">
        <v>62459</v>
      </c>
      <c r="I61" s="14">
        <v>526892</v>
      </c>
      <c r="R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ht="14.25" customHeight="1">
      <c r="A62" s="2" t="s">
        <v>283</v>
      </c>
      <c r="B62" s="33">
        <v>0</v>
      </c>
      <c r="C62" s="33">
        <v>190</v>
      </c>
      <c r="D62" s="33">
        <v>0</v>
      </c>
      <c r="E62" s="14">
        <v>0</v>
      </c>
      <c r="F62" s="14">
        <v>0</v>
      </c>
      <c r="G62" s="14">
        <v>0</v>
      </c>
      <c r="H62" s="14">
        <v>241</v>
      </c>
      <c r="I62" s="14">
        <v>3991</v>
      </c>
      <c r="R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t="14.25" customHeight="1">
      <c r="A63" s="2" t="s">
        <v>223</v>
      </c>
      <c r="B63" s="33">
        <v>856</v>
      </c>
      <c r="C63" s="33">
        <v>3280</v>
      </c>
      <c r="D63" s="33">
        <v>0</v>
      </c>
      <c r="E63" s="14">
        <v>0</v>
      </c>
      <c r="F63" s="14">
        <v>0</v>
      </c>
      <c r="G63" s="14">
        <v>0</v>
      </c>
      <c r="H63" s="14">
        <v>1384</v>
      </c>
      <c r="I63" s="14">
        <v>5263</v>
      </c>
      <c r="R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t="14.25" customHeight="1">
      <c r="A64" s="2" t="s">
        <v>224</v>
      </c>
      <c r="B64" s="33">
        <v>5179</v>
      </c>
      <c r="C64" s="33">
        <v>8304</v>
      </c>
      <c r="D64" s="33">
        <v>50464</v>
      </c>
      <c r="E64" s="14">
        <v>0</v>
      </c>
      <c r="F64" s="14">
        <v>0</v>
      </c>
      <c r="G64" s="14">
        <v>8740</v>
      </c>
      <c r="H64" s="14">
        <v>102490</v>
      </c>
      <c r="I64" s="14">
        <v>234441</v>
      </c>
      <c r="R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ht="14.25" customHeight="1">
      <c r="A65" s="2" t="s">
        <v>225</v>
      </c>
      <c r="B65" s="33">
        <v>0</v>
      </c>
      <c r="C65" s="33">
        <v>21214</v>
      </c>
      <c r="D65" s="33">
        <v>682</v>
      </c>
      <c r="E65" s="14">
        <v>0</v>
      </c>
      <c r="F65" s="14">
        <v>0</v>
      </c>
      <c r="G65" s="14">
        <v>0</v>
      </c>
      <c r="H65" s="14">
        <v>32427</v>
      </c>
      <c r="I65" s="14">
        <v>153186</v>
      </c>
      <c r="R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t="14.25" customHeight="1">
      <c r="A66" s="2" t="s">
        <v>226</v>
      </c>
      <c r="B66" s="33">
        <v>1109</v>
      </c>
      <c r="C66" s="33">
        <v>38690</v>
      </c>
      <c r="D66" s="33">
        <v>2118</v>
      </c>
      <c r="E66" s="14">
        <v>0</v>
      </c>
      <c r="F66" s="14">
        <v>0</v>
      </c>
      <c r="G66" s="14">
        <v>7648</v>
      </c>
      <c r="H66" s="14">
        <v>22879</v>
      </c>
      <c r="I66" s="14">
        <v>116626</v>
      </c>
      <c r="R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t="14.25" customHeight="1">
      <c r="A67" s="2" t="s">
        <v>228</v>
      </c>
      <c r="B67" s="33">
        <v>14</v>
      </c>
      <c r="C67" s="33">
        <v>5806</v>
      </c>
      <c r="D67" s="33">
        <v>833</v>
      </c>
      <c r="E67" s="14">
        <v>0</v>
      </c>
      <c r="F67" s="14">
        <v>266</v>
      </c>
      <c r="G67" s="14">
        <v>5934</v>
      </c>
      <c r="H67" s="14">
        <v>5774</v>
      </c>
      <c r="I67" s="14">
        <v>53626</v>
      </c>
      <c r="R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14.25" customHeight="1">
      <c r="A68" s="2" t="s">
        <v>229</v>
      </c>
      <c r="B68" s="33">
        <v>2331</v>
      </c>
      <c r="C68" s="33">
        <v>6471</v>
      </c>
      <c r="D68" s="33">
        <v>28776</v>
      </c>
      <c r="E68" s="14">
        <v>0</v>
      </c>
      <c r="F68" s="14">
        <v>0</v>
      </c>
      <c r="G68" s="14">
        <v>7599</v>
      </c>
      <c r="H68" s="14">
        <v>19161</v>
      </c>
      <c r="I68" s="14">
        <v>321835</v>
      </c>
      <c r="R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ht="14.25" customHeight="1">
      <c r="A69" s="2" t="s">
        <v>322</v>
      </c>
      <c r="B69" s="33">
        <v>7411</v>
      </c>
      <c r="C69" s="33">
        <v>61974</v>
      </c>
      <c r="D69" s="33">
        <v>0</v>
      </c>
      <c r="E69" s="14">
        <v>0</v>
      </c>
      <c r="F69" s="14">
        <v>0</v>
      </c>
      <c r="G69" s="14">
        <v>0</v>
      </c>
      <c r="H69" s="14">
        <v>66872</v>
      </c>
      <c r="I69" s="14">
        <v>367848</v>
      </c>
      <c r="R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ht="14.25" customHeight="1">
      <c r="A70" s="2" t="s">
        <v>323</v>
      </c>
      <c r="B70" s="33">
        <v>5</v>
      </c>
      <c r="C70" s="33">
        <v>6013</v>
      </c>
      <c r="D70" s="33">
        <v>0</v>
      </c>
      <c r="E70" s="14">
        <v>0</v>
      </c>
      <c r="F70" s="14">
        <v>253</v>
      </c>
      <c r="G70" s="14">
        <v>2316</v>
      </c>
      <c r="H70" s="14">
        <v>4099</v>
      </c>
      <c r="I70" s="14">
        <v>24469</v>
      </c>
      <c r="R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ht="14.25" customHeight="1">
      <c r="A71" s="2" t="s">
        <v>350</v>
      </c>
      <c r="B71" s="33">
        <v>123</v>
      </c>
      <c r="C71" s="33">
        <v>20702</v>
      </c>
      <c r="D71" s="33">
        <v>0</v>
      </c>
      <c r="E71" s="14">
        <v>0</v>
      </c>
      <c r="F71" s="14">
        <v>130</v>
      </c>
      <c r="G71" s="14">
        <v>18819</v>
      </c>
      <c r="H71" s="14">
        <v>339</v>
      </c>
      <c r="I71" s="14">
        <v>91715</v>
      </c>
      <c r="R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ht="14.25" customHeight="1">
      <c r="A72" s="2" t="s">
        <v>284</v>
      </c>
      <c r="B72" s="33">
        <v>2728</v>
      </c>
      <c r="C72" s="33">
        <v>7745</v>
      </c>
      <c r="D72" s="33">
        <v>40111</v>
      </c>
      <c r="E72" s="14">
        <v>0</v>
      </c>
      <c r="F72" s="14">
        <v>0</v>
      </c>
      <c r="G72" s="14">
        <v>7478</v>
      </c>
      <c r="H72" s="14">
        <v>48443</v>
      </c>
      <c r="I72" s="14">
        <v>253804</v>
      </c>
      <c r="R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t="14.25" customHeight="1">
      <c r="A73" s="2" t="s">
        <v>232</v>
      </c>
      <c r="B73" s="33">
        <v>0</v>
      </c>
      <c r="C73" s="33">
        <v>11255</v>
      </c>
      <c r="D73" s="33">
        <v>870</v>
      </c>
      <c r="E73" s="14">
        <v>0</v>
      </c>
      <c r="F73" s="14">
        <v>0</v>
      </c>
      <c r="G73" s="14">
        <v>0</v>
      </c>
      <c r="H73" s="14">
        <v>9855</v>
      </c>
      <c r="I73" s="14">
        <v>275493</v>
      </c>
      <c r="R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ht="14.25" customHeight="1">
      <c r="A74" s="2" t="s">
        <v>233</v>
      </c>
      <c r="B74" s="33">
        <v>0</v>
      </c>
      <c r="C74" s="33">
        <v>24431</v>
      </c>
      <c r="D74" s="33">
        <v>0</v>
      </c>
      <c r="E74" s="14">
        <v>0</v>
      </c>
      <c r="F74" s="14">
        <v>0</v>
      </c>
      <c r="G74" s="14">
        <v>11672</v>
      </c>
      <c r="H74" s="14">
        <v>10011</v>
      </c>
      <c r="I74" s="14">
        <v>115539</v>
      </c>
      <c r="R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t="14.25" customHeight="1">
      <c r="A75" s="2" t="s">
        <v>234</v>
      </c>
      <c r="B75" s="33">
        <v>0</v>
      </c>
      <c r="C75" s="33">
        <v>2558</v>
      </c>
      <c r="D75" s="33">
        <v>0</v>
      </c>
      <c r="E75" s="14">
        <v>72</v>
      </c>
      <c r="F75" s="14">
        <v>0</v>
      </c>
      <c r="G75" s="14">
        <v>7222</v>
      </c>
      <c r="H75" s="14">
        <v>4072</v>
      </c>
      <c r="I75" s="14">
        <v>55208</v>
      </c>
      <c r="R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t="14.25" customHeight="1">
      <c r="A76" s="2" t="s">
        <v>236</v>
      </c>
      <c r="B76" s="33">
        <v>21</v>
      </c>
      <c r="C76" s="33">
        <v>4241</v>
      </c>
      <c r="D76" s="33">
        <v>247</v>
      </c>
      <c r="E76" s="14">
        <v>0</v>
      </c>
      <c r="F76" s="14">
        <v>0</v>
      </c>
      <c r="G76" s="14">
        <v>0</v>
      </c>
      <c r="H76" s="14">
        <v>3027</v>
      </c>
      <c r="I76" s="14">
        <v>7198</v>
      </c>
      <c r="R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t="14.25" customHeight="1">
      <c r="A77" s="2" t="s">
        <v>238</v>
      </c>
      <c r="B77" s="33">
        <v>408</v>
      </c>
      <c r="C77" s="33">
        <v>2688</v>
      </c>
      <c r="D77" s="33">
        <v>6357</v>
      </c>
      <c r="E77" s="14">
        <v>0</v>
      </c>
      <c r="F77" s="14">
        <v>2</v>
      </c>
      <c r="G77" s="14">
        <v>912</v>
      </c>
      <c r="H77" s="14">
        <v>10731</v>
      </c>
      <c r="I77" s="14">
        <v>170441</v>
      </c>
      <c r="R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t="14.25" customHeight="1">
      <c r="A78" s="2" t="s">
        <v>239</v>
      </c>
      <c r="B78" s="33">
        <v>496</v>
      </c>
      <c r="C78" s="33">
        <v>38066</v>
      </c>
      <c r="D78" s="33">
        <v>8636</v>
      </c>
      <c r="E78" s="14">
        <v>0</v>
      </c>
      <c r="F78" s="14">
        <v>0</v>
      </c>
      <c r="G78" s="14">
        <v>19269</v>
      </c>
      <c r="H78" s="14">
        <v>30689</v>
      </c>
      <c r="I78" s="14">
        <v>342421</v>
      </c>
      <c r="R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t="14.25" customHeight="1">
      <c r="A79" s="2" t="s">
        <v>351</v>
      </c>
      <c r="B79" s="33">
        <v>763</v>
      </c>
      <c r="C79" s="33">
        <v>5804</v>
      </c>
      <c r="D79" s="33">
        <v>44140</v>
      </c>
      <c r="E79" s="14">
        <v>0</v>
      </c>
      <c r="F79" s="14">
        <v>11</v>
      </c>
      <c r="G79" s="14">
        <v>12789</v>
      </c>
      <c r="H79" s="14">
        <v>42061</v>
      </c>
      <c r="I79" s="14">
        <v>863098</v>
      </c>
      <c r="R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14.25" customHeight="1">
      <c r="A80" s="2" t="s">
        <v>244</v>
      </c>
      <c r="B80" s="33">
        <v>0</v>
      </c>
      <c r="C80" s="33">
        <v>1082</v>
      </c>
      <c r="D80" s="33">
        <v>0</v>
      </c>
      <c r="E80" s="14">
        <v>333</v>
      </c>
      <c r="F80" s="14">
        <v>90</v>
      </c>
      <c r="G80" s="14">
        <v>619</v>
      </c>
      <c r="H80" s="14">
        <v>318</v>
      </c>
      <c r="I80" s="14">
        <v>3673</v>
      </c>
      <c r="R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ht="14.25" customHeight="1">
      <c r="A81" s="2" t="s">
        <v>326</v>
      </c>
      <c r="B81" s="33">
        <v>475</v>
      </c>
      <c r="C81" s="33">
        <v>2022</v>
      </c>
      <c r="D81" s="33">
        <v>0</v>
      </c>
      <c r="E81" s="14">
        <v>0</v>
      </c>
      <c r="F81" s="14">
        <v>6</v>
      </c>
      <c r="G81" s="14">
        <v>2507</v>
      </c>
      <c r="H81" s="14">
        <v>359</v>
      </c>
      <c r="I81" s="14">
        <v>7756</v>
      </c>
      <c r="R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ht="14.25" customHeight="1">
      <c r="A82" s="2" t="s">
        <v>247</v>
      </c>
      <c r="B82" s="33">
        <v>0</v>
      </c>
      <c r="C82" s="33">
        <v>1896</v>
      </c>
      <c r="D82" s="33">
        <v>0</v>
      </c>
      <c r="E82" s="14">
        <v>0</v>
      </c>
      <c r="F82" s="14">
        <v>6</v>
      </c>
      <c r="G82" s="14">
        <v>332</v>
      </c>
      <c r="H82" s="14">
        <v>315</v>
      </c>
      <c r="I82" s="14">
        <v>6736</v>
      </c>
      <c r="R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ht="14.25" customHeight="1">
      <c r="A83" s="2" t="s">
        <v>249</v>
      </c>
      <c r="B83" s="33">
        <v>840</v>
      </c>
      <c r="C83" s="33">
        <v>7677</v>
      </c>
      <c r="D83" s="33">
        <v>269</v>
      </c>
      <c r="E83" s="14">
        <v>5</v>
      </c>
      <c r="F83" s="14">
        <v>65</v>
      </c>
      <c r="G83" s="14">
        <v>3740</v>
      </c>
      <c r="H83" s="14">
        <v>16790</v>
      </c>
      <c r="I83" s="14">
        <v>81852</v>
      </c>
      <c r="R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ht="14.25" customHeight="1">
      <c r="A84" s="2" t="s">
        <v>254</v>
      </c>
      <c r="B84" s="33">
        <v>0</v>
      </c>
      <c r="C84" s="33">
        <v>8985</v>
      </c>
      <c r="D84" s="33">
        <v>13102</v>
      </c>
      <c r="E84" s="14">
        <v>0</v>
      </c>
      <c r="F84" s="14">
        <v>0</v>
      </c>
      <c r="G84" s="14">
        <v>5174</v>
      </c>
      <c r="H84" s="14">
        <v>7339</v>
      </c>
      <c r="I84" s="14">
        <v>102774</v>
      </c>
      <c r="R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ht="14.25" customHeight="1">
      <c r="A85" s="2" t="s">
        <v>256</v>
      </c>
      <c r="B85" s="33">
        <v>0</v>
      </c>
      <c r="C85" s="33">
        <v>998</v>
      </c>
      <c r="D85" s="33">
        <v>0</v>
      </c>
      <c r="E85" s="14">
        <v>1</v>
      </c>
      <c r="F85" s="14">
        <v>1</v>
      </c>
      <c r="G85" s="14">
        <v>0</v>
      </c>
      <c r="H85" s="14">
        <v>0</v>
      </c>
      <c r="I85" s="14">
        <v>5749</v>
      </c>
      <c r="R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ht="14.25" customHeight="1">
      <c r="A86" s="2" t="s">
        <v>327</v>
      </c>
      <c r="B86" s="33">
        <v>0</v>
      </c>
      <c r="C86" s="33">
        <v>14763</v>
      </c>
      <c r="D86" s="33">
        <v>1122</v>
      </c>
      <c r="E86" s="14">
        <v>0</v>
      </c>
      <c r="F86" s="14">
        <v>0</v>
      </c>
      <c r="G86" s="14">
        <v>0</v>
      </c>
      <c r="H86" s="14">
        <v>766</v>
      </c>
      <c r="I86" s="14">
        <v>35571</v>
      </c>
      <c r="R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ht="14.25" customHeight="1">
      <c r="A87" s="2" t="s">
        <v>257</v>
      </c>
      <c r="B87" s="33">
        <v>4733</v>
      </c>
      <c r="C87" s="33">
        <v>3980</v>
      </c>
      <c r="D87" s="33">
        <v>104966</v>
      </c>
      <c r="E87" s="14">
        <v>0</v>
      </c>
      <c r="F87" s="14">
        <v>0</v>
      </c>
      <c r="G87" s="14">
        <v>6387</v>
      </c>
      <c r="H87" s="14">
        <v>63857</v>
      </c>
      <c r="I87" s="14">
        <v>225685</v>
      </c>
      <c r="R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ht="14.25" customHeight="1">
      <c r="A88" s="2" t="s">
        <v>258</v>
      </c>
      <c r="B88" s="33">
        <v>46</v>
      </c>
      <c r="C88" s="33">
        <v>12799</v>
      </c>
      <c r="D88" s="33">
        <v>0</v>
      </c>
      <c r="E88" s="14">
        <v>0</v>
      </c>
      <c r="F88" s="14">
        <v>3</v>
      </c>
      <c r="G88" s="14">
        <v>4396</v>
      </c>
      <c r="H88" s="14">
        <v>7646</v>
      </c>
      <c r="I88" s="14">
        <v>57454</v>
      </c>
      <c r="R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ht="14.25" customHeight="1">
      <c r="A89" s="2" t="s">
        <v>285</v>
      </c>
      <c r="B89" s="33">
        <v>108</v>
      </c>
      <c r="C89" s="33">
        <v>3506</v>
      </c>
      <c r="D89" s="33">
        <v>0</v>
      </c>
      <c r="E89" s="14">
        <v>0</v>
      </c>
      <c r="F89" s="14">
        <v>3</v>
      </c>
      <c r="G89" s="14">
        <v>988</v>
      </c>
      <c r="H89" s="14">
        <v>3974</v>
      </c>
      <c r="I89" s="14">
        <v>18967</v>
      </c>
      <c r="R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ht="14.25" customHeight="1">
      <c r="A90" s="2" t="s">
        <v>260</v>
      </c>
      <c r="B90" s="33">
        <v>1683</v>
      </c>
      <c r="C90" s="33">
        <v>44321</v>
      </c>
      <c r="D90" s="33">
        <v>3779</v>
      </c>
      <c r="E90" s="14">
        <v>0</v>
      </c>
      <c r="F90" s="14">
        <v>0</v>
      </c>
      <c r="G90" s="14">
        <v>23386</v>
      </c>
      <c r="H90" s="14">
        <v>56681</v>
      </c>
      <c r="I90" s="14">
        <v>474386</v>
      </c>
      <c r="R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ht="14.25" customHeight="1">
      <c r="A91" s="2" t="s">
        <v>261</v>
      </c>
      <c r="B91" s="33">
        <v>9</v>
      </c>
      <c r="C91" s="33">
        <v>3148</v>
      </c>
      <c r="D91" s="33">
        <v>976</v>
      </c>
      <c r="E91" s="14">
        <v>0</v>
      </c>
      <c r="F91" s="14">
        <v>0</v>
      </c>
      <c r="G91" s="14">
        <v>8156</v>
      </c>
      <c r="H91" s="14">
        <v>7622</v>
      </c>
      <c r="I91" s="14">
        <v>193604</v>
      </c>
      <c r="R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ht="14.25" customHeight="1">
      <c r="A92" s="2" t="s">
        <v>286</v>
      </c>
      <c r="B92" s="33">
        <v>3</v>
      </c>
      <c r="C92" s="33">
        <v>2877</v>
      </c>
      <c r="D92" s="33">
        <v>0</v>
      </c>
      <c r="E92" s="14">
        <v>0</v>
      </c>
      <c r="F92" s="14">
        <v>1</v>
      </c>
      <c r="G92" s="14">
        <v>0</v>
      </c>
      <c r="H92" s="14">
        <v>1659</v>
      </c>
      <c r="I92" s="14">
        <v>20712</v>
      </c>
      <c r="R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ht="14.25" customHeight="1">
      <c r="A93" s="2"/>
      <c r="B93" s="33"/>
      <c r="C93" s="33"/>
      <c r="D93" s="33"/>
      <c r="E93" s="14"/>
      <c r="F93" s="14"/>
      <c r="G93" s="14"/>
      <c r="H93" s="14"/>
      <c r="I93" s="14"/>
      <c r="R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ht="14.25" customHeight="1">
      <c r="A94" s="346" t="s">
        <v>105</v>
      </c>
      <c r="B94" s="345">
        <v>179</v>
      </c>
      <c r="C94" s="345">
        <v>7677</v>
      </c>
      <c r="D94" s="345">
        <v>3</v>
      </c>
      <c r="E94" s="18">
        <v>0</v>
      </c>
      <c r="F94" s="18">
        <v>0</v>
      </c>
      <c r="G94" s="73">
        <v>3740</v>
      </c>
      <c r="H94" s="73">
        <v>7646</v>
      </c>
      <c r="I94" s="73">
        <v>68076</v>
      </c>
      <c r="R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ht="14.25" customHeight="1">
      <c r="A95" s="7" t="s">
        <v>104</v>
      </c>
      <c r="B95" s="66">
        <v>1364.9213483146068</v>
      </c>
      <c r="C95" s="66">
        <v>11951.584269662921</v>
      </c>
      <c r="D95" s="66">
        <v>7147.0674157303374</v>
      </c>
      <c r="E95" s="15">
        <v>11.269662921348315</v>
      </c>
      <c r="F95" s="15">
        <v>62.640449438202246</v>
      </c>
      <c r="G95" s="15">
        <v>6455.5168539325841</v>
      </c>
      <c r="H95" s="15">
        <v>16567.112359550563</v>
      </c>
      <c r="I95" s="15">
        <v>127175.39325842696</v>
      </c>
      <c r="R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ht="14.25" customHeight="1">
      <c r="A96" s="7" t="s">
        <v>329</v>
      </c>
      <c r="B96" s="66">
        <v>121478</v>
      </c>
      <c r="C96" s="66">
        <v>1063691</v>
      </c>
      <c r="D96" s="66">
        <v>636089</v>
      </c>
      <c r="E96" s="15">
        <v>1003</v>
      </c>
      <c r="F96" s="15">
        <v>5575</v>
      </c>
      <c r="G96" s="15">
        <v>574541</v>
      </c>
      <c r="H96" s="15">
        <v>1474473</v>
      </c>
      <c r="I96" s="15">
        <v>11318610</v>
      </c>
      <c r="R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ht="14.25" customHeight="1">
      <c r="A97" s="7"/>
      <c r="B97" s="66"/>
      <c r="C97" s="66"/>
      <c r="D97" s="66"/>
      <c r="E97" s="15"/>
      <c r="F97" s="15"/>
      <c r="G97" s="15"/>
      <c r="H97" s="15"/>
      <c r="I97" s="15"/>
      <c r="R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ht="14.25" customHeight="1">
      <c r="R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ht="14.25" customHeight="1">
      <c r="A99" s="2" t="s">
        <v>386</v>
      </c>
      <c r="B99" s="23"/>
      <c r="C99" s="23"/>
      <c r="D99" s="23"/>
      <c r="E99" s="2"/>
      <c r="F99" s="2"/>
      <c r="G99" s="2"/>
      <c r="H99" s="2"/>
      <c r="I99" s="2"/>
      <c r="R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</sheetData>
  <sortState xmlns:xlrd2="http://schemas.microsoft.com/office/spreadsheetml/2017/richdata2" ref="A4:I50">
    <sortCondition ref="A4"/>
  </sortState>
  <phoneticPr fontId="51" type="noConversion"/>
  <conditionalFormatting sqref="B4:I50">
    <cfRule type="cellIs" dxfId="72" priority="2" operator="lessThan">
      <formula>0</formula>
    </cfRule>
    <cfRule type="cellIs" dxfId="71" priority="3" operator="lessThan">
      <formula>0</formula>
    </cfRule>
  </conditionalFormatting>
  <conditionalFormatting sqref="B4:I93 B95:I97">
    <cfRule type="cellIs" dxfId="70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38"/>
  <sheetViews>
    <sheetView zoomScaleNormal="100" workbookViewId="0">
      <pane ySplit="4" topLeftCell="A111" activePane="bottomLeft" state="frozen"/>
      <selection pane="bottomLeft"/>
      <selection activeCell="G34" sqref="G34"/>
    </sheetView>
  </sheetViews>
  <sheetFormatPr defaultColWidth="17.28515625" defaultRowHeight="12.75"/>
  <cols>
    <col min="2" max="2" width="19.5703125" customWidth="1"/>
    <col min="3" max="3" width="19.28515625" customWidth="1"/>
    <col min="4" max="4" width="19.5703125" customWidth="1"/>
  </cols>
  <sheetData>
    <row r="1" spans="1:14" ht="15">
      <c r="A1" s="9" t="s">
        <v>387</v>
      </c>
      <c r="B1" s="9"/>
      <c r="M1" s="100"/>
    </row>
    <row r="2" spans="1:14">
      <c r="A2" s="3" t="s">
        <v>388</v>
      </c>
      <c r="B2" s="1"/>
      <c r="M2" s="100"/>
    </row>
    <row r="3" spans="1:14">
      <c r="A3" s="3"/>
      <c r="B3" s="1"/>
      <c r="M3" s="100"/>
    </row>
    <row r="4" spans="1:14">
      <c r="A4" s="91"/>
      <c r="B4" s="50" t="s">
        <v>43</v>
      </c>
      <c r="C4" s="50" t="s">
        <v>14</v>
      </c>
      <c r="D4" s="136" t="s">
        <v>98</v>
      </c>
      <c r="E4" s="136"/>
      <c r="F4" s="171"/>
      <c r="G4" s="50"/>
      <c r="H4" s="50"/>
      <c r="I4" s="136"/>
      <c r="J4" s="136"/>
      <c r="K4" s="171"/>
      <c r="L4" s="50"/>
      <c r="M4" s="50"/>
      <c r="N4" s="136"/>
    </row>
    <row r="5" spans="1:14">
      <c r="A5" s="2" t="s">
        <v>118</v>
      </c>
      <c r="B5" s="33">
        <v>58317</v>
      </c>
      <c r="C5" s="231">
        <v>384110</v>
      </c>
      <c r="D5" s="57">
        <v>6.5865871015312862</v>
      </c>
      <c r="E5" s="185"/>
      <c r="J5" s="185"/>
    </row>
    <row r="6" spans="1:14">
      <c r="A6" s="2" t="s">
        <v>278</v>
      </c>
      <c r="B6" s="33">
        <v>29646</v>
      </c>
      <c r="C6" s="231">
        <v>216857</v>
      </c>
      <c r="D6" s="57">
        <v>7.314882277541658</v>
      </c>
      <c r="E6" s="185"/>
      <c r="J6" s="185"/>
    </row>
    <row r="7" spans="1:14">
      <c r="A7" s="2" t="s">
        <v>121</v>
      </c>
      <c r="B7" s="33">
        <v>47935</v>
      </c>
      <c r="C7" s="231">
        <v>457097</v>
      </c>
      <c r="D7" s="57">
        <v>9.5357671847293215</v>
      </c>
      <c r="E7" s="185"/>
      <c r="J7" s="185"/>
    </row>
    <row r="8" spans="1:14">
      <c r="A8" s="2" t="s">
        <v>123</v>
      </c>
      <c r="B8" s="33">
        <v>2219</v>
      </c>
      <c r="C8" s="231">
        <v>13335</v>
      </c>
      <c r="D8" s="57">
        <v>6.0094637223974763</v>
      </c>
      <c r="E8" s="185"/>
      <c r="J8" s="185"/>
    </row>
    <row r="9" spans="1:14">
      <c r="A9" s="2" t="s">
        <v>124</v>
      </c>
      <c r="B9" s="33">
        <v>44939</v>
      </c>
      <c r="C9" s="231">
        <v>210146</v>
      </c>
      <c r="D9" s="57">
        <v>4.6762500278154828</v>
      </c>
      <c r="E9" s="185"/>
      <c r="J9" s="185"/>
    </row>
    <row r="10" spans="1:14">
      <c r="A10" s="2" t="s">
        <v>126</v>
      </c>
      <c r="B10" s="33">
        <v>185880</v>
      </c>
      <c r="C10" s="231">
        <v>447408</v>
      </c>
      <c r="D10" s="57">
        <v>2.4069722401549387</v>
      </c>
      <c r="E10" s="185"/>
      <c r="J10" s="185"/>
    </row>
    <row r="11" spans="1:14">
      <c r="A11" s="2" t="s">
        <v>127</v>
      </c>
      <c r="B11" s="33">
        <v>36593</v>
      </c>
      <c r="C11" s="231">
        <v>225647</v>
      </c>
      <c r="D11" s="57">
        <v>6.1663979449621511</v>
      </c>
      <c r="E11" s="185"/>
      <c r="J11" s="185"/>
    </row>
    <row r="12" spans="1:14">
      <c r="A12" s="2" t="s">
        <v>129</v>
      </c>
      <c r="B12" s="33">
        <v>13278</v>
      </c>
      <c r="C12" s="231">
        <v>83252</v>
      </c>
      <c r="D12" s="57">
        <v>6.2699201687001054</v>
      </c>
      <c r="E12" s="185"/>
      <c r="J12" s="185"/>
    </row>
    <row r="13" spans="1:14">
      <c r="A13" s="2" t="s">
        <v>132</v>
      </c>
      <c r="B13" s="33">
        <v>8666</v>
      </c>
      <c r="C13" s="231">
        <v>24977</v>
      </c>
      <c r="D13" s="57">
        <v>2.8821832448649896</v>
      </c>
      <c r="E13" s="185"/>
      <c r="J13" s="185"/>
    </row>
    <row r="14" spans="1:14">
      <c r="A14" s="2" t="s">
        <v>133</v>
      </c>
      <c r="B14" s="33">
        <v>438843</v>
      </c>
      <c r="C14" s="231">
        <v>1372224</v>
      </c>
      <c r="D14" s="57">
        <v>3.1269132696659168</v>
      </c>
      <c r="E14" s="185"/>
      <c r="J14" s="185"/>
    </row>
    <row r="15" spans="1:14">
      <c r="A15" s="2" t="s">
        <v>134</v>
      </c>
      <c r="B15" s="33">
        <v>5454</v>
      </c>
      <c r="C15" s="231">
        <v>19679</v>
      </c>
      <c r="D15" s="57">
        <v>3.608177484415108</v>
      </c>
      <c r="E15" s="185"/>
      <c r="J15" s="185"/>
    </row>
    <row r="16" spans="1:14">
      <c r="A16" s="2" t="s">
        <v>135</v>
      </c>
      <c r="B16" s="33">
        <v>7767</v>
      </c>
      <c r="C16" s="231">
        <v>28625</v>
      </c>
      <c r="D16" s="57">
        <v>3.685464143169821</v>
      </c>
      <c r="E16" s="185"/>
      <c r="J16" s="185"/>
    </row>
    <row r="17" spans="1:10">
      <c r="A17" s="2" t="s">
        <v>137</v>
      </c>
      <c r="B17" s="33">
        <v>78891</v>
      </c>
      <c r="C17" s="231">
        <v>542822</v>
      </c>
      <c r="D17" s="57">
        <v>6.8806581232333217</v>
      </c>
      <c r="E17" s="185"/>
      <c r="J17" s="185"/>
    </row>
    <row r="18" spans="1:10">
      <c r="A18" s="2" t="s">
        <v>138</v>
      </c>
      <c r="B18" s="33">
        <v>2407</v>
      </c>
      <c r="C18" s="231">
        <v>10153</v>
      </c>
      <c r="D18" s="57">
        <v>4.2181138346489409</v>
      </c>
      <c r="E18" s="185"/>
      <c r="J18" s="185"/>
    </row>
    <row r="19" spans="1:10">
      <c r="A19" s="2" t="s">
        <v>139</v>
      </c>
      <c r="B19" s="33">
        <v>2349</v>
      </c>
      <c r="C19" s="231">
        <v>7687</v>
      </c>
      <c r="D19" s="57">
        <v>3.2724563644103872</v>
      </c>
      <c r="E19" s="185"/>
      <c r="J19" s="185"/>
    </row>
    <row r="20" spans="1:10">
      <c r="A20" s="2" t="s">
        <v>141</v>
      </c>
      <c r="B20" s="33">
        <v>1408</v>
      </c>
      <c r="C20" s="231">
        <v>2004</v>
      </c>
      <c r="D20" s="57">
        <v>1.4232954545454546</v>
      </c>
      <c r="E20" s="185"/>
      <c r="J20" s="185"/>
    </row>
    <row r="21" spans="1:10">
      <c r="A21" s="2" t="s">
        <v>142</v>
      </c>
      <c r="B21" s="33">
        <v>17541</v>
      </c>
      <c r="C21" s="231">
        <v>47474</v>
      </c>
      <c r="D21" s="57">
        <v>2.7064591528419131</v>
      </c>
      <c r="E21" s="185"/>
      <c r="J21" s="185"/>
    </row>
    <row r="22" spans="1:10">
      <c r="A22" s="2" t="s">
        <v>144</v>
      </c>
      <c r="B22" s="33">
        <v>43346</v>
      </c>
      <c r="C22" s="231">
        <v>221197</v>
      </c>
      <c r="D22" s="57">
        <v>5.1030544917639462</v>
      </c>
      <c r="E22" s="185"/>
      <c r="J22" s="185"/>
    </row>
    <row r="23" spans="1:10">
      <c r="A23" s="2" t="s">
        <v>145</v>
      </c>
      <c r="B23" s="33">
        <v>37826</v>
      </c>
      <c r="C23" s="231">
        <v>394223</v>
      </c>
      <c r="D23" s="57">
        <v>10.42201131496854</v>
      </c>
      <c r="E23" s="185"/>
      <c r="J23" s="185"/>
    </row>
    <row r="24" spans="1:10">
      <c r="A24" s="2" t="s">
        <v>146</v>
      </c>
      <c r="B24" s="33">
        <v>13897</v>
      </c>
      <c r="C24" s="231">
        <v>47278</v>
      </c>
      <c r="D24" s="57">
        <v>3.4020292149384761</v>
      </c>
      <c r="E24" s="185"/>
      <c r="J24" s="185"/>
    </row>
    <row r="25" spans="1:10">
      <c r="A25" s="2" t="s">
        <v>148</v>
      </c>
      <c r="B25" s="33">
        <v>141133</v>
      </c>
      <c r="C25" s="231">
        <v>279027</v>
      </c>
      <c r="D25" s="57">
        <v>1.9770500166509604</v>
      </c>
      <c r="E25" s="185"/>
      <c r="J25" s="185"/>
    </row>
    <row r="26" spans="1:10">
      <c r="A26" s="2" t="s">
        <v>149</v>
      </c>
      <c r="B26" s="33">
        <v>188303</v>
      </c>
      <c r="C26" s="231">
        <v>427690</v>
      </c>
      <c r="D26" s="57">
        <v>2.2712861717550967</v>
      </c>
      <c r="E26" s="185"/>
      <c r="J26" s="185"/>
    </row>
    <row r="27" spans="1:10">
      <c r="A27" s="2" t="s">
        <v>151</v>
      </c>
      <c r="B27" s="33">
        <v>92255</v>
      </c>
      <c r="C27" s="231">
        <v>507381</v>
      </c>
      <c r="D27" s="57">
        <v>5.4997669503007964</v>
      </c>
      <c r="E27" s="185"/>
      <c r="J27" s="185"/>
    </row>
    <row r="28" spans="1:10">
      <c r="A28" s="2" t="s">
        <v>152</v>
      </c>
      <c r="B28" s="33">
        <v>385242</v>
      </c>
      <c r="C28" s="231">
        <v>783407</v>
      </c>
      <c r="D28" s="57">
        <v>2.03354514824448</v>
      </c>
      <c r="E28" s="185"/>
      <c r="J28" s="185"/>
    </row>
    <row r="29" spans="1:10">
      <c r="A29" s="2" t="s">
        <v>153</v>
      </c>
      <c r="B29" s="33">
        <v>2767</v>
      </c>
      <c r="C29" s="231">
        <v>16338</v>
      </c>
      <c r="D29" s="57">
        <v>5.9045898084568122</v>
      </c>
      <c r="E29" s="185"/>
      <c r="J29" s="185"/>
    </row>
    <row r="30" spans="1:10">
      <c r="A30" s="2" t="s">
        <v>154</v>
      </c>
      <c r="B30" s="33">
        <v>354803</v>
      </c>
      <c r="C30" s="231">
        <v>1491184</v>
      </c>
      <c r="D30" s="57">
        <v>4.202850595964521</v>
      </c>
      <c r="E30" s="185"/>
      <c r="J30" s="185"/>
    </row>
    <row r="31" spans="1:10">
      <c r="A31" s="2" t="s">
        <v>155</v>
      </c>
      <c r="B31" s="33">
        <v>69352</v>
      </c>
      <c r="C31" s="231">
        <v>183561</v>
      </c>
      <c r="D31" s="57">
        <v>2.6468018225862266</v>
      </c>
      <c r="E31" s="185"/>
      <c r="J31" s="185"/>
    </row>
    <row r="32" spans="1:10">
      <c r="A32" s="2" t="s">
        <v>156</v>
      </c>
      <c r="B32" s="33">
        <v>56037</v>
      </c>
      <c r="C32" s="231">
        <v>293195</v>
      </c>
      <c r="D32" s="57">
        <v>5.2321680318361086</v>
      </c>
      <c r="E32" s="185"/>
      <c r="J32" s="185"/>
    </row>
    <row r="33" spans="1:10">
      <c r="A33" s="2" t="s">
        <v>158</v>
      </c>
      <c r="B33" s="33">
        <v>4015</v>
      </c>
      <c r="C33" s="231">
        <v>13403</v>
      </c>
      <c r="D33" s="57">
        <v>3.3382316313823162</v>
      </c>
      <c r="E33" s="185"/>
      <c r="J33" s="185"/>
    </row>
    <row r="34" spans="1:10">
      <c r="A34" s="2" t="s">
        <v>160</v>
      </c>
      <c r="B34" s="33">
        <v>81248</v>
      </c>
      <c r="C34" s="231">
        <v>364686</v>
      </c>
      <c r="D34" s="57">
        <v>4.4885535643954313</v>
      </c>
      <c r="E34" s="185"/>
      <c r="J34" s="185"/>
    </row>
    <row r="35" spans="1:10">
      <c r="A35" s="2" t="s">
        <v>161</v>
      </c>
      <c r="B35" s="33">
        <v>4613</v>
      </c>
      <c r="C35" s="231">
        <v>18553</v>
      </c>
      <c r="D35" s="57">
        <v>4.021894645566876</v>
      </c>
      <c r="E35" s="185"/>
      <c r="J35" s="185"/>
    </row>
    <row r="36" spans="1:10">
      <c r="A36" s="2" t="s">
        <v>162</v>
      </c>
      <c r="B36" s="33">
        <v>3871</v>
      </c>
      <c r="C36" s="231">
        <v>12026</v>
      </c>
      <c r="D36" s="57">
        <v>3.1066907775768535</v>
      </c>
      <c r="E36" s="185"/>
      <c r="J36" s="185"/>
    </row>
    <row r="37" spans="1:10">
      <c r="A37" s="2" t="s">
        <v>163</v>
      </c>
      <c r="B37" s="33">
        <v>11424</v>
      </c>
      <c r="C37" s="231">
        <v>52763</v>
      </c>
      <c r="D37" s="57">
        <v>4.6186099439775914</v>
      </c>
      <c r="E37" s="185"/>
      <c r="J37" s="185"/>
    </row>
    <row r="38" spans="1:10">
      <c r="A38" s="2" t="s">
        <v>164</v>
      </c>
      <c r="B38" s="33">
        <v>12680</v>
      </c>
      <c r="C38" s="231">
        <v>53056</v>
      </c>
      <c r="D38" s="57">
        <v>4.1842271293375397</v>
      </c>
      <c r="E38" s="185"/>
      <c r="J38" s="185"/>
    </row>
    <row r="39" spans="1:10">
      <c r="A39" s="2" t="s">
        <v>165</v>
      </c>
      <c r="B39" s="33">
        <v>252399</v>
      </c>
      <c r="C39" s="231">
        <v>506968</v>
      </c>
      <c r="D39" s="57">
        <v>2.0085974984053028</v>
      </c>
      <c r="E39" s="185"/>
      <c r="J39" s="185"/>
    </row>
    <row r="40" spans="1:10">
      <c r="A40" s="2" t="s">
        <v>166</v>
      </c>
      <c r="B40" s="33">
        <v>56997</v>
      </c>
      <c r="C40" s="231">
        <v>274796</v>
      </c>
      <c r="D40" s="57">
        <v>4.8212362054143201</v>
      </c>
      <c r="E40" s="185"/>
      <c r="J40" s="185"/>
    </row>
    <row r="41" spans="1:10">
      <c r="A41" s="2" t="s">
        <v>167</v>
      </c>
      <c r="B41" s="33">
        <v>9905</v>
      </c>
      <c r="C41" s="231">
        <v>23180</v>
      </c>
      <c r="D41" s="57">
        <v>2.3402322059565877</v>
      </c>
      <c r="E41" s="185"/>
      <c r="J41" s="185"/>
    </row>
    <row r="42" spans="1:10">
      <c r="A42" s="2" t="s">
        <v>168</v>
      </c>
      <c r="B42" s="33">
        <v>8411</v>
      </c>
      <c r="C42" s="231">
        <v>40558</v>
      </c>
      <c r="D42" s="57">
        <v>4.822018784924504</v>
      </c>
      <c r="E42" s="185"/>
      <c r="J42" s="185"/>
    </row>
    <row r="43" spans="1:10">
      <c r="A43" s="2" t="s">
        <v>169</v>
      </c>
      <c r="B43" s="33">
        <v>41142</v>
      </c>
      <c r="C43" s="231">
        <v>218918</v>
      </c>
      <c r="D43" s="57">
        <v>5.3210344659958198</v>
      </c>
      <c r="E43" s="185"/>
      <c r="J43" s="185"/>
    </row>
    <row r="44" spans="1:10">
      <c r="A44" s="2" t="s">
        <v>170</v>
      </c>
      <c r="B44" s="33">
        <v>212210</v>
      </c>
      <c r="C44" s="231">
        <v>287899</v>
      </c>
      <c r="D44" s="57">
        <v>1.3566702794401773</v>
      </c>
      <c r="E44" s="185"/>
      <c r="J44" s="185"/>
    </row>
    <row r="45" spans="1:10">
      <c r="A45" s="2" t="s">
        <v>171</v>
      </c>
      <c r="B45" s="33">
        <v>13075</v>
      </c>
      <c r="C45" s="231">
        <v>42151</v>
      </c>
      <c r="D45" s="57">
        <v>3.2237858508604207</v>
      </c>
      <c r="E45" s="185"/>
      <c r="J45" s="185"/>
    </row>
    <row r="46" spans="1:10">
      <c r="A46" s="2" t="s">
        <v>172</v>
      </c>
      <c r="B46" s="33">
        <v>9295</v>
      </c>
      <c r="C46" s="231">
        <v>42857</v>
      </c>
      <c r="D46" s="57">
        <v>4.6107584722969337</v>
      </c>
      <c r="E46" s="185"/>
      <c r="J46" s="185"/>
    </row>
    <row r="47" spans="1:10">
      <c r="A47" s="2" t="s">
        <v>173</v>
      </c>
      <c r="B47" s="33">
        <v>161593</v>
      </c>
      <c r="C47" s="231">
        <v>756556</v>
      </c>
      <c r="D47" s="57">
        <v>4.6818612192359819</v>
      </c>
      <c r="E47" s="185"/>
      <c r="J47" s="185"/>
    </row>
    <row r="48" spans="1:10">
      <c r="A48" s="2" t="s">
        <v>174</v>
      </c>
      <c r="B48" s="33">
        <v>4305</v>
      </c>
      <c r="C48" s="231">
        <v>18925</v>
      </c>
      <c r="D48" s="57">
        <v>4.3960511033681762</v>
      </c>
      <c r="E48" s="12"/>
      <c r="F48" s="2"/>
      <c r="G48" s="2"/>
      <c r="H48" s="138"/>
      <c r="I48" s="12"/>
      <c r="J48" s="12"/>
    </row>
    <row r="49" spans="1:14">
      <c r="A49" s="2" t="s">
        <v>280</v>
      </c>
      <c r="B49" s="33">
        <v>8978</v>
      </c>
      <c r="C49" s="231">
        <v>51665</v>
      </c>
      <c r="D49" s="57">
        <v>5.7546224103363777</v>
      </c>
      <c r="J49" s="12"/>
    </row>
    <row r="50" spans="1:14">
      <c r="A50" s="2" t="s">
        <v>176</v>
      </c>
      <c r="B50" s="33">
        <v>33112</v>
      </c>
      <c r="C50" s="231">
        <v>128456</v>
      </c>
      <c r="D50" s="57">
        <v>3.8794394781348154</v>
      </c>
    </row>
    <row r="51" spans="1:14">
      <c r="A51" s="2" t="s">
        <v>177</v>
      </c>
      <c r="B51" s="33">
        <v>11582</v>
      </c>
      <c r="C51" s="231">
        <v>21624</v>
      </c>
      <c r="D51" s="57">
        <v>1.8670350543947505</v>
      </c>
    </row>
    <row r="52" spans="1:14">
      <c r="A52" s="2" t="s">
        <v>178</v>
      </c>
      <c r="B52" s="33">
        <v>27340</v>
      </c>
      <c r="C52" s="231">
        <v>128457</v>
      </c>
      <c r="D52" s="57">
        <v>4.6985003657644473</v>
      </c>
      <c r="E52" s="12"/>
      <c r="H52" s="138"/>
      <c r="I52" s="12"/>
      <c r="J52" s="12"/>
      <c r="K52" s="5"/>
      <c r="L52" s="5"/>
      <c r="M52" s="138"/>
      <c r="N52" s="12"/>
    </row>
    <row r="53" spans="1:14">
      <c r="A53" s="2" t="s">
        <v>179</v>
      </c>
      <c r="B53" s="33">
        <v>13392</v>
      </c>
      <c r="C53" s="231">
        <v>19931</v>
      </c>
      <c r="D53" s="57">
        <v>1.4882765830346476</v>
      </c>
      <c r="E53" s="12"/>
      <c r="H53" s="138"/>
      <c r="I53" s="12"/>
      <c r="J53" s="12"/>
      <c r="M53" s="138"/>
      <c r="N53" s="12"/>
    </row>
    <row r="54" spans="1:14">
      <c r="A54" s="2" t="s">
        <v>180</v>
      </c>
      <c r="B54" s="33">
        <v>4893</v>
      </c>
      <c r="C54" s="231">
        <v>14616</v>
      </c>
      <c r="D54" s="57">
        <v>2.9871244635193133</v>
      </c>
      <c r="E54" s="12"/>
      <c r="F54" s="2"/>
      <c r="G54" s="2"/>
      <c r="H54" s="138"/>
      <c r="I54" s="12"/>
      <c r="J54" s="12"/>
      <c r="M54" s="100"/>
    </row>
    <row r="55" spans="1:14">
      <c r="A55" s="5" t="s">
        <v>182</v>
      </c>
      <c r="B55" s="33">
        <v>68704</v>
      </c>
      <c r="C55" s="231">
        <v>279438</v>
      </c>
      <c r="D55" s="57">
        <v>4.0672741034000932</v>
      </c>
    </row>
    <row r="56" spans="1:14">
      <c r="A56" s="2" t="s">
        <v>183</v>
      </c>
      <c r="B56" s="14">
        <v>2861</v>
      </c>
      <c r="C56" s="231">
        <v>20975</v>
      </c>
      <c r="D56" s="57">
        <v>7.3313526738902484</v>
      </c>
    </row>
    <row r="57" spans="1:14">
      <c r="A57" s="2" t="s">
        <v>281</v>
      </c>
      <c r="B57" s="14">
        <v>215612</v>
      </c>
      <c r="C57" s="231">
        <v>1587044</v>
      </c>
      <c r="D57" s="57">
        <v>7.3606478303619465</v>
      </c>
    </row>
    <row r="58" spans="1:14">
      <c r="A58" s="2" t="s">
        <v>185</v>
      </c>
      <c r="B58" s="229">
        <v>19300</v>
      </c>
      <c r="C58" s="231">
        <v>48429</v>
      </c>
      <c r="D58" s="57">
        <v>2.5092746113989639</v>
      </c>
    </row>
    <row r="59" spans="1:14">
      <c r="A59" s="2" t="s">
        <v>186</v>
      </c>
      <c r="B59" s="14">
        <v>154834</v>
      </c>
      <c r="C59" s="231">
        <v>1050153</v>
      </c>
      <c r="D59" s="57">
        <v>6.7824444243512403</v>
      </c>
    </row>
    <row r="60" spans="1:14">
      <c r="A60" s="2" t="s">
        <v>188</v>
      </c>
      <c r="B60" s="14">
        <v>14062</v>
      </c>
      <c r="C60" s="231">
        <v>8911</v>
      </c>
      <c r="D60" s="57">
        <v>0.6336936424406201</v>
      </c>
    </row>
    <row r="61" spans="1:14">
      <c r="A61" s="2" t="s">
        <v>282</v>
      </c>
      <c r="B61" s="14">
        <v>190939</v>
      </c>
      <c r="C61" s="231">
        <v>1643458</v>
      </c>
      <c r="D61" s="57">
        <v>8.6072410560440762</v>
      </c>
    </row>
    <row r="62" spans="1:14">
      <c r="A62" s="2" t="s">
        <v>190</v>
      </c>
      <c r="B62" s="14">
        <v>18080</v>
      </c>
      <c r="C62" s="231">
        <v>128592</v>
      </c>
      <c r="D62" s="57">
        <v>7.1123893805309732</v>
      </c>
    </row>
    <row r="63" spans="1:14">
      <c r="A63" s="2" t="s">
        <v>191</v>
      </c>
      <c r="B63" s="14">
        <v>6458</v>
      </c>
      <c r="C63" s="231">
        <v>20439</v>
      </c>
      <c r="D63" s="57">
        <v>3.164911737379994</v>
      </c>
    </row>
    <row r="64" spans="1:14">
      <c r="A64" s="2" t="s">
        <v>192</v>
      </c>
      <c r="B64" s="14">
        <v>31718</v>
      </c>
      <c r="C64" s="231">
        <v>206443</v>
      </c>
      <c r="D64" s="57">
        <v>6.5087016835866072</v>
      </c>
    </row>
    <row r="65" spans="1:4">
      <c r="A65" s="2" t="s">
        <v>193</v>
      </c>
      <c r="B65" s="14">
        <v>23173</v>
      </c>
      <c r="C65" s="231">
        <v>149453</v>
      </c>
      <c r="D65" s="57">
        <v>6.4494454753376775</v>
      </c>
    </row>
    <row r="66" spans="1:4">
      <c r="A66" s="2" t="s">
        <v>194</v>
      </c>
      <c r="B66" s="14">
        <v>128362</v>
      </c>
      <c r="C66" s="231">
        <v>875657</v>
      </c>
      <c r="D66" s="57">
        <v>6.8217774730839347</v>
      </c>
    </row>
    <row r="67" spans="1:4">
      <c r="A67" s="2" t="s">
        <v>195</v>
      </c>
      <c r="B67" s="14">
        <v>9582</v>
      </c>
      <c r="C67" s="231">
        <v>40086</v>
      </c>
      <c r="D67" s="57">
        <v>4.1834690043832188</v>
      </c>
    </row>
    <row r="68" spans="1:4">
      <c r="A68" s="2" t="s">
        <v>196</v>
      </c>
      <c r="B68" s="14">
        <v>6113</v>
      </c>
      <c r="C68" s="231">
        <v>14336</v>
      </c>
      <c r="D68" s="57">
        <v>2.3451660395877636</v>
      </c>
    </row>
    <row r="69" spans="1:4">
      <c r="A69" s="2" t="s">
        <v>198</v>
      </c>
      <c r="B69" s="14">
        <v>221859</v>
      </c>
      <c r="C69" s="231">
        <v>982744</v>
      </c>
      <c r="D69" s="57">
        <v>4.4295881618505444</v>
      </c>
    </row>
    <row r="70" spans="1:4">
      <c r="A70" s="2" t="s">
        <v>199</v>
      </c>
      <c r="B70" s="14">
        <v>42566</v>
      </c>
      <c r="C70" s="231">
        <v>665381</v>
      </c>
      <c r="D70" s="57">
        <v>15.631748343748532</v>
      </c>
    </row>
    <row r="71" spans="1:4">
      <c r="A71" s="2" t="s">
        <v>200</v>
      </c>
      <c r="B71" s="14">
        <v>11438</v>
      </c>
      <c r="C71" s="231">
        <v>25566</v>
      </c>
      <c r="D71" s="57">
        <v>2.2351809756950516</v>
      </c>
    </row>
    <row r="72" spans="1:4">
      <c r="A72" s="2" t="s">
        <v>201</v>
      </c>
      <c r="B72" s="14">
        <v>43783</v>
      </c>
      <c r="C72" s="231">
        <v>297343</v>
      </c>
      <c r="D72" s="57">
        <v>6.7912888564054539</v>
      </c>
    </row>
    <row r="73" spans="1:4">
      <c r="A73" s="2" t="s">
        <v>202</v>
      </c>
      <c r="B73" s="14">
        <v>20740</v>
      </c>
      <c r="C73" s="231">
        <v>49923</v>
      </c>
      <c r="D73" s="57">
        <v>2.4070877531340407</v>
      </c>
    </row>
    <row r="74" spans="1:4">
      <c r="A74" s="2" t="s">
        <v>203</v>
      </c>
      <c r="B74" s="14">
        <v>254905</v>
      </c>
      <c r="C74" s="231">
        <v>977278</v>
      </c>
      <c r="D74" s="57">
        <v>3.8338910574527767</v>
      </c>
    </row>
    <row r="75" spans="1:4">
      <c r="A75" s="2" t="s">
        <v>204</v>
      </c>
      <c r="B75" s="14">
        <v>7670</v>
      </c>
      <c r="C75" s="231">
        <v>26308</v>
      </c>
      <c r="D75" s="57">
        <v>3.4299869621903518</v>
      </c>
    </row>
    <row r="76" spans="1:4">
      <c r="A76" s="2" t="s">
        <v>205</v>
      </c>
      <c r="B76" s="14">
        <v>3474</v>
      </c>
      <c r="C76" s="231">
        <v>7977</v>
      </c>
      <c r="D76" s="57">
        <v>2.2962003454231432</v>
      </c>
    </row>
    <row r="77" spans="1:4">
      <c r="A77" s="2" t="s">
        <v>206</v>
      </c>
      <c r="B77" s="14">
        <v>98163</v>
      </c>
      <c r="C77" s="231">
        <v>379356</v>
      </c>
      <c r="D77" s="57">
        <v>3.8645518168760122</v>
      </c>
    </row>
    <row r="78" spans="1:4">
      <c r="A78" s="2" t="s">
        <v>207</v>
      </c>
      <c r="B78" s="14">
        <v>98582</v>
      </c>
      <c r="C78" s="231">
        <v>674916</v>
      </c>
      <c r="D78" s="57">
        <v>6.8462396786431601</v>
      </c>
    </row>
    <row r="79" spans="1:4">
      <c r="A79" s="2" t="s">
        <v>208</v>
      </c>
      <c r="B79" s="14">
        <v>26214</v>
      </c>
      <c r="C79" s="231">
        <v>100787</v>
      </c>
      <c r="D79" s="57">
        <v>3.8447775997558558</v>
      </c>
    </row>
    <row r="80" spans="1:4">
      <c r="A80" s="2" t="s">
        <v>209</v>
      </c>
      <c r="B80" s="14">
        <v>12816</v>
      </c>
      <c r="C80" s="231">
        <v>22904</v>
      </c>
      <c r="D80" s="57">
        <v>1.7871410736579276</v>
      </c>
    </row>
    <row r="81" spans="1:4">
      <c r="A81" s="2" t="s">
        <v>210</v>
      </c>
      <c r="B81" s="14">
        <v>29253</v>
      </c>
      <c r="C81" s="231">
        <v>342103</v>
      </c>
      <c r="D81" s="57">
        <v>11.694629610638225</v>
      </c>
    </row>
    <row r="82" spans="1:4">
      <c r="A82" s="2" t="s">
        <v>211</v>
      </c>
      <c r="B82" s="14">
        <v>13562</v>
      </c>
      <c r="C82" s="354">
        <v>63105</v>
      </c>
      <c r="D82" s="57">
        <v>4.653074767733373</v>
      </c>
    </row>
    <row r="83" spans="1:4">
      <c r="A83" s="2" t="s">
        <v>212</v>
      </c>
      <c r="B83" s="14">
        <v>3658</v>
      </c>
      <c r="C83" s="231">
        <v>15306</v>
      </c>
      <c r="D83" s="57">
        <v>4.1842536905412793</v>
      </c>
    </row>
    <row r="84" spans="1:4">
      <c r="A84" s="2" t="s">
        <v>213</v>
      </c>
      <c r="B84" s="14">
        <v>16817</v>
      </c>
      <c r="C84" s="231">
        <v>41916</v>
      </c>
      <c r="D84" s="57">
        <v>2.4924778497948505</v>
      </c>
    </row>
    <row r="85" spans="1:4">
      <c r="A85" s="2" t="s">
        <v>214</v>
      </c>
      <c r="B85" s="14">
        <v>20986</v>
      </c>
      <c r="C85" s="231">
        <v>68433</v>
      </c>
      <c r="D85" s="57">
        <v>3.2608882111884112</v>
      </c>
    </row>
    <row r="86" spans="1:4">
      <c r="A86" s="2" t="s">
        <v>215</v>
      </c>
      <c r="B86" s="14">
        <v>12796</v>
      </c>
      <c r="C86" s="231">
        <v>47481</v>
      </c>
      <c r="D86" s="57">
        <v>3.7106126914660833</v>
      </c>
    </row>
    <row r="87" spans="1:4">
      <c r="A87" s="2" t="s">
        <v>216</v>
      </c>
      <c r="B87" s="14">
        <v>5687</v>
      </c>
      <c r="C87" s="231">
        <v>38556</v>
      </c>
      <c r="D87" s="57">
        <v>6.7796729382802887</v>
      </c>
    </row>
    <row r="88" spans="1:4">
      <c r="A88" s="2" t="s">
        <v>217</v>
      </c>
      <c r="B88" s="14">
        <v>6432</v>
      </c>
      <c r="C88" s="231">
        <v>30832</v>
      </c>
      <c r="D88" s="57">
        <v>4.7935323383084576</v>
      </c>
    </row>
    <row r="89" spans="1:4">
      <c r="A89" s="2" t="s">
        <v>218</v>
      </c>
      <c r="B89" s="14">
        <v>176860</v>
      </c>
      <c r="C89" s="231">
        <v>1415210</v>
      </c>
      <c r="D89" s="57">
        <v>8.0018658826190201</v>
      </c>
    </row>
    <row r="90" spans="1:4">
      <c r="A90" s="2" t="s">
        <v>219</v>
      </c>
      <c r="B90" s="14">
        <v>72909</v>
      </c>
      <c r="C90" s="231">
        <v>610479</v>
      </c>
      <c r="D90" s="57">
        <v>8.3731638069374146</v>
      </c>
    </row>
    <row r="91" spans="1:4">
      <c r="A91" s="2" t="s">
        <v>220</v>
      </c>
      <c r="B91" s="14">
        <v>270772</v>
      </c>
      <c r="C91" s="231">
        <v>1510505</v>
      </c>
      <c r="D91" s="57">
        <v>5.5785125493034728</v>
      </c>
    </row>
    <row r="92" spans="1:4">
      <c r="A92" s="2" t="s">
        <v>283</v>
      </c>
      <c r="B92" s="14">
        <v>5604</v>
      </c>
      <c r="C92" s="231">
        <v>13199</v>
      </c>
      <c r="D92" s="57">
        <v>2.3552819414703783</v>
      </c>
    </row>
    <row r="93" spans="1:4">
      <c r="A93" s="2" t="s">
        <v>222</v>
      </c>
      <c r="B93" s="14">
        <v>44610</v>
      </c>
      <c r="C93" s="231">
        <v>246210</v>
      </c>
      <c r="D93" s="57">
        <v>5.519166106254203</v>
      </c>
    </row>
    <row r="94" spans="1:4">
      <c r="A94" s="2" t="s">
        <v>223</v>
      </c>
      <c r="B94" s="14">
        <v>14236</v>
      </c>
      <c r="C94" s="231">
        <v>36474</v>
      </c>
      <c r="D94" s="57">
        <v>2.5620960944085418</v>
      </c>
    </row>
    <row r="95" spans="1:4">
      <c r="A95" s="2" t="s">
        <v>224</v>
      </c>
      <c r="B95" s="14">
        <v>274956</v>
      </c>
      <c r="C95" s="231">
        <v>1187991</v>
      </c>
      <c r="D95" s="57">
        <v>4.3206585780997688</v>
      </c>
    </row>
    <row r="96" spans="1:4">
      <c r="A96" s="2" t="s">
        <v>225</v>
      </c>
      <c r="B96" s="14">
        <v>228661</v>
      </c>
      <c r="C96" s="231">
        <v>540739</v>
      </c>
      <c r="D96" s="57">
        <v>2.3648064164855396</v>
      </c>
    </row>
    <row r="97" spans="1:4">
      <c r="A97" s="2" t="s">
        <v>226</v>
      </c>
      <c r="B97" s="14">
        <v>90835</v>
      </c>
      <c r="C97" s="231">
        <v>688257</v>
      </c>
      <c r="D97" s="57">
        <v>7.5770022568393243</v>
      </c>
    </row>
    <row r="98" spans="1:4">
      <c r="A98" s="2" t="s">
        <v>227</v>
      </c>
      <c r="B98" s="14">
        <v>78906</v>
      </c>
      <c r="C98" s="231">
        <v>313983</v>
      </c>
      <c r="D98" s="57">
        <v>3.9792031024256711</v>
      </c>
    </row>
    <row r="99" spans="1:4">
      <c r="A99" s="171" t="s">
        <v>228</v>
      </c>
      <c r="B99" s="14">
        <v>66855</v>
      </c>
      <c r="C99" s="231">
        <v>216594</v>
      </c>
      <c r="D99" s="57">
        <v>3.2397576845411713</v>
      </c>
    </row>
    <row r="100" spans="1:4">
      <c r="A100" s="2" t="s">
        <v>229</v>
      </c>
      <c r="B100" s="14">
        <v>144598</v>
      </c>
      <c r="C100" s="231">
        <v>870199</v>
      </c>
      <c r="D100" s="57">
        <v>6.0180569579108978</v>
      </c>
    </row>
    <row r="101" spans="1:4">
      <c r="A101" s="2" t="s">
        <v>230</v>
      </c>
      <c r="B101" s="14">
        <v>23892</v>
      </c>
      <c r="C101" s="231">
        <v>110263</v>
      </c>
      <c r="D101" s="57">
        <v>4.6150594341202078</v>
      </c>
    </row>
    <row r="102" spans="1:4">
      <c r="A102" s="2" t="s">
        <v>284</v>
      </c>
      <c r="B102" s="14">
        <v>139047</v>
      </c>
      <c r="C102" s="231">
        <v>919059</v>
      </c>
      <c r="D102" s="57">
        <v>6.6097003171589463</v>
      </c>
    </row>
    <row r="103" spans="1:4">
      <c r="A103" s="2" t="s">
        <v>232</v>
      </c>
      <c r="B103" s="14">
        <v>81566</v>
      </c>
      <c r="C103" s="231">
        <v>626151</v>
      </c>
      <c r="D103" s="57">
        <v>7.6766177083588749</v>
      </c>
    </row>
    <row r="104" spans="1:4">
      <c r="A104" s="2" t="s">
        <v>233</v>
      </c>
      <c r="B104" s="14">
        <v>110803</v>
      </c>
      <c r="C104" s="231">
        <v>423947</v>
      </c>
      <c r="D104" s="57">
        <v>3.8261328664386345</v>
      </c>
    </row>
    <row r="105" spans="1:4">
      <c r="A105" s="2" t="s">
        <v>234</v>
      </c>
      <c r="B105" s="14">
        <v>25639</v>
      </c>
      <c r="C105" s="231">
        <v>139547</v>
      </c>
      <c r="D105" s="57">
        <v>5.442762978275284</v>
      </c>
    </row>
    <row r="106" spans="1:4">
      <c r="A106" s="2" t="s">
        <v>236</v>
      </c>
      <c r="B106" s="14">
        <v>22292</v>
      </c>
      <c r="C106" s="231">
        <v>76731</v>
      </c>
      <c r="D106" s="57">
        <v>3.4420868472994797</v>
      </c>
    </row>
    <row r="107" spans="1:4">
      <c r="A107" s="2" t="s">
        <v>237</v>
      </c>
      <c r="B107" s="14">
        <v>14955</v>
      </c>
      <c r="C107" s="231">
        <v>68586</v>
      </c>
      <c r="D107" s="57">
        <v>4.586158475426279</v>
      </c>
    </row>
    <row r="108" spans="1:4">
      <c r="A108" s="2" t="s">
        <v>238</v>
      </c>
      <c r="B108" s="14">
        <v>48495</v>
      </c>
      <c r="C108" s="231">
        <v>299317</v>
      </c>
      <c r="D108" s="57">
        <v>6.1721208371997109</v>
      </c>
    </row>
    <row r="109" spans="1:4">
      <c r="A109" s="2" t="s">
        <v>239</v>
      </c>
      <c r="B109" s="14">
        <v>238614</v>
      </c>
      <c r="C109" s="231">
        <v>1292983</v>
      </c>
      <c r="D109" s="57">
        <v>5.4187222878791692</v>
      </c>
    </row>
    <row r="110" spans="1:4">
      <c r="A110" s="2" t="s">
        <v>241</v>
      </c>
      <c r="B110" s="14">
        <v>237278</v>
      </c>
      <c r="C110" s="231">
        <v>1685934</v>
      </c>
      <c r="D110" s="57">
        <v>7.1053110697156923</v>
      </c>
    </row>
    <row r="111" spans="1:4">
      <c r="A111" s="2" t="s">
        <v>242</v>
      </c>
      <c r="B111" s="14">
        <v>65908</v>
      </c>
      <c r="C111" s="231">
        <v>261603</v>
      </c>
      <c r="D111" s="57">
        <v>3.9692146628633855</v>
      </c>
    </row>
    <row r="112" spans="1:4">
      <c r="A112" s="2" t="s">
        <v>243</v>
      </c>
      <c r="B112" s="14">
        <v>6023</v>
      </c>
      <c r="C112" s="231">
        <v>27087</v>
      </c>
      <c r="D112" s="57">
        <v>4.4972605014112572</v>
      </c>
    </row>
    <row r="113" spans="1:4">
      <c r="A113" s="2" t="s">
        <v>244</v>
      </c>
      <c r="B113" s="14">
        <v>7081</v>
      </c>
      <c r="C113" s="231">
        <v>20654</v>
      </c>
      <c r="D113" s="57">
        <v>2.9168196582403616</v>
      </c>
    </row>
    <row r="114" spans="1:4">
      <c r="A114" s="2" t="s">
        <v>245</v>
      </c>
      <c r="B114" s="14">
        <v>99793</v>
      </c>
      <c r="C114" s="231">
        <v>621649</v>
      </c>
      <c r="D114" s="57">
        <v>6.2293848265910432</v>
      </c>
    </row>
    <row r="115" spans="1:4">
      <c r="A115" s="2" t="s">
        <v>246</v>
      </c>
      <c r="B115" s="14">
        <v>14408</v>
      </c>
      <c r="C115" s="231">
        <v>35096</v>
      </c>
      <c r="D115" s="57">
        <v>2.4358689616879512</v>
      </c>
    </row>
    <row r="116" spans="1:4">
      <c r="A116" s="2" t="s">
        <v>247</v>
      </c>
      <c r="B116" s="14">
        <v>8875</v>
      </c>
      <c r="C116" s="231">
        <v>30532</v>
      </c>
      <c r="D116" s="57">
        <v>3.4402253521126762</v>
      </c>
    </row>
    <row r="117" spans="1:4">
      <c r="A117" s="2" t="s">
        <v>248</v>
      </c>
      <c r="B117" s="14">
        <v>6096</v>
      </c>
      <c r="C117" s="231">
        <v>16120</v>
      </c>
      <c r="D117" s="57">
        <v>2.6443569553805775</v>
      </c>
    </row>
    <row r="118" spans="1:4">
      <c r="A118" s="2" t="s">
        <v>249</v>
      </c>
      <c r="B118" s="14">
        <v>68951</v>
      </c>
      <c r="C118" s="231">
        <v>284990</v>
      </c>
      <c r="D118" s="57">
        <v>4.1332250438717351</v>
      </c>
    </row>
    <row r="119" spans="1:4">
      <c r="A119" s="2" t="s">
        <v>250</v>
      </c>
      <c r="B119" s="14">
        <v>2990</v>
      </c>
      <c r="C119" s="231">
        <v>10176</v>
      </c>
      <c r="D119" s="57">
        <v>3.4033444816053513</v>
      </c>
    </row>
    <row r="120" spans="1:4">
      <c r="A120" s="2" t="s">
        <v>251</v>
      </c>
      <c r="B120" s="14">
        <v>5497</v>
      </c>
      <c r="C120" s="231">
        <v>4520</v>
      </c>
      <c r="D120" s="57">
        <v>0.8222666909223213</v>
      </c>
    </row>
    <row r="121" spans="1:4">
      <c r="A121" s="2" t="s">
        <v>252</v>
      </c>
      <c r="B121" s="14">
        <v>2593</v>
      </c>
      <c r="C121" s="231">
        <v>16686</v>
      </c>
      <c r="D121" s="57">
        <v>6.4350173544157343</v>
      </c>
    </row>
    <row r="122" spans="1:4">
      <c r="A122" s="2" t="s">
        <v>253</v>
      </c>
      <c r="B122" s="14">
        <v>9239</v>
      </c>
      <c r="C122" s="231">
        <v>42159</v>
      </c>
      <c r="D122" s="57">
        <v>4.5631561857343872</v>
      </c>
    </row>
    <row r="123" spans="1:4">
      <c r="A123" s="2" t="s">
        <v>254</v>
      </c>
      <c r="B123" s="14">
        <v>72857</v>
      </c>
      <c r="C123" s="231">
        <v>380489</v>
      </c>
      <c r="D123" s="57">
        <v>5.22240827923192</v>
      </c>
    </row>
    <row r="124" spans="1:4">
      <c r="A124" s="2" t="s">
        <v>255</v>
      </c>
      <c r="B124" s="14">
        <v>3608</v>
      </c>
      <c r="C124" s="231">
        <v>13392</v>
      </c>
      <c r="D124" s="57">
        <v>3.7117516629711753</v>
      </c>
    </row>
    <row r="125" spans="1:4">
      <c r="A125" s="2" t="s">
        <v>256</v>
      </c>
      <c r="B125" s="14">
        <v>7804</v>
      </c>
      <c r="C125" s="231">
        <v>17226</v>
      </c>
      <c r="D125" s="57">
        <v>2.2073295745771397</v>
      </c>
    </row>
    <row r="126" spans="1:4">
      <c r="A126" s="2" t="s">
        <v>257</v>
      </c>
      <c r="B126" s="14">
        <v>79634</v>
      </c>
      <c r="C126" s="231">
        <v>852256</v>
      </c>
      <c r="D126" s="57">
        <v>10.702162392947736</v>
      </c>
    </row>
    <row r="127" spans="1:4">
      <c r="A127" s="2" t="s">
        <v>258</v>
      </c>
      <c r="B127" s="14">
        <v>53552</v>
      </c>
      <c r="C127" s="231">
        <v>315193</v>
      </c>
      <c r="D127" s="57">
        <v>5.8857372273677919</v>
      </c>
    </row>
    <row r="128" spans="1:4">
      <c r="A128" s="2" t="s">
        <v>285</v>
      </c>
      <c r="B128" s="14">
        <v>59782</v>
      </c>
      <c r="C128" s="231">
        <v>107163</v>
      </c>
      <c r="D128" s="57">
        <v>1.792562978823057</v>
      </c>
    </row>
    <row r="129" spans="1:14">
      <c r="A129" s="2" t="s">
        <v>260</v>
      </c>
      <c r="B129" s="14">
        <v>221894</v>
      </c>
      <c r="C129" s="231">
        <v>1437902</v>
      </c>
      <c r="D129" s="57">
        <v>6.4801301522348504</v>
      </c>
    </row>
    <row r="130" spans="1:14">
      <c r="A130" s="2" t="s">
        <v>261</v>
      </c>
      <c r="B130" s="14">
        <v>55175</v>
      </c>
      <c r="C130" s="231">
        <v>620085</v>
      </c>
      <c r="D130" s="57">
        <v>11.238513819664703</v>
      </c>
    </row>
    <row r="131" spans="1:14">
      <c r="A131" s="2" t="s">
        <v>286</v>
      </c>
      <c r="B131" s="14">
        <v>17647</v>
      </c>
      <c r="C131" s="231">
        <v>60781</v>
      </c>
      <c r="D131" s="57">
        <v>3.4442681475604919</v>
      </c>
    </row>
    <row r="132" spans="1:14">
      <c r="A132" s="2"/>
      <c r="B132" s="2"/>
      <c r="C132" s="138"/>
      <c r="D132" s="12"/>
    </row>
    <row r="133" spans="1:14">
      <c r="A133" s="7" t="s">
        <v>105</v>
      </c>
      <c r="B133" s="15">
        <v>26214</v>
      </c>
      <c r="C133" s="15">
        <v>128457</v>
      </c>
    </row>
    <row r="134" spans="1:14">
      <c r="A134" s="7" t="s">
        <v>104</v>
      </c>
      <c r="B134" s="15">
        <v>66744.5905511811</v>
      </c>
      <c r="C134" s="15">
        <v>324643.84251968504</v>
      </c>
    </row>
    <row r="135" spans="1:14">
      <c r="A135" s="7" t="s">
        <v>329</v>
      </c>
      <c r="B135" s="15">
        <v>8476563</v>
      </c>
      <c r="C135" s="15">
        <v>41229768</v>
      </c>
    </row>
    <row r="138" spans="1:14">
      <c r="A138" s="44" t="s">
        <v>267</v>
      </c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</row>
  </sheetData>
  <sortState xmlns:xlrd2="http://schemas.microsoft.com/office/spreadsheetml/2017/richdata2" ref="P5:Q131">
    <sortCondition ref="P5:P131"/>
  </sortState>
  <pageMargins left="0.39370078740157483" right="0.39370078740157483" top="0.51181102362204722" bottom="0.43307086614173229" header="0.35433070866141736" footer="0.27559055118110237"/>
  <pageSetup paperSize="9" scale="99" orientation="portrait" r:id="rId1"/>
  <headerFooter alignWithMargins="0">
    <oddFooter>&amp;L&amp;9Public Library Statistics 2022–23&amp;C&amp;9&amp;P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E98"/>
  <sheetViews>
    <sheetView zoomScaleNormal="100" workbookViewId="0">
      <pane ySplit="4" topLeftCell="A14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24.5703125" customWidth="1"/>
    <col min="2" max="2" width="19.85546875" customWidth="1"/>
    <col min="3" max="3" width="21.140625" customWidth="1"/>
    <col min="4" max="4" width="19.7109375" customWidth="1"/>
    <col min="5" max="5" width="12.7109375" style="2" bestFit="1" customWidth="1"/>
    <col min="6" max="6" width="27.85546875" bestFit="1" customWidth="1"/>
    <col min="7" max="7" width="13.28515625" bestFit="1" customWidth="1"/>
    <col min="8" max="8" width="17.5703125" bestFit="1" customWidth="1"/>
    <col min="9" max="9" width="10.5703125" bestFit="1" customWidth="1"/>
    <col min="10" max="10" width="14.140625" bestFit="1" customWidth="1"/>
    <col min="11" max="11" width="14.28515625" bestFit="1" customWidth="1"/>
    <col min="12" max="12" width="11.5703125" bestFit="1" customWidth="1"/>
  </cols>
  <sheetData>
    <row r="1" spans="1:4" ht="15">
      <c r="A1" s="9" t="s">
        <v>389</v>
      </c>
    </row>
    <row r="2" spans="1:4" ht="12.75">
      <c r="A2" s="3" t="s">
        <v>390</v>
      </c>
    </row>
    <row r="3" spans="1:4" ht="12.75">
      <c r="A3" s="3"/>
    </row>
    <row r="4" spans="1:4" s="1" customFormat="1" ht="14.25" customHeight="1">
      <c r="B4" s="129" t="s">
        <v>391</v>
      </c>
      <c r="C4" s="129" t="s">
        <v>392</v>
      </c>
      <c r="D4" s="129" t="s">
        <v>393</v>
      </c>
    </row>
    <row r="5" spans="1:4" ht="14.25" customHeight="1">
      <c r="A5" s="200" t="s">
        <v>346</v>
      </c>
      <c r="B5" s="231">
        <v>80229</v>
      </c>
      <c r="C5" s="231">
        <v>19226</v>
      </c>
      <c r="D5" s="231">
        <v>99455</v>
      </c>
    </row>
    <row r="6" spans="1:4" ht="14.25" customHeight="1">
      <c r="A6" s="200" t="s">
        <v>278</v>
      </c>
      <c r="B6" s="231">
        <v>82110</v>
      </c>
      <c r="C6" s="231">
        <v>2213</v>
      </c>
      <c r="D6" s="231">
        <v>84323</v>
      </c>
    </row>
    <row r="7" spans="1:4" ht="14.25" customHeight="1">
      <c r="A7" s="200" t="s">
        <v>123</v>
      </c>
      <c r="B7" s="231">
        <v>13425</v>
      </c>
      <c r="C7" s="231">
        <v>601</v>
      </c>
      <c r="D7" s="231">
        <v>14026</v>
      </c>
    </row>
    <row r="8" spans="1:4" ht="14.25" customHeight="1">
      <c r="A8" s="200" t="s">
        <v>124</v>
      </c>
      <c r="B8" s="231">
        <v>66251</v>
      </c>
      <c r="C8" s="231">
        <v>5543</v>
      </c>
      <c r="D8" s="231">
        <v>71794</v>
      </c>
    </row>
    <row r="9" spans="1:4" ht="14.25" customHeight="1">
      <c r="A9" s="200" t="s">
        <v>126</v>
      </c>
      <c r="B9" s="231">
        <v>141702</v>
      </c>
      <c r="C9" s="231">
        <v>15433</v>
      </c>
      <c r="D9" s="231">
        <v>157135</v>
      </c>
    </row>
    <row r="10" spans="1:4" ht="14.25" customHeight="1">
      <c r="A10" s="200" t="s">
        <v>127</v>
      </c>
      <c r="B10" s="231">
        <v>55949</v>
      </c>
      <c r="C10" s="231">
        <v>3724</v>
      </c>
      <c r="D10" s="231">
        <v>59673</v>
      </c>
    </row>
    <row r="11" spans="1:4" ht="14.25" customHeight="1">
      <c r="A11" s="200" t="s">
        <v>305</v>
      </c>
      <c r="B11" s="231">
        <v>41083</v>
      </c>
      <c r="C11" s="231">
        <v>816</v>
      </c>
      <c r="D11" s="231">
        <v>41899</v>
      </c>
    </row>
    <row r="12" spans="1:4" ht="14.25" customHeight="1">
      <c r="A12" s="200" t="s">
        <v>133</v>
      </c>
      <c r="B12" s="231">
        <v>270927</v>
      </c>
      <c r="C12" s="231">
        <v>20695</v>
      </c>
      <c r="D12" s="231">
        <v>291622</v>
      </c>
    </row>
    <row r="13" spans="1:4" ht="14.25" customHeight="1">
      <c r="A13" s="200" t="s">
        <v>137</v>
      </c>
      <c r="B13" s="231">
        <v>123019</v>
      </c>
      <c r="C13" s="231">
        <v>5660</v>
      </c>
      <c r="D13" s="231">
        <v>128679</v>
      </c>
    </row>
    <row r="14" spans="1:4" ht="14.25" customHeight="1">
      <c r="A14" s="200" t="s">
        <v>139</v>
      </c>
      <c r="B14" s="231">
        <v>29545</v>
      </c>
      <c r="C14" s="231">
        <v>360</v>
      </c>
      <c r="D14" s="231">
        <v>29905</v>
      </c>
    </row>
    <row r="15" spans="1:4" ht="14.25" customHeight="1">
      <c r="A15" s="200" t="s">
        <v>142</v>
      </c>
      <c r="B15" s="231">
        <v>118132</v>
      </c>
      <c r="C15" s="231">
        <v>2949</v>
      </c>
      <c r="D15" s="231">
        <v>121081</v>
      </c>
    </row>
    <row r="16" spans="1:4" ht="14.25" customHeight="1">
      <c r="A16" s="200" t="s">
        <v>144</v>
      </c>
      <c r="B16" s="231">
        <v>67224</v>
      </c>
      <c r="C16" s="231">
        <v>13840</v>
      </c>
      <c r="D16" s="231">
        <v>81064</v>
      </c>
    </row>
    <row r="17" spans="1:4" ht="14.25" customHeight="1">
      <c r="A17" s="200" t="s">
        <v>148</v>
      </c>
      <c r="B17" s="231">
        <v>135622</v>
      </c>
      <c r="C17" s="231">
        <v>8123</v>
      </c>
      <c r="D17" s="231">
        <v>143745</v>
      </c>
    </row>
    <row r="18" spans="1:4" ht="14.25" customHeight="1">
      <c r="A18" s="200" t="s">
        <v>149</v>
      </c>
      <c r="B18" s="231">
        <v>86567</v>
      </c>
      <c r="C18" s="231">
        <v>23331</v>
      </c>
      <c r="D18" s="231">
        <v>109898</v>
      </c>
    </row>
    <row r="19" spans="1:4" ht="14.25" customHeight="1">
      <c r="A19" s="200" t="s">
        <v>151</v>
      </c>
      <c r="B19" s="231">
        <v>142665</v>
      </c>
      <c r="C19" s="231">
        <v>13323</v>
      </c>
      <c r="D19" s="231">
        <v>155988</v>
      </c>
    </row>
    <row r="20" spans="1:4" ht="14.25" customHeight="1">
      <c r="A20" s="200" t="s">
        <v>152</v>
      </c>
      <c r="B20" s="231">
        <v>359730</v>
      </c>
      <c r="C20" s="231">
        <v>26723</v>
      </c>
      <c r="D20" s="231">
        <v>386453</v>
      </c>
    </row>
    <row r="21" spans="1:4" ht="14.25" customHeight="1">
      <c r="A21" s="200" t="s">
        <v>154</v>
      </c>
      <c r="B21" s="231">
        <v>266882</v>
      </c>
      <c r="C21" s="231">
        <v>11308</v>
      </c>
      <c r="D21" s="231">
        <v>278190</v>
      </c>
    </row>
    <row r="22" spans="1:4" ht="14.25" customHeight="1">
      <c r="A22" s="200" t="s">
        <v>347</v>
      </c>
      <c r="B22" s="231">
        <v>169561</v>
      </c>
      <c r="C22" s="231">
        <v>7865</v>
      </c>
      <c r="D22" s="231">
        <v>177426</v>
      </c>
    </row>
    <row r="23" spans="1:4" ht="14.25" customHeight="1">
      <c r="A23" s="200" t="s">
        <v>312</v>
      </c>
      <c r="B23" s="231">
        <v>163408</v>
      </c>
      <c r="C23" s="231">
        <v>23873</v>
      </c>
      <c r="D23" s="231">
        <v>187281</v>
      </c>
    </row>
    <row r="24" spans="1:4" ht="14.25" customHeight="1">
      <c r="A24" s="200" t="s">
        <v>155</v>
      </c>
      <c r="B24" s="231">
        <v>62858</v>
      </c>
      <c r="C24" s="231">
        <v>6982</v>
      </c>
      <c r="D24" s="231">
        <v>69840</v>
      </c>
    </row>
    <row r="25" spans="1:4" ht="14.25" customHeight="1">
      <c r="A25" s="200" t="s">
        <v>348</v>
      </c>
      <c r="B25" s="231">
        <v>127998</v>
      </c>
      <c r="C25" s="231">
        <v>13221</v>
      </c>
      <c r="D25" s="231">
        <v>141219</v>
      </c>
    </row>
    <row r="26" spans="1:4" ht="14.25" customHeight="1">
      <c r="A26" s="200" t="s">
        <v>158</v>
      </c>
      <c r="B26" s="231">
        <v>30655</v>
      </c>
      <c r="C26" s="231">
        <v>508</v>
      </c>
      <c r="D26" s="231">
        <v>31163</v>
      </c>
    </row>
    <row r="27" spans="1:4" ht="14.25" customHeight="1">
      <c r="A27" s="200" t="s">
        <v>160</v>
      </c>
      <c r="B27" s="231">
        <v>137065</v>
      </c>
      <c r="C27" s="231">
        <v>3700</v>
      </c>
      <c r="D27" s="231">
        <v>140765</v>
      </c>
    </row>
    <row r="28" spans="1:4" ht="14.25" customHeight="1">
      <c r="A28" s="200" t="s">
        <v>165</v>
      </c>
      <c r="B28" s="231">
        <v>285643</v>
      </c>
      <c r="C28" s="231">
        <v>37205</v>
      </c>
      <c r="D28" s="231">
        <v>322848</v>
      </c>
    </row>
    <row r="29" spans="1:4" ht="14.25" customHeight="1">
      <c r="A29" s="200" t="s">
        <v>168</v>
      </c>
      <c r="B29" s="231">
        <v>26418</v>
      </c>
      <c r="C29" s="231">
        <v>1581</v>
      </c>
      <c r="D29" s="231">
        <v>27999</v>
      </c>
    </row>
    <row r="30" spans="1:4" ht="14.25" customHeight="1">
      <c r="A30" s="200" t="s">
        <v>169</v>
      </c>
      <c r="B30" s="231">
        <v>86492</v>
      </c>
      <c r="C30" s="231">
        <v>1987</v>
      </c>
      <c r="D30" s="231">
        <v>88479</v>
      </c>
    </row>
    <row r="31" spans="1:4" ht="14.25" customHeight="1">
      <c r="A31" s="200" t="s">
        <v>170</v>
      </c>
      <c r="B31" s="231">
        <v>192363</v>
      </c>
      <c r="C31" s="231">
        <v>21774</v>
      </c>
      <c r="D31" s="231">
        <v>214137</v>
      </c>
    </row>
    <row r="32" spans="1:4" ht="14.25" customHeight="1">
      <c r="A32" s="200" t="s">
        <v>173</v>
      </c>
      <c r="B32" s="231">
        <v>216703</v>
      </c>
      <c r="C32" s="231">
        <v>38973</v>
      </c>
      <c r="D32" s="231">
        <v>255676</v>
      </c>
    </row>
    <row r="33" spans="1:4" ht="14.25" customHeight="1">
      <c r="A33" s="200" t="s">
        <v>280</v>
      </c>
      <c r="B33" s="231">
        <v>39865</v>
      </c>
      <c r="C33" s="231">
        <v>1000</v>
      </c>
      <c r="D33" s="231">
        <v>40865</v>
      </c>
    </row>
    <row r="34" spans="1:4" ht="14.25" customHeight="1">
      <c r="A34" s="200" t="s">
        <v>176</v>
      </c>
      <c r="B34" s="231">
        <v>44283</v>
      </c>
      <c r="C34" s="231">
        <v>21554</v>
      </c>
      <c r="D34" s="231">
        <v>65837</v>
      </c>
    </row>
    <row r="35" spans="1:4" ht="14.25" customHeight="1">
      <c r="A35" s="200" t="s">
        <v>316</v>
      </c>
      <c r="B35" s="231">
        <v>15667</v>
      </c>
      <c r="C35" s="231">
        <v>832</v>
      </c>
      <c r="D35" s="231">
        <v>16499</v>
      </c>
    </row>
    <row r="36" spans="1:4" ht="14.25" customHeight="1">
      <c r="A36" s="200" t="s">
        <v>179</v>
      </c>
      <c r="B36" s="231">
        <v>28854</v>
      </c>
      <c r="C36" s="231">
        <v>373</v>
      </c>
      <c r="D36" s="231">
        <v>29227</v>
      </c>
    </row>
    <row r="37" spans="1:4" ht="14.25" customHeight="1">
      <c r="A37" s="200" t="s">
        <v>182</v>
      </c>
      <c r="B37" s="231">
        <v>81611</v>
      </c>
      <c r="C37" s="231">
        <v>116406</v>
      </c>
      <c r="D37" s="231">
        <v>198017</v>
      </c>
    </row>
    <row r="38" spans="1:4" ht="14.25" customHeight="1">
      <c r="A38" s="200" t="s">
        <v>317</v>
      </c>
      <c r="B38" s="231">
        <v>187022</v>
      </c>
      <c r="C38" s="231">
        <v>8995</v>
      </c>
      <c r="D38" s="231">
        <v>196017</v>
      </c>
    </row>
    <row r="39" spans="1:4" ht="14.25" customHeight="1">
      <c r="A39" s="200" t="s">
        <v>185</v>
      </c>
      <c r="B39" s="231">
        <v>39874</v>
      </c>
      <c r="C39" s="231">
        <v>318</v>
      </c>
      <c r="D39" s="231">
        <v>40192</v>
      </c>
    </row>
    <row r="40" spans="1:4" ht="14.25" customHeight="1">
      <c r="A40" s="200" t="s">
        <v>186</v>
      </c>
      <c r="B40" s="231">
        <v>168904</v>
      </c>
      <c r="C40" s="231">
        <v>16652</v>
      </c>
      <c r="D40" s="231">
        <v>185556</v>
      </c>
    </row>
    <row r="41" spans="1:4" ht="14.25" customHeight="1">
      <c r="A41" s="200" t="s">
        <v>282</v>
      </c>
      <c r="B41" s="231">
        <v>255276</v>
      </c>
      <c r="C41" s="231">
        <v>29750</v>
      </c>
      <c r="D41" s="231">
        <v>285026</v>
      </c>
    </row>
    <row r="42" spans="1:4" ht="14.25" customHeight="1">
      <c r="A42" s="200" t="s">
        <v>190</v>
      </c>
      <c r="B42" s="231">
        <v>85588</v>
      </c>
      <c r="C42" s="231">
        <v>6184</v>
      </c>
      <c r="D42" s="231">
        <v>91772</v>
      </c>
    </row>
    <row r="43" spans="1:4" ht="14.25" customHeight="1">
      <c r="A43" s="200" t="s">
        <v>192</v>
      </c>
      <c r="B43" s="231">
        <v>57559</v>
      </c>
      <c r="C43" s="231">
        <v>4197</v>
      </c>
      <c r="D43" s="231">
        <v>61756</v>
      </c>
    </row>
    <row r="44" spans="1:4" ht="14.25" customHeight="1">
      <c r="A44" s="200" t="s">
        <v>193</v>
      </c>
      <c r="B44" s="231">
        <v>65390</v>
      </c>
      <c r="C44" s="231">
        <v>2226</v>
      </c>
      <c r="D44" s="231">
        <v>67616</v>
      </c>
    </row>
    <row r="45" spans="1:4" ht="14.25" customHeight="1">
      <c r="A45" s="200" t="s">
        <v>318</v>
      </c>
      <c r="B45" s="231">
        <v>166086</v>
      </c>
      <c r="C45" s="231">
        <v>32036</v>
      </c>
      <c r="D45" s="231">
        <v>198122</v>
      </c>
    </row>
    <row r="46" spans="1:4" ht="14.25" customHeight="1">
      <c r="A46" s="200" t="s">
        <v>196</v>
      </c>
      <c r="B46" s="231">
        <v>33374</v>
      </c>
      <c r="C46" s="231">
        <v>2299</v>
      </c>
      <c r="D46" s="231">
        <v>35673</v>
      </c>
    </row>
    <row r="47" spans="1:4" ht="14.25" customHeight="1">
      <c r="A47" s="200" t="s">
        <v>198</v>
      </c>
      <c r="B47" s="231">
        <v>194514</v>
      </c>
      <c r="C47" s="231">
        <v>7384</v>
      </c>
      <c r="D47" s="231">
        <v>201898</v>
      </c>
    </row>
    <row r="48" spans="1:4" ht="14.25" customHeight="1">
      <c r="A48" s="200" t="s">
        <v>199</v>
      </c>
      <c r="B48" s="231">
        <v>185089</v>
      </c>
      <c r="C48" s="231">
        <v>45534</v>
      </c>
      <c r="D48" s="231">
        <v>230623</v>
      </c>
    </row>
    <row r="49" spans="1:4" ht="14.25" customHeight="1">
      <c r="A49" s="200" t="s">
        <v>202</v>
      </c>
      <c r="B49" s="231">
        <v>45895</v>
      </c>
      <c r="C49" s="231">
        <v>11014</v>
      </c>
      <c r="D49" s="231">
        <v>56909</v>
      </c>
    </row>
    <row r="50" spans="1:4" ht="14.25" customHeight="1">
      <c r="A50" s="200" t="s">
        <v>203</v>
      </c>
      <c r="B50" s="231">
        <v>296664</v>
      </c>
      <c r="C50" s="231">
        <v>36842</v>
      </c>
      <c r="D50" s="231">
        <v>333506</v>
      </c>
    </row>
    <row r="51" spans="1:4" ht="14.25" customHeight="1">
      <c r="A51" s="2" t="s">
        <v>319</v>
      </c>
      <c r="B51" s="71">
        <v>157041</v>
      </c>
      <c r="C51" s="71">
        <v>5182</v>
      </c>
      <c r="D51" s="71">
        <v>162223</v>
      </c>
    </row>
    <row r="52" spans="1:4" ht="14.25" customHeight="1">
      <c r="A52" s="2" t="s">
        <v>206</v>
      </c>
      <c r="B52" s="14">
        <v>109218</v>
      </c>
      <c r="C52" s="14">
        <v>8336</v>
      </c>
      <c r="D52" s="14">
        <v>117554</v>
      </c>
    </row>
    <row r="53" spans="1:4" ht="14.25" customHeight="1">
      <c r="A53" s="2" t="s">
        <v>207</v>
      </c>
      <c r="B53" s="14">
        <v>149556</v>
      </c>
      <c r="C53" s="14">
        <v>4800</v>
      </c>
      <c r="D53" s="14">
        <v>154356</v>
      </c>
    </row>
    <row r="54" spans="1:4" ht="14.25" customHeight="1">
      <c r="A54" s="2" t="s">
        <v>208</v>
      </c>
      <c r="B54" s="14">
        <v>49207</v>
      </c>
      <c r="C54" s="14">
        <v>4579</v>
      </c>
      <c r="D54" s="14">
        <v>53786</v>
      </c>
    </row>
    <row r="55" spans="1:4" ht="14.25" customHeight="1">
      <c r="A55" s="2" t="s">
        <v>210</v>
      </c>
      <c r="B55" s="14">
        <v>73421</v>
      </c>
      <c r="C55" s="14">
        <v>6491</v>
      </c>
      <c r="D55" s="14">
        <v>79912</v>
      </c>
    </row>
    <row r="56" spans="1:4" ht="14.25" customHeight="1">
      <c r="A56" s="2" t="s">
        <v>349</v>
      </c>
      <c r="B56" s="14">
        <v>29048</v>
      </c>
      <c r="C56" s="14">
        <v>115</v>
      </c>
      <c r="D56" s="14">
        <v>29163</v>
      </c>
    </row>
    <row r="57" spans="1:4" ht="14.25" customHeight="1">
      <c r="A57" s="2" t="s">
        <v>213</v>
      </c>
      <c r="B57" s="14">
        <v>37479</v>
      </c>
      <c r="C57" s="14">
        <v>2904</v>
      </c>
      <c r="D57" s="14">
        <v>40383</v>
      </c>
    </row>
    <row r="58" spans="1:4" ht="14.25" customHeight="1">
      <c r="A58" s="2" t="s">
        <v>214</v>
      </c>
      <c r="B58" s="14">
        <v>44925</v>
      </c>
      <c r="C58" s="14">
        <v>1118</v>
      </c>
      <c r="D58" s="14">
        <v>46043</v>
      </c>
    </row>
    <row r="59" spans="1:4" ht="14.25" customHeight="1">
      <c r="A59" s="2" t="s">
        <v>218</v>
      </c>
      <c r="B59" s="14">
        <v>495052</v>
      </c>
      <c r="C59" s="14">
        <v>554130</v>
      </c>
      <c r="D59" s="14">
        <v>1049182</v>
      </c>
    </row>
    <row r="60" spans="1:4" ht="14.25" customHeight="1">
      <c r="A60" s="2" t="s">
        <v>219</v>
      </c>
      <c r="B60" s="14">
        <v>173328</v>
      </c>
      <c r="C60" s="14">
        <v>22729</v>
      </c>
      <c r="D60" s="14">
        <v>196057</v>
      </c>
    </row>
    <row r="61" spans="1:4" ht="14.25" customHeight="1">
      <c r="A61" s="2" t="s">
        <v>320</v>
      </c>
      <c r="B61" s="14">
        <v>124509</v>
      </c>
      <c r="C61" s="14">
        <v>3261</v>
      </c>
      <c r="D61" s="14">
        <v>127770</v>
      </c>
    </row>
    <row r="62" spans="1:4" ht="14.25" customHeight="1">
      <c r="A62" s="2" t="s">
        <v>220</v>
      </c>
      <c r="B62" s="14">
        <v>132720</v>
      </c>
      <c r="C62" s="14">
        <v>124590</v>
      </c>
      <c r="D62" s="14">
        <v>257310</v>
      </c>
    </row>
    <row r="63" spans="1:4" ht="14.25" customHeight="1">
      <c r="A63" s="2" t="s">
        <v>283</v>
      </c>
      <c r="B63" s="14">
        <v>16043</v>
      </c>
      <c r="C63" s="14">
        <v>626</v>
      </c>
      <c r="D63" s="14">
        <v>16669</v>
      </c>
    </row>
    <row r="64" spans="1:4" ht="14.25" customHeight="1">
      <c r="A64" s="2" t="s">
        <v>223</v>
      </c>
      <c r="B64" s="14">
        <v>37822</v>
      </c>
      <c r="C64" s="14">
        <v>1637</v>
      </c>
      <c r="D64" s="14">
        <v>39459</v>
      </c>
    </row>
    <row r="65" spans="1:4" ht="14.25" customHeight="1">
      <c r="A65" s="2" t="s">
        <v>224</v>
      </c>
      <c r="B65" s="14">
        <v>267717</v>
      </c>
      <c r="C65" s="14">
        <v>3169</v>
      </c>
      <c r="D65" s="14">
        <v>270886</v>
      </c>
    </row>
    <row r="66" spans="1:4" ht="14.25" customHeight="1">
      <c r="A66" s="2" t="s">
        <v>225</v>
      </c>
      <c r="B66" s="14">
        <v>198511</v>
      </c>
      <c r="C66" s="14">
        <v>90201</v>
      </c>
      <c r="D66" s="14">
        <v>288712</v>
      </c>
    </row>
    <row r="67" spans="1:4" ht="14.25" customHeight="1">
      <c r="A67" s="2" t="s">
        <v>226</v>
      </c>
      <c r="B67" s="14">
        <v>119279</v>
      </c>
      <c r="C67" s="14">
        <v>9413</v>
      </c>
      <c r="D67" s="14">
        <v>128692</v>
      </c>
    </row>
    <row r="68" spans="1:4" ht="14.25" customHeight="1">
      <c r="A68" s="2" t="s">
        <v>228</v>
      </c>
      <c r="B68" s="14">
        <v>64369</v>
      </c>
      <c r="C68" s="14">
        <v>2797</v>
      </c>
      <c r="D68" s="14">
        <v>67166</v>
      </c>
    </row>
    <row r="69" spans="1:4" ht="14.25" customHeight="1">
      <c r="A69" s="2" t="s">
        <v>229</v>
      </c>
      <c r="B69" s="14">
        <v>175404</v>
      </c>
      <c r="C69" s="14">
        <v>22264</v>
      </c>
      <c r="D69" s="14">
        <v>197668</v>
      </c>
    </row>
    <row r="70" spans="1:4" ht="14.25" customHeight="1">
      <c r="A70" s="2" t="s">
        <v>322</v>
      </c>
      <c r="B70" s="14">
        <v>415218</v>
      </c>
      <c r="C70" s="14">
        <v>22716</v>
      </c>
      <c r="D70" s="14">
        <v>437934</v>
      </c>
    </row>
    <row r="71" spans="1:4" ht="14.25" customHeight="1">
      <c r="A71" s="2" t="s">
        <v>323</v>
      </c>
      <c r="B71" s="14">
        <v>47651</v>
      </c>
      <c r="C71" s="14">
        <v>2455</v>
      </c>
      <c r="D71" s="14">
        <v>50106</v>
      </c>
    </row>
    <row r="72" spans="1:4" ht="14.25" customHeight="1">
      <c r="A72" s="2" t="s">
        <v>350</v>
      </c>
      <c r="B72" s="14">
        <v>203372</v>
      </c>
      <c r="C72" s="14">
        <v>7438</v>
      </c>
      <c r="D72" s="14">
        <v>210810</v>
      </c>
    </row>
    <row r="73" spans="1:4" ht="14.25" customHeight="1">
      <c r="A73" s="2" t="s">
        <v>284</v>
      </c>
      <c r="B73" s="14">
        <v>230978</v>
      </c>
      <c r="C73" s="14">
        <v>15558</v>
      </c>
      <c r="D73" s="14">
        <v>246536</v>
      </c>
    </row>
    <row r="74" spans="1:4" ht="14.25" customHeight="1">
      <c r="A74" s="2" t="s">
        <v>232</v>
      </c>
      <c r="B74" s="14">
        <v>145647</v>
      </c>
      <c r="C74" s="14">
        <v>1554</v>
      </c>
      <c r="D74" s="14">
        <v>147201</v>
      </c>
    </row>
    <row r="75" spans="1:4" ht="14.25" customHeight="1">
      <c r="A75" s="2" t="s">
        <v>233</v>
      </c>
      <c r="B75" s="14">
        <v>106526</v>
      </c>
      <c r="C75" s="14">
        <v>6827</v>
      </c>
      <c r="D75" s="14">
        <v>113353</v>
      </c>
    </row>
    <row r="76" spans="1:4" ht="14.25" customHeight="1">
      <c r="A76" s="2" t="s">
        <v>234</v>
      </c>
      <c r="B76" s="14">
        <v>54358</v>
      </c>
      <c r="C76" s="14">
        <v>4662</v>
      </c>
      <c r="D76" s="14">
        <v>59020</v>
      </c>
    </row>
    <row r="77" spans="1:4" ht="14.25" customHeight="1">
      <c r="A77" s="2" t="s">
        <v>236</v>
      </c>
      <c r="B77" s="14">
        <v>57987</v>
      </c>
      <c r="C77" s="14">
        <v>4624</v>
      </c>
      <c r="D77" s="14">
        <v>62611</v>
      </c>
    </row>
    <row r="78" spans="1:4" ht="14.25" customHeight="1">
      <c r="A78" s="2" t="s">
        <v>238</v>
      </c>
      <c r="B78" s="14">
        <v>68894</v>
      </c>
      <c r="C78" s="14">
        <v>3855</v>
      </c>
      <c r="D78" s="14">
        <v>72749</v>
      </c>
    </row>
    <row r="79" spans="1:4" ht="14.25" customHeight="1">
      <c r="A79" s="2" t="s">
        <v>239</v>
      </c>
      <c r="B79" s="14">
        <v>269329</v>
      </c>
      <c r="C79" s="14">
        <v>18518</v>
      </c>
      <c r="D79" s="14">
        <v>287847</v>
      </c>
    </row>
    <row r="80" spans="1:4" ht="14.25" customHeight="1">
      <c r="A80" s="2" t="s">
        <v>351</v>
      </c>
      <c r="B80" s="14">
        <v>391457</v>
      </c>
      <c r="C80" s="14">
        <v>15619</v>
      </c>
      <c r="D80" s="14">
        <v>407076</v>
      </c>
    </row>
    <row r="81" spans="1:4" ht="14.25" customHeight="1">
      <c r="A81" s="2" t="s">
        <v>244</v>
      </c>
      <c r="B81" s="14">
        <v>38697</v>
      </c>
      <c r="C81" s="14">
        <v>484</v>
      </c>
      <c r="D81" s="14">
        <v>39181</v>
      </c>
    </row>
    <row r="82" spans="1:4" ht="14.25" customHeight="1">
      <c r="A82" s="2" t="s">
        <v>326</v>
      </c>
      <c r="B82" s="14">
        <v>45061</v>
      </c>
      <c r="C82" s="14">
        <v>1078</v>
      </c>
      <c r="D82" s="14">
        <v>46139</v>
      </c>
    </row>
    <row r="83" spans="1:4" ht="14.25" customHeight="1">
      <c r="A83" s="2" t="s">
        <v>247</v>
      </c>
      <c r="B83" s="14">
        <v>40173</v>
      </c>
      <c r="C83" s="14">
        <v>541</v>
      </c>
      <c r="D83" s="14">
        <v>40714</v>
      </c>
    </row>
    <row r="84" spans="1:4" ht="14.25" customHeight="1">
      <c r="A84" s="2" t="s">
        <v>249</v>
      </c>
      <c r="B84" s="14">
        <v>76456</v>
      </c>
      <c r="C84" s="14">
        <v>14342</v>
      </c>
      <c r="D84" s="14">
        <v>90798</v>
      </c>
    </row>
    <row r="85" spans="1:4" ht="14.25" customHeight="1">
      <c r="A85" s="2" t="s">
        <v>254</v>
      </c>
      <c r="B85" s="14">
        <v>111933</v>
      </c>
      <c r="C85" s="14">
        <v>73704</v>
      </c>
      <c r="D85" s="14">
        <v>185637</v>
      </c>
    </row>
    <row r="86" spans="1:4" ht="14.25" customHeight="1">
      <c r="A86" s="2" t="s">
        <v>256</v>
      </c>
      <c r="B86" s="14">
        <v>22603</v>
      </c>
      <c r="C86" s="14">
        <v>1282</v>
      </c>
      <c r="D86" s="14">
        <v>23885</v>
      </c>
    </row>
    <row r="87" spans="1:4" ht="14.25" customHeight="1">
      <c r="A87" s="2" t="s">
        <v>327</v>
      </c>
      <c r="B87" s="14">
        <v>126983</v>
      </c>
      <c r="C87" s="14">
        <v>10100</v>
      </c>
      <c r="D87" s="14">
        <v>137083</v>
      </c>
    </row>
    <row r="88" spans="1:4" ht="14.25" customHeight="1">
      <c r="A88" s="2" t="s">
        <v>257</v>
      </c>
      <c r="B88" s="14">
        <v>185348</v>
      </c>
      <c r="C88" s="14">
        <v>17417</v>
      </c>
      <c r="D88" s="14">
        <v>202765</v>
      </c>
    </row>
    <row r="89" spans="1:4" ht="14.25" customHeight="1">
      <c r="A89" s="2" t="s">
        <v>258</v>
      </c>
      <c r="B89" s="14">
        <v>81028</v>
      </c>
      <c r="C89" s="14">
        <v>3895</v>
      </c>
      <c r="D89" s="14">
        <v>84923</v>
      </c>
    </row>
    <row r="90" spans="1:4" ht="14.25" customHeight="1">
      <c r="A90" s="2" t="s">
        <v>285</v>
      </c>
      <c r="B90" s="14">
        <v>50558</v>
      </c>
      <c r="C90" s="14">
        <v>1537</v>
      </c>
      <c r="D90" s="14">
        <v>52095</v>
      </c>
    </row>
    <row r="91" spans="1:4" ht="14.25" customHeight="1">
      <c r="A91" s="2" t="s">
        <v>260</v>
      </c>
      <c r="B91" s="14">
        <v>403429</v>
      </c>
      <c r="C91" s="14">
        <v>59026</v>
      </c>
      <c r="D91" s="14">
        <v>462455</v>
      </c>
    </row>
    <row r="92" spans="1:4" ht="14.25" customHeight="1">
      <c r="A92" s="2" t="s">
        <v>261</v>
      </c>
      <c r="B92" s="14">
        <v>197096</v>
      </c>
      <c r="C92" s="14">
        <v>14241</v>
      </c>
      <c r="D92" s="14">
        <v>211337</v>
      </c>
    </row>
    <row r="93" spans="1:4" ht="14.25" customHeight="1">
      <c r="A93" s="2" t="s">
        <v>286</v>
      </c>
      <c r="B93" s="14">
        <v>45195</v>
      </c>
      <c r="C93" s="14">
        <v>553</v>
      </c>
      <c r="D93" s="14">
        <v>45748</v>
      </c>
    </row>
    <row r="94" spans="1:4" ht="14.25" customHeight="1">
      <c r="A94" s="2"/>
      <c r="B94" s="14"/>
      <c r="C94" s="14"/>
      <c r="D94" s="14"/>
    </row>
    <row r="95" spans="1:4" ht="14.25" customHeight="1">
      <c r="A95" s="7" t="s">
        <v>105</v>
      </c>
      <c r="B95" s="15">
        <v>106526</v>
      </c>
      <c r="C95" s="15">
        <v>6827</v>
      </c>
      <c r="D95" s="15">
        <v>117554</v>
      </c>
    </row>
    <row r="96" spans="1:4" ht="14.25" customHeight="1">
      <c r="A96" s="7" t="s">
        <v>104</v>
      </c>
      <c r="B96" s="15">
        <v>128565.9213483146</v>
      </c>
      <c r="C96" s="15">
        <v>20735.966292134832</v>
      </c>
      <c r="D96" s="15">
        <v>149301.88764044945</v>
      </c>
    </row>
    <row r="97" spans="1:4" ht="14.25" customHeight="1">
      <c r="A97" s="7" t="s">
        <v>329</v>
      </c>
      <c r="B97" s="15">
        <v>11442367</v>
      </c>
      <c r="C97" s="15">
        <v>1845501</v>
      </c>
      <c r="D97" s="15">
        <v>13287868</v>
      </c>
    </row>
    <row r="98" spans="1:4" ht="14.25" customHeight="1">
      <c r="A98" s="7"/>
      <c r="B98" s="15"/>
      <c r="C98" s="15"/>
      <c r="D98" s="15"/>
    </row>
  </sheetData>
  <sortState xmlns:xlrd2="http://schemas.microsoft.com/office/spreadsheetml/2017/richdata2" ref="A4:D51">
    <sortCondition ref="A5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X100"/>
  <sheetViews>
    <sheetView zoomScaleNormal="100" workbookViewId="0">
      <pane ySplit="3" topLeftCell="A79" activePane="bottomLeft" state="frozen"/>
      <selection pane="bottomLeft"/>
      <selection activeCell="G34" sqref="G34"/>
    </sheetView>
  </sheetViews>
  <sheetFormatPr defaultColWidth="19" defaultRowHeight="14.25" customHeight="1"/>
  <cols>
    <col min="2" max="11" width="19" style="20"/>
    <col min="13" max="13" width="19" style="2"/>
    <col min="15" max="23" width="19" style="2"/>
    <col min="24" max="24" width="19" style="171"/>
  </cols>
  <sheetData>
    <row r="1" spans="1:11" ht="15">
      <c r="A1" s="9" t="s">
        <v>394</v>
      </c>
    </row>
    <row r="2" spans="1:11" ht="15">
      <c r="A2" s="9"/>
    </row>
    <row r="3" spans="1:11" s="91" customFormat="1" ht="38.25" customHeight="1">
      <c r="A3" s="101"/>
      <c r="B3" s="105" t="s">
        <v>395</v>
      </c>
      <c r="C3" s="105" t="s">
        <v>396</v>
      </c>
      <c r="D3" s="105" t="s">
        <v>397</v>
      </c>
      <c r="E3" s="105" t="s">
        <v>398</v>
      </c>
      <c r="F3" s="105" t="s">
        <v>363</v>
      </c>
      <c r="G3" s="105" t="s">
        <v>364</v>
      </c>
      <c r="H3" s="105" t="s">
        <v>365</v>
      </c>
      <c r="I3" s="105" t="s">
        <v>399</v>
      </c>
      <c r="J3" s="105" t="s">
        <v>400</v>
      </c>
      <c r="K3" s="105" t="s">
        <v>27</v>
      </c>
    </row>
    <row r="4" spans="1:11" ht="14.25" customHeight="1">
      <c r="A4" s="202" t="s">
        <v>346</v>
      </c>
      <c r="B4" s="231">
        <v>18479</v>
      </c>
      <c r="C4" s="231">
        <v>20111</v>
      </c>
      <c r="D4" s="231">
        <v>256</v>
      </c>
      <c r="E4" s="231">
        <v>2790</v>
      </c>
      <c r="F4" s="231">
        <v>2973</v>
      </c>
      <c r="G4" s="231">
        <v>5705</v>
      </c>
      <c r="H4" s="231">
        <v>0</v>
      </c>
      <c r="I4" s="231">
        <v>8357</v>
      </c>
      <c r="J4" s="231">
        <v>10041</v>
      </c>
      <c r="K4" s="231">
        <v>68712</v>
      </c>
    </row>
    <row r="5" spans="1:11" ht="14.25" customHeight="1">
      <c r="A5" s="202" t="s">
        <v>278</v>
      </c>
      <c r="B5" s="231">
        <v>17801</v>
      </c>
      <c r="C5" s="231">
        <v>18754</v>
      </c>
      <c r="D5" s="231">
        <v>0</v>
      </c>
      <c r="E5" s="231">
        <v>3174</v>
      </c>
      <c r="F5" s="231">
        <v>2687</v>
      </c>
      <c r="G5" s="231">
        <v>5071</v>
      </c>
      <c r="H5" s="231">
        <v>0</v>
      </c>
      <c r="I5" s="231">
        <v>4990</v>
      </c>
      <c r="J5" s="231">
        <v>1991</v>
      </c>
      <c r="K5" s="231">
        <v>54468</v>
      </c>
    </row>
    <row r="6" spans="1:11" ht="14.25" customHeight="1">
      <c r="A6" s="202" t="s">
        <v>123</v>
      </c>
      <c r="B6" s="231">
        <v>2223</v>
      </c>
      <c r="C6" s="231">
        <v>6313</v>
      </c>
      <c r="D6" s="231">
        <v>32</v>
      </c>
      <c r="E6" s="231">
        <v>1025</v>
      </c>
      <c r="F6" s="231">
        <v>43</v>
      </c>
      <c r="G6" s="231">
        <v>1707</v>
      </c>
      <c r="H6" s="231">
        <v>0</v>
      </c>
      <c r="I6" s="231">
        <v>727</v>
      </c>
      <c r="J6" s="231">
        <v>882</v>
      </c>
      <c r="K6" s="231">
        <v>12952</v>
      </c>
    </row>
    <row r="7" spans="1:11" ht="14.25" customHeight="1">
      <c r="A7" s="202" t="s">
        <v>124</v>
      </c>
      <c r="B7" s="231">
        <v>17673</v>
      </c>
      <c r="C7" s="231">
        <v>21090</v>
      </c>
      <c r="D7" s="231">
        <v>163</v>
      </c>
      <c r="E7" s="231">
        <v>3006</v>
      </c>
      <c r="F7" s="231">
        <v>2579</v>
      </c>
      <c r="G7" s="231">
        <v>6571</v>
      </c>
      <c r="H7" s="231">
        <v>0</v>
      </c>
      <c r="I7" s="231">
        <v>4692</v>
      </c>
      <c r="J7" s="231">
        <v>521</v>
      </c>
      <c r="K7" s="231">
        <v>56295</v>
      </c>
    </row>
    <row r="8" spans="1:11" ht="14.25" customHeight="1">
      <c r="A8" s="202" t="s">
        <v>126</v>
      </c>
      <c r="B8" s="231">
        <v>31931</v>
      </c>
      <c r="C8" s="231">
        <v>33346</v>
      </c>
      <c r="D8" s="231">
        <v>1403</v>
      </c>
      <c r="E8" s="231">
        <v>6124</v>
      </c>
      <c r="F8" s="231">
        <v>15319</v>
      </c>
      <c r="G8" s="231">
        <v>16339</v>
      </c>
      <c r="H8" s="231">
        <v>0</v>
      </c>
      <c r="I8" s="231">
        <v>13916</v>
      </c>
      <c r="J8" s="231">
        <v>9660</v>
      </c>
      <c r="K8" s="231">
        <v>128038</v>
      </c>
    </row>
    <row r="9" spans="1:11" ht="14.25" customHeight="1">
      <c r="A9" s="202" t="s">
        <v>127</v>
      </c>
      <c r="B9" s="231">
        <v>12660</v>
      </c>
      <c r="C9" s="231">
        <v>17845</v>
      </c>
      <c r="D9" s="231">
        <v>274</v>
      </c>
      <c r="E9" s="231">
        <v>1979</v>
      </c>
      <c r="F9" s="231">
        <v>1674</v>
      </c>
      <c r="G9" s="231">
        <v>6314</v>
      </c>
      <c r="H9" s="231">
        <v>0</v>
      </c>
      <c r="I9" s="231">
        <v>4411</v>
      </c>
      <c r="J9" s="231">
        <v>1493</v>
      </c>
      <c r="K9" s="231">
        <v>46650</v>
      </c>
    </row>
    <row r="10" spans="1:11" ht="14.25" customHeight="1">
      <c r="A10" s="202" t="s">
        <v>305</v>
      </c>
      <c r="B10" s="231">
        <v>5694</v>
      </c>
      <c r="C10" s="231">
        <v>8785</v>
      </c>
      <c r="D10" s="231">
        <v>0</v>
      </c>
      <c r="E10" s="231">
        <v>1122</v>
      </c>
      <c r="F10" s="231">
        <v>1475</v>
      </c>
      <c r="G10" s="231">
        <v>3497</v>
      </c>
      <c r="H10" s="231">
        <v>0</v>
      </c>
      <c r="I10" s="231">
        <v>5586</v>
      </c>
      <c r="J10" s="231">
        <v>1251</v>
      </c>
      <c r="K10" s="231">
        <v>27410</v>
      </c>
    </row>
    <row r="11" spans="1:11" ht="14.25" customHeight="1">
      <c r="A11" s="202" t="s">
        <v>133</v>
      </c>
      <c r="B11" s="231">
        <v>55181</v>
      </c>
      <c r="C11" s="231">
        <v>55399</v>
      </c>
      <c r="D11" s="231">
        <v>0</v>
      </c>
      <c r="E11" s="231">
        <v>9427</v>
      </c>
      <c r="F11" s="231">
        <v>14090</v>
      </c>
      <c r="G11" s="231">
        <v>54236</v>
      </c>
      <c r="H11" s="231">
        <v>0</v>
      </c>
      <c r="I11" s="231">
        <v>22223</v>
      </c>
      <c r="J11" s="231">
        <v>15122</v>
      </c>
      <c r="K11" s="231">
        <v>225678</v>
      </c>
    </row>
    <row r="12" spans="1:11" ht="14.25" customHeight="1">
      <c r="A12" s="202" t="s">
        <v>137</v>
      </c>
      <c r="B12" s="231">
        <v>25780</v>
      </c>
      <c r="C12" s="231">
        <v>22937</v>
      </c>
      <c r="D12" s="231">
        <v>676</v>
      </c>
      <c r="E12" s="231">
        <v>3076</v>
      </c>
      <c r="F12" s="231">
        <v>4854</v>
      </c>
      <c r="G12" s="231">
        <v>8796</v>
      </c>
      <c r="H12" s="231">
        <v>1206</v>
      </c>
      <c r="I12" s="231">
        <v>4246</v>
      </c>
      <c r="J12" s="231">
        <v>30993</v>
      </c>
      <c r="K12" s="231">
        <v>102564</v>
      </c>
    </row>
    <row r="13" spans="1:11" ht="14.25" customHeight="1">
      <c r="A13" s="202" t="s">
        <v>139</v>
      </c>
      <c r="B13" s="231">
        <v>2597</v>
      </c>
      <c r="C13" s="231">
        <v>5839</v>
      </c>
      <c r="D13" s="231">
        <v>0</v>
      </c>
      <c r="E13" s="231">
        <v>338</v>
      </c>
      <c r="F13" s="231">
        <v>612</v>
      </c>
      <c r="G13" s="231">
        <v>2563</v>
      </c>
      <c r="H13" s="231">
        <v>0</v>
      </c>
      <c r="I13" s="231">
        <v>1761</v>
      </c>
      <c r="J13" s="231">
        <v>1529</v>
      </c>
      <c r="K13" s="231">
        <v>15239</v>
      </c>
    </row>
    <row r="14" spans="1:11" ht="14.25" customHeight="1">
      <c r="A14" s="202" t="s">
        <v>142</v>
      </c>
      <c r="B14" s="231">
        <v>6452</v>
      </c>
      <c r="C14" s="231">
        <v>13629</v>
      </c>
      <c r="D14" s="231">
        <v>65</v>
      </c>
      <c r="E14" s="231">
        <v>1116</v>
      </c>
      <c r="F14" s="231">
        <v>2584</v>
      </c>
      <c r="G14" s="231">
        <v>2938</v>
      </c>
      <c r="H14" s="231">
        <v>0</v>
      </c>
      <c r="I14" s="231">
        <v>4056</v>
      </c>
      <c r="J14" s="231">
        <v>1607</v>
      </c>
      <c r="K14" s="231">
        <v>32447</v>
      </c>
    </row>
    <row r="15" spans="1:11" ht="14.25" customHeight="1">
      <c r="A15" s="202" t="s">
        <v>144</v>
      </c>
      <c r="B15" s="231">
        <v>8108</v>
      </c>
      <c r="C15" s="231">
        <v>10483</v>
      </c>
      <c r="D15" s="231">
        <v>1210</v>
      </c>
      <c r="E15" s="231">
        <v>3185</v>
      </c>
      <c r="F15" s="231">
        <v>3550</v>
      </c>
      <c r="G15" s="231">
        <v>8223</v>
      </c>
      <c r="H15" s="231">
        <v>0</v>
      </c>
      <c r="I15" s="231">
        <v>5735</v>
      </c>
      <c r="J15" s="231">
        <v>3435</v>
      </c>
      <c r="K15" s="231">
        <v>43929</v>
      </c>
    </row>
    <row r="16" spans="1:11" ht="14.25" customHeight="1">
      <c r="A16" s="202" t="s">
        <v>148</v>
      </c>
      <c r="B16" s="231">
        <v>17485</v>
      </c>
      <c r="C16" s="231">
        <v>19932</v>
      </c>
      <c r="D16" s="231">
        <v>1928</v>
      </c>
      <c r="E16" s="231">
        <v>5236</v>
      </c>
      <c r="F16" s="231">
        <v>6248</v>
      </c>
      <c r="G16" s="231">
        <v>18429</v>
      </c>
      <c r="H16" s="231">
        <v>0</v>
      </c>
      <c r="I16" s="231">
        <v>11369</v>
      </c>
      <c r="J16" s="231">
        <v>11628</v>
      </c>
      <c r="K16" s="231">
        <v>92255</v>
      </c>
    </row>
    <row r="17" spans="1:11" ht="14.25" customHeight="1">
      <c r="A17" s="202" t="s">
        <v>149</v>
      </c>
      <c r="B17" s="231">
        <v>23826</v>
      </c>
      <c r="C17" s="231">
        <v>20869</v>
      </c>
      <c r="D17" s="231">
        <v>1364</v>
      </c>
      <c r="E17" s="231">
        <v>5398</v>
      </c>
      <c r="F17" s="231">
        <v>4168</v>
      </c>
      <c r="G17" s="231">
        <v>8776</v>
      </c>
      <c r="H17" s="231">
        <v>475</v>
      </c>
      <c r="I17" s="231">
        <v>7192</v>
      </c>
      <c r="J17" s="231">
        <v>7791</v>
      </c>
      <c r="K17" s="231">
        <v>79859</v>
      </c>
    </row>
    <row r="18" spans="1:11" ht="14.25" customHeight="1">
      <c r="A18" s="202" t="s">
        <v>151</v>
      </c>
      <c r="B18" s="231">
        <v>20970</v>
      </c>
      <c r="C18" s="231">
        <v>40131</v>
      </c>
      <c r="D18" s="231">
        <v>2774</v>
      </c>
      <c r="E18" s="231">
        <v>9251</v>
      </c>
      <c r="F18" s="231">
        <v>10567</v>
      </c>
      <c r="G18" s="231">
        <v>11882</v>
      </c>
      <c r="H18" s="231">
        <v>0</v>
      </c>
      <c r="I18" s="231">
        <v>11131</v>
      </c>
      <c r="J18" s="231">
        <v>5620</v>
      </c>
      <c r="K18" s="231">
        <v>112326</v>
      </c>
    </row>
    <row r="19" spans="1:11" ht="14.25" customHeight="1">
      <c r="A19" s="202" t="s">
        <v>152</v>
      </c>
      <c r="B19" s="231">
        <v>99484</v>
      </c>
      <c r="C19" s="231">
        <v>59919</v>
      </c>
      <c r="D19" s="231">
        <v>0</v>
      </c>
      <c r="E19" s="231">
        <v>16360</v>
      </c>
      <c r="F19" s="231">
        <v>18808</v>
      </c>
      <c r="G19" s="231">
        <v>43993</v>
      </c>
      <c r="H19" s="231">
        <v>2272</v>
      </c>
      <c r="I19" s="231">
        <v>38343</v>
      </c>
      <c r="J19" s="231">
        <v>21374</v>
      </c>
      <c r="K19" s="231">
        <v>300553</v>
      </c>
    </row>
    <row r="20" spans="1:11" ht="14.25" customHeight="1">
      <c r="A20" s="202" t="s">
        <v>154</v>
      </c>
      <c r="B20" s="231">
        <v>44044</v>
      </c>
      <c r="C20" s="231">
        <v>80784</v>
      </c>
      <c r="D20" s="231">
        <v>0</v>
      </c>
      <c r="E20" s="231">
        <v>6305</v>
      </c>
      <c r="F20" s="231">
        <v>11064</v>
      </c>
      <c r="G20" s="231">
        <v>26659</v>
      </c>
      <c r="H20" s="231">
        <v>0</v>
      </c>
      <c r="I20" s="231">
        <v>38222</v>
      </c>
      <c r="J20" s="231">
        <v>16052</v>
      </c>
      <c r="K20" s="231">
        <v>223130</v>
      </c>
    </row>
    <row r="21" spans="1:11" ht="14.25" customHeight="1">
      <c r="A21" s="202" t="s">
        <v>347</v>
      </c>
      <c r="B21" s="231">
        <v>31842</v>
      </c>
      <c r="C21" s="231">
        <v>62318</v>
      </c>
      <c r="D21" s="231">
        <v>9</v>
      </c>
      <c r="E21" s="231">
        <v>4414</v>
      </c>
      <c r="F21" s="231">
        <v>6489</v>
      </c>
      <c r="G21" s="231">
        <v>9616</v>
      </c>
      <c r="H21" s="231">
        <v>0</v>
      </c>
      <c r="I21" s="231">
        <v>17289</v>
      </c>
      <c r="J21" s="231">
        <v>4194</v>
      </c>
      <c r="K21" s="231">
        <v>136171</v>
      </c>
    </row>
    <row r="22" spans="1:11" ht="14.25" customHeight="1">
      <c r="A22" s="202" t="s">
        <v>312</v>
      </c>
      <c r="B22" s="231">
        <v>44697</v>
      </c>
      <c r="C22" s="231">
        <v>44188</v>
      </c>
      <c r="D22" s="231">
        <v>144</v>
      </c>
      <c r="E22" s="231">
        <v>5092</v>
      </c>
      <c r="F22" s="231">
        <v>9489</v>
      </c>
      <c r="G22" s="231">
        <v>9778</v>
      </c>
      <c r="H22" s="231">
        <v>1572</v>
      </c>
      <c r="I22" s="231">
        <v>11382</v>
      </c>
      <c r="J22" s="231">
        <v>5626</v>
      </c>
      <c r="K22" s="231">
        <v>131968</v>
      </c>
    </row>
    <row r="23" spans="1:11" ht="14.25" customHeight="1">
      <c r="A23" s="202" t="s">
        <v>155</v>
      </c>
      <c r="B23" s="231">
        <v>12513</v>
      </c>
      <c r="C23" s="231">
        <v>19501</v>
      </c>
      <c r="D23" s="231">
        <v>0</v>
      </c>
      <c r="E23" s="231">
        <v>1662</v>
      </c>
      <c r="F23" s="231">
        <v>3958</v>
      </c>
      <c r="G23" s="231">
        <v>4391</v>
      </c>
      <c r="H23" s="231">
        <v>0</v>
      </c>
      <c r="I23" s="231">
        <v>3317</v>
      </c>
      <c r="J23" s="231">
        <v>967</v>
      </c>
      <c r="K23" s="231">
        <v>46309</v>
      </c>
    </row>
    <row r="24" spans="1:11" ht="14.25" customHeight="1">
      <c r="A24" s="202" t="s">
        <v>348</v>
      </c>
      <c r="B24" s="231">
        <v>31563</v>
      </c>
      <c r="C24" s="231">
        <v>36519</v>
      </c>
      <c r="D24" s="231">
        <v>792</v>
      </c>
      <c r="E24" s="231">
        <v>4519</v>
      </c>
      <c r="F24" s="231">
        <v>6640</v>
      </c>
      <c r="G24" s="231">
        <v>12314</v>
      </c>
      <c r="H24" s="231">
        <v>910</v>
      </c>
      <c r="I24" s="231">
        <v>9623</v>
      </c>
      <c r="J24" s="231">
        <v>5450</v>
      </c>
      <c r="K24" s="231">
        <v>108330</v>
      </c>
    </row>
    <row r="25" spans="1:11" ht="14.25" customHeight="1">
      <c r="A25" s="202" t="s">
        <v>158</v>
      </c>
      <c r="B25" s="231">
        <v>3731</v>
      </c>
      <c r="C25" s="231">
        <v>8580</v>
      </c>
      <c r="D25" s="231">
        <v>0</v>
      </c>
      <c r="E25" s="231">
        <v>973</v>
      </c>
      <c r="F25" s="231">
        <v>1111</v>
      </c>
      <c r="G25" s="231">
        <v>1336</v>
      </c>
      <c r="H25" s="231">
        <v>0</v>
      </c>
      <c r="I25" s="231">
        <v>1935</v>
      </c>
      <c r="J25" s="231">
        <v>713</v>
      </c>
      <c r="K25" s="231">
        <v>18379</v>
      </c>
    </row>
    <row r="26" spans="1:11" ht="14.25" customHeight="1">
      <c r="A26" s="202" t="s">
        <v>160</v>
      </c>
      <c r="B26" s="231">
        <v>24687</v>
      </c>
      <c r="C26" s="231">
        <v>29166</v>
      </c>
      <c r="D26" s="231">
        <v>300</v>
      </c>
      <c r="E26" s="231">
        <v>3504</v>
      </c>
      <c r="F26" s="231">
        <v>3292</v>
      </c>
      <c r="G26" s="231">
        <v>9901</v>
      </c>
      <c r="H26" s="231">
        <v>0</v>
      </c>
      <c r="I26" s="231">
        <v>7579</v>
      </c>
      <c r="J26" s="231">
        <v>4644</v>
      </c>
      <c r="K26" s="231">
        <v>83073</v>
      </c>
    </row>
    <row r="27" spans="1:11" ht="14.25" customHeight="1">
      <c r="A27" s="202" t="s">
        <v>165</v>
      </c>
      <c r="B27" s="231">
        <v>53934</v>
      </c>
      <c r="C27" s="231">
        <v>55073</v>
      </c>
      <c r="D27" s="231">
        <v>219</v>
      </c>
      <c r="E27" s="231">
        <v>7489</v>
      </c>
      <c r="F27" s="231">
        <v>19631</v>
      </c>
      <c r="G27" s="231">
        <v>27369</v>
      </c>
      <c r="H27" s="231">
        <v>0</v>
      </c>
      <c r="I27" s="231">
        <v>33244</v>
      </c>
      <c r="J27" s="231">
        <v>29059</v>
      </c>
      <c r="K27" s="231">
        <v>226018</v>
      </c>
    </row>
    <row r="28" spans="1:11" ht="14.25" customHeight="1">
      <c r="A28" s="202" t="s">
        <v>168</v>
      </c>
      <c r="B28" s="231">
        <v>6898</v>
      </c>
      <c r="C28" s="231">
        <v>6321</v>
      </c>
      <c r="D28" s="231">
        <v>0</v>
      </c>
      <c r="E28" s="231">
        <v>611</v>
      </c>
      <c r="F28" s="231">
        <v>1153</v>
      </c>
      <c r="G28" s="231">
        <v>2879</v>
      </c>
      <c r="H28" s="231">
        <v>0</v>
      </c>
      <c r="I28" s="231">
        <v>2230</v>
      </c>
      <c r="J28" s="231">
        <v>1325</v>
      </c>
      <c r="K28" s="231">
        <v>21417</v>
      </c>
    </row>
    <row r="29" spans="1:11" ht="14.25" customHeight="1">
      <c r="A29" s="202" t="s">
        <v>169</v>
      </c>
      <c r="B29" s="231">
        <v>15368</v>
      </c>
      <c r="C29" s="231">
        <v>26450</v>
      </c>
      <c r="D29" s="231">
        <v>286</v>
      </c>
      <c r="E29" s="231">
        <v>2414</v>
      </c>
      <c r="F29" s="231">
        <v>2053</v>
      </c>
      <c r="G29" s="231">
        <v>6979</v>
      </c>
      <c r="H29" s="231">
        <v>0</v>
      </c>
      <c r="I29" s="231">
        <v>4735</v>
      </c>
      <c r="J29" s="231">
        <v>1954</v>
      </c>
      <c r="K29" s="231">
        <v>60239</v>
      </c>
    </row>
    <row r="30" spans="1:11" ht="14.25" customHeight="1">
      <c r="A30" s="202" t="s">
        <v>170</v>
      </c>
      <c r="B30" s="231">
        <v>19094</v>
      </c>
      <c r="C30" s="231">
        <v>25497</v>
      </c>
      <c r="D30" s="231">
        <v>3526</v>
      </c>
      <c r="E30" s="231">
        <v>9593</v>
      </c>
      <c r="F30" s="231">
        <v>8707</v>
      </c>
      <c r="G30" s="231">
        <v>35439</v>
      </c>
      <c r="H30" s="231">
        <v>0</v>
      </c>
      <c r="I30" s="231">
        <v>14856</v>
      </c>
      <c r="J30" s="231">
        <v>31277</v>
      </c>
      <c r="K30" s="231">
        <v>147989</v>
      </c>
    </row>
    <row r="31" spans="1:11" ht="14.25" customHeight="1">
      <c r="A31" s="202" t="s">
        <v>173</v>
      </c>
      <c r="B31" s="231">
        <v>28592</v>
      </c>
      <c r="C31" s="231">
        <v>43344</v>
      </c>
      <c r="D31" s="231">
        <v>1981</v>
      </c>
      <c r="E31" s="231">
        <v>7674</v>
      </c>
      <c r="F31" s="231">
        <v>10588</v>
      </c>
      <c r="G31" s="231">
        <v>26489</v>
      </c>
      <c r="H31" s="231">
        <v>0</v>
      </c>
      <c r="I31" s="231">
        <v>27578</v>
      </c>
      <c r="J31" s="231">
        <v>25379</v>
      </c>
      <c r="K31" s="231">
        <v>171625</v>
      </c>
    </row>
    <row r="32" spans="1:11" ht="14.25" customHeight="1">
      <c r="A32" s="202" t="s">
        <v>280</v>
      </c>
      <c r="B32" s="231">
        <v>9023</v>
      </c>
      <c r="C32" s="231">
        <v>8050</v>
      </c>
      <c r="D32" s="231">
        <v>36</v>
      </c>
      <c r="E32" s="231">
        <v>1052</v>
      </c>
      <c r="F32" s="231">
        <v>1734</v>
      </c>
      <c r="G32" s="231">
        <v>1399</v>
      </c>
      <c r="H32" s="231">
        <v>125</v>
      </c>
      <c r="I32" s="231">
        <v>1451</v>
      </c>
      <c r="J32" s="231">
        <v>1698</v>
      </c>
      <c r="K32" s="231">
        <v>24568</v>
      </c>
    </row>
    <row r="33" spans="1:11" ht="14.25" customHeight="1">
      <c r="A33" s="202" t="s">
        <v>176</v>
      </c>
      <c r="B33" s="231">
        <v>13189</v>
      </c>
      <c r="C33" s="231">
        <v>14589</v>
      </c>
      <c r="D33" s="231">
        <v>0</v>
      </c>
      <c r="E33" s="231">
        <v>1643</v>
      </c>
      <c r="F33" s="231">
        <v>1128</v>
      </c>
      <c r="G33" s="231">
        <v>3709</v>
      </c>
      <c r="H33" s="231">
        <v>0</v>
      </c>
      <c r="I33" s="231">
        <v>2471</v>
      </c>
      <c r="J33" s="231">
        <v>2079</v>
      </c>
      <c r="K33" s="231">
        <v>38808</v>
      </c>
    </row>
    <row r="34" spans="1:11" ht="14.25" customHeight="1">
      <c r="A34" s="202" t="s">
        <v>316</v>
      </c>
      <c r="B34" s="231">
        <v>3578</v>
      </c>
      <c r="C34" s="231">
        <v>3066</v>
      </c>
      <c r="D34" s="231">
        <v>0</v>
      </c>
      <c r="E34" s="231">
        <v>487</v>
      </c>
      <c r="F34" s="231">
        <v>0</v>
      </c>
      <c r="G34" s="231">
        <v>1717</v>
      </c>
      <c r="H34" s="231">
        <v>0</v>
      </c>
      <c r="I34" s="231">
        <v>975</v>
      </c>
      <c r="J34" s="231">
        <v>1660</v>
      </c>
      <c r="K34" s="231">
        <v>11483</v>
      </c>
    </row>
    <row r="35" spans="1:11" ht="14.25" customHeight="1">
      <c r="A35" s="202" t="s">
        <v>179</v>
      </c>
      <c r="B35" s="231">
        <v>4548</v>
      </c>
      <c r="C35" s="231">
        <v>6191</v>
      </c>
      <c r="D35" s="231">
        <v>0</v>
      </c>
      <c r="E35" s="231">
        <v>686</v>
      </c>
      <c r="F35" s="231">
        <v>183</v>
      </c>
      <c r="G35" s="231">
        <v>1337</v>
      </c>
      <c r="H35" s="231">
        <v>0</v>
      </c>
      <c r="I35" s="231">
        <v>2028</v>
      </c>
      <c r="J35" s="231">
        <v>4700</v>
      </c>
      <c r="K35" s="231">
        <v>19673</v>
      </c>
    </row>
    <row r="36" spans="1:11" ht="14.25" customHeight="1">
      <c r="A36" s="202" t="s">
        <v>182</v>
      </c>
      <c r="B36" s="231">
        <v>18159</v>
      </c>
      <c r="C36" s="231">
        <v>21607</v>
      </c>
      <c r="D36" s="231">
        <v>4</v>
      </c>
      <c r="E36" s="231">
        <v>2020</v>
      </c>
      <c r="F36" s="231">
        <v>3210</v>
      </c>
      <c r="G36" s="231">
        <v>9033</v>
      </c>
      <c r="H36" s="231">
        <v>0</v>
      </c>
      <c r="I36" s="231">
        <v>5354</v>
      </c>
      <c r="J36" s="231">
        <v>7872</v>
      </c>
      <c r="K36" s="231">
        <v>67259</v>
      </c>
    </row>
    <row r="37" spans="1:11" ht="14.25" customHeight="1">
      <c r="A37" s="202" t="s">
        <v>317</v>
      </c>
      <c r="B37" s="231">
        <v>31395</v>
      </c>
      <c r="C37" s="231">
        <v>29511</v>
      </c>
      <c r="D37" s="231">
        <v>3</v>
      </c>
      <c r="E37" s="231">
        <v>6122</v>
      </c>
      <c r="F37" s="231">
        <v>11519</v>
      </c>
      <c r="G37" s="231">
        <v>24931</v>
      </c>
      <c r="H37" s="231">
        <v>0</v>
      </c>
      <c r="I37" s="231">
        <v>22864</v>
      </c>
      <c r="J37" s="231">
        <v>30211</v>
      </c>
      <c r="K37" s="231">
        <v>156556</v>
      </c>
    </row>
    <row r="38" spans="1:11" ht="14.25" customHeight="1">
      <c r="A38" s="202" t="s">
        <v>185</v>
      </c>
      <c r="B38" s="231">
        <v>6703</v>
      </c>
      <c r="C38" s="231">
        <v>12840</v>
      </c>
      <c r="D38" s="231">
        <v>0</v>
      </c>
      <c r="E38" s="231">
        <v>649</v>
      </c>
      <c r="F38" s="231">
        <v>1474</v>
      </c>
      <c r="G38" s="231">
        <v>2144</v>
      </c>
      <c r="H38" s="231">
        <v>0</v>
      </c>
      <c r="I38" s="231">
        <v>2510</v>
      </c>
      <c r="J38" s="231">
        <v>1069</v>
      </c>
      <c r="K38" s="231">
        <v>27389</v>
      </c>
    </row>
    <row r="39" spans="1:11" ht="14.25" customHeight="1">
      <c r="A39" s="202" t="s">
        <v>186</v>
      </c>
      <c r="B39" s="231">
        <v>38155</v>
      </c>
      <c r="C39" s="231">
        <v>27806</v>
      </c>
      <c r="D39" s="231">
        <v>0</v>
      </c>
      <c r="E39" s="231">
        <v>4303</v>
      </c>
      <c r="F39" s="231">
        <v>7697</v>
      </c>
      <c r="G39" s="231">
        <v>17053</v>
      </c>
      <c r="H39" s="231">
        <v>0</v>
      </c>
      <c r="I39" s="231">
        <v>10489</v>
      </c>
      <c r="J39" s="231">
        <v>31079</v>
      </c>
      <c r="K39" s="231">
        <v>136582</v>
      </c>
    </row>
    <row r="40" spans="1:11" ht="14.25" customHeight="1">
      <c r="A40" s="202" t="s">
        <v>282</v>
      </c>
      <c r="B40" s="231">
        <v>71544</v>
      </c>
      <c r="C40" s="231">
        <v>50710</v>
      </c>
      <c r="D40" s="231">
        <v>4982</v>
      </c>
      <c r="E40" s="231">
        <v>9675</v>
      </c>
      <c r="F40" s="231">
        <v>13595</v>
      </c>
      <c r="G40" s="231">
        <v>34074</v>
      </c>
      <c r="H40" s="231">
        <v>0</v>
      </c>
      <c r="I40" s="231">
        <v>25468</v>
      </c>
      <c r="J40" s="231">
        <v>4639</v>
      </c>
      <c r="K40" s="231">
        <v>214687</v>
      </c>
    </row>
    <row r="41" spans="1:11" ht="14.25" customHeight="1">
      <c r="A41" s="202" t="s">
        <v>190</v>
      </c>
      <c r="B41" s="231">
        <v>12322</v>
      </c>
      <c r="C41" s="231">
        <v>16944</v>
      </c>
      <c r="D41" s="231">
        <v>58</v>
      </c>
      <c r="E41" s="231">
        <v>3131</v>
      </c>
      <c r="F41" s="231">
        <v>1350</v>
      </c>
      <c r="G41" s="231">
        <v>3984</v>
      </c>
      <c r="H41" s="231">
        <v>2071</v>
      </c>
      <c r="I41" s="231">
        <v>4844</v>
      </c>
      <c r="J41" s="231">
        <v>2011</v>
      </c>
      <c r="K41" s="231">
        <v>46715</v>
      </c>
    </row>
    <row r="42" spans="1:11" ht="14.25" customHeight="1">
      <c r="A42" s="202" t="s">
        <v>192</v>
      </c>
      <c r="B42" s="231">
        <v>10471</v>
      </c>
      <c r="C42" s="231">
        <v>15918</v>
      </c>
      <c r="D42" s="231">
        <v>72</v>
      </c>
      <c r="E42" s="231">
        <v>879</v>
      </c>
      <c r="F42" s="231">
        <v>1162</v>
      </c>
      <c r="G42" s="231">
        <v>2637</v>
      </c>
      <c r="H42" s="231">
        <v>0</v>
      </c>
      <c r="I42" s="231">
        <v>2435</v>
      </c>
      <c r="J42" s="231">
        <v>4584</v>
      </c>
      <c r="K42" s="231">
        <v>38158</v>
      </c>
    </row>
    <row r="43" spans="1:11" ht="14.25" customHeight="1">
      <c r="A43" s="202" t="s">
        <v>193</v>
      </c>
      <c r="B43" s="231">
        <v>9625</v>
      </c>
      <c r="C43" s="231">
        <v>16566</v>
      </c>
      <c r="D43" s="231">
        <v>264</v>
      </c>
      <c r="E43" s="231">
        <v>1792</v>
      </c>
      <c r="F43" s="231">
        <v>1978</v>
      </c>
      <c r="G43" s="231">
        <v>4802</v>
      </c>
      <c r="H43" s="231">
        <v>0</v>
      </c>
      <c r="I43" s="231">
        <v>2851</v>
      </c>
      <c r="J43" s="231">
        <v>1692</v>
      </c>
      <c r="K43" s="231">
        <v>39570</v>
      </c>
    </row>
    <row r="44" spans="1:11" ht="14.25" customHeight="1">
      <c r="A44" s="202" t="s">
        <v>318</v>
      </c>
      <c r="B44" s="231">
        <v>32133</v>
      </c>
      <c r="C44" s="231">
        <v>37544</v>
      </c>
      <c r="D44" s="231">
        <v>1261</v>
      </c>
      <c r="E44" s="231">
        <v>5686</v>
      </c>
      <c r="F44" s="231">
        <v>4823</v>
      </c>
      <c r="G44" s="231">
        <v>26894</v>
      </c>
      <c r="H44" s="231">
        <v>2256</v>
      </c>
      <c r="I44" s="231">
        <v>15155</v>
      </c>
      <c r="J44" s="231">
        <v>16243</v>
      </c>
      <c r="K44" s="231">
        <v>141995</v>
      </c>
    </row>
    <row r="45" spans="1:11" ht="14.25" customHeight="1">
      <c r="A45" s="202" t="s">
        <v>196</v>
      </c>
      <c r="B45" s="231">
        <v>7849</v>
      </c>
      <c r="C45" s="231">
        <v>9173</v>
      </c>
      <c r="D45" s="231">
        <v>0</v>
      </c>
      <c r="E45" s="231">
        <v>300</v>
      </c>
      <c r="F45" s="231">
        <v>2088</v>
      </c>
      <c r="G45" s="231">
        <v>2503</v>
      </c>
      <c r="H45" s="231">
        <v>166</v>
      </c>
      <c r="I45" s="231">
        <v>3514</v>
      </c>
      <c r="J45" s="231">
        <v>1599</v>
      </c>
      <c r="K45" s="231">
        <v>27192</v>
      </c>
    </row>
    <row r="46" spans="1:11" ht="14.25" customHeight="1">
      <c r="A46" s="202" t="s">
        <v>198</v>
      </c>
      <c r="B46" s="231">
        <v>42464</v>
      </c>
      <c r="C46" s="231">
        <v>57117</v>
      </c>
      <c r="D46" s="231">
        <v>1222</v>
      </c>
      <c r="E46" s="231">
        <v>3999</v>
      </c>
      <c r="F46" s="231">
        <v>6825</v>
      </c>
      <c r="G46" s="231">
        <v>13802</v>
      </c>
      <c r="H46" s="231">
        <v>0</v>
      </c>
      <c r="I46" s="231">
        <v>17461</v>
      </c>
      <c r="J46" s="231">
        <v>12920</v>
      </c>
      <c r="K46" s="231">
        <v>155810</v>
      </c>
    </row>
    <row r="47" spans="1:11" ht="14.25" customHeight="1">
      <c r="A47" s="202" t="s">
        <v>199</v>
      </c>
      <c r="B47" s="231">
        <v>55314</v>
      </c>
      <c r="C47" s="231">
        <v>37877</v>
      </c>
      <c r="D47" s="231">
        <v>853</v>
      </c>
      <c r="E47" s="231">
        <v>4370</v>
      </c>
      <c r="F47" s="231">
        <v>9116</v>
      </c>
      <c r="G47" s="231">
        <v>14060</v>
      </c>
      <c r="H47" s="231">
        <v>1183</v>
      </c>
      <c r="I47" s="231">
        <v>11559</v>
      </c>
      <c r="J47" s="231">
        <v>2784</v>
      </c>
      <c r="K47" s="231">
        <v>137116</v>
      </c>
    </row>
    <row r="48" spans="1:11" ht="14.25" customHeight="1">
      <c r="A48" s="202" t="s">
        <v>202</v>
      </c>
      <c r="B48" s="231">
        <v>9790</v>
      </c>
      <c r="C48" s="231">
        <v>11150</v>
      </c>
      <c r="D48" s="231">
        <v>193</v>
      </c>
      <c r="E48" s="231">
        <v>2680</v>
      </c>
      <c r="F48" s="231">
        <v>1227</v>
      </c>
      <c r="G48" s="231">
        <v>3298</v>
      </c>
      <c r="H48" s="231">
        <v>0</v>
      </c>
      <c r="I48" s="231">
        <v>3642</v>
      </c>
      <c r="J48" s="231">
        <v>746</v>
      </c>
      <c r="K48" s="231">
        <v>32726</v>
      </c>
    </row>
    <row r="49" spans="1:11" ht="14.25" customHeight="1">
      <c r="A49" s="202" t="s">
        <v>203</v>
      </c>
      <c r="B49" s="231">
        <v>41028</v>
      </c>
      <c r="C49" s="231">
        <v>47250</v>
      </c>
      <c r="D49" s="231">
        <v>5411</v>
      </c>
      <c r="E49" s="231">
        <v>15918</v>
      </c>
      <c r="F49" s="231">
        <v>26960</v>
      </c>
      <c r="G49" s="231">
        <v>46984</v>
      </c>
      <c r="H49" s="231">
        <v>2384</v>
      </c>
      <c r="I49" s="231">
        <v>27679</v>
      </c>
      <c r="J49" s="231">
        <v>14225</v>
      </c>
      <c r="K49" s="231">
        <v>227839</v>
      </c>
    </row>
    <row r="50" spans="1:11" ht="14.25" customHeight="1">
      <c r="A50" s="2" t="s">
        <v>319</v>
      </c>
      <c r="B50" s="231">
        <v>34257</v>
      </c>
      <c r="C50" s="231">
        <v>40605</v>
      </c>
      <c r="D50" s="231">
        <v>1123</v>
      </c>
      <c r="E50" s="231">
        <v>5513</v>
      </c>
      <c r="F50" s="231">
        <v>8805</v>
      </c>
      <c r="G50" s="231">
        <v>18838</v>
      </c>
      <c r="H50" s="231">
        <v>0</v>
      </c>
      <c r="I50" s="231">
        <v>13470</v>
      </c>
      <c r="J50" s="231">
        <v>2521</v>
      </c>
      <c r="K50" s="231">
        <v>125132</v>
      </c>
    </row>
    <row r="51" spans="1:11" ht="14.25" customHeight="1">
      <c r="A51" s="2" t="s">
        <v>206</v>
      </c>
      <c r="B51" s="33">
        <v>21657</v>
      </c>
      <c r="C51" s="33">
        <v>26924</v>
      </c>
      <c r="D51" s="33">
        <v>426</v>
      </c>
      <c r="E51" s="33">
        <v>3074</v>
      </c>
      <c r="F51" s="33">
        <v>4786</v>
      </c>
      <c r="G51" s="33">
        <v>10520</v>
      </c>
      <c r="H51" s="33">
        <v>0</v>
      </c>
      <c r="I51" s="33">
        <v>7291</v>
      </c>
      <c r="J51" s="33">
        <v>3254</v>
      </c>
      <c r="K51" s="33">
        <v>77932</v>
      </c>
    </row>
    <row r="52" spans="1:11" ht="14.25" customHeight="1">
      <c r="A52" s="2" t="s">
        <v>207</v>
      </c>
      <c r="B52" s="33">
        <v>29198</v>
      </c>
      <c r="C52" s="33">
        <v>46930</v>
      </c>
      <c r="D52" s="33">
        <v>181</v>
      </c>
      <c r="E52" s="33">
        <v>3907</v>
      </c>
      <c r="F52" s="33">
        <v>3036</v>
      </c>
      <c r="G52" s="33">
        <v>9306</v>
      </c>
      <c r="H52" s="33">
        <v>392</v>
      </c>
      <c r="I52" s="33">
        <v>9377</v>
      </c>
      <c r="J52" s="33">
        <v>5889</v>
      </c>
      <c r="K52" s="33">
        <v>108216</v>
      </c>
    </row>
    <row r="53" spans="1:11" ht="14.25" customHeight="1">
      <c r="A53" s="2" t="s">
        <v>208</v>
      </c>
      <c r="B53" s="33">
        <v>13194</v>
      </c>
      <c r="C53" s="33">
        <v>14798</v>
      </c>
      <c r="D53" s="33">
        <v>0</v>
      </c>
      <c r="E53" s="33">
        <v>1508</v>
      </c>
      <c r="F53" s="33">
        <v>3469</v>
      </c>
      <c r="G53" s="33">
        <v>2870</v>
      </c>
      <c r="H53" s="33">
        <v>0</v>
      </c>
      <c r="I53" s="33">
        <v>4633</v>
      </c>
      <c r="J53" s="33">
        <v>1392</v>
      </c>
      <c r="K53" s="33">
        <v>41864</v>
      </c>
    </row>
    <row r="54" spans="1:11" ht="14.25" customHeight="1">
      <c r="A54" s="2" t="s">
        <v>210</v>
      </c>
      <c r="B54" s="33">
        <v>19182</v>
      </c>
      <c r="C54" s="33">
        <v>17029</v>
      </c>
      <c r="D54" s="33">
        <v>1095</v>
      </c>
      <c r="E54" s="33">
        <v>2823</v>
      </c>
      <c r="F54" s="33">
        <v>2870</v>
      </c>
      <c r="G54" s="33">
        <v>5631</v>
      </c>
      <c r="H54" s="33">
        <v>0</v>
      </c>
      <c r="I54" s="33">
        <v>6066</v>
      </c>
      <c r="J54" s="33">
        <v>2575</v>
      </c>
      <c r="K54" s="33">
        <v>57271</v>
      </c>
    </row>
    <row r="55" spans="1:11" ht="14.25" customHeight="1">
      <c r="A55" s="2" t="s">
        <v>349</v>
      </c>
      <c r="B55" s="33">
        <v>3860</v>
      </c>
      <c r="C55" s="33">
        <v>9669</v>
      </c>
      <c r="D55" s="33">
        <v>10</v>
      </c>
      <c r="E55" s="33">
        <v>1005</v>
      </c>
      <c r="F55" s="33">
        <v>770</v>
      </c>
      <c r="G55" s="33">
        <v>3304</v>
      </c>
      <c r="H55" s="33">
        <v>4</v>
      </c>
      <c r="I55" s="33">
        <v>2365</v>
      </c>
      <c r="J55" s="33">
        <v>3062</v>
      </c>
      <c r="K55" s="33">
        <v>24049</v>
      </c>
    </row>
    <row r="56" spans="1:11" ht="14.25" customHeight="1">
      <c r="A56" s="2" t="s">
        <v>213</v>
      </c>
      <c r="B56" s="33">
        <v>7741</v>
      </c>
      <c r="C56" s="33">
        <v>9474</v>
      </c>
      <c r="D56" s="33">
        <v>174</v>
      </c>
      <c r="E56" s="33">
        <v>1640</v>
      </c>
      <c r="F56" s="33">
        <v>1801</v>
      </c>
      <c r="G56" s="33">
        <v>3342</v>
      </c>
      <c r="H56" s="33">
        <v>0</v>
      </c>
      <c r="I56" s="33">
        <v>2690</v>
      </c>
      <c r="J56" s="33">
        <v>942</v>
      </c>
      <c r="K56" s="33">
        <v>27804</v>
      </c>
    </row>
    <row r="57" spans="1:11" ht="14.25" customHeight="1">
      <c r="A57" s="2" t="s">
        <v>357</v>
      </c>
      <c r="B57" s="33">
        <v>6385</v>
      </c>
      <c r="C57" s="33">
        <v>14138</v>
      </c>
      <c r="D57" s="33">
        <v>0</v>
      </c>
      <c r="E57" s="33">
        <v>1909</v>
      </c>
      <c r="F57" s="33">
        <v>1981</v>
      </c>
      <c r="G57" s="33">
        <v>4912</v>
      </c>
      <c r="H57" s="33">
        <v>0</v>
      </c>
      <c r="I57" s="33">
        <v>3098</v>
      </c>
      <c r="J57" s="33">
        <v>1269</v>
      </c>
      <c r="K57" s="33">
        <v>33692</v>
      </c>
    </row>
    <row r="58" spans="1:11" ht="14.25" customHeight="1">
      <c r="A58" s="2" t="s">
        <v>218</v>
      </c>
      <c r="B58" s="33">
        <v>148484</v>
      </c>
      <c r="C58" s="33">
        <v>91608</v>
      </c>
      <c r="D58" s="33">
        <v>406</v>
      </c>
      <c r="E58" s="33">
        <v>7666</v>
      </c>
      <c r="F58" s="33">
        <v>13717</v>
      </c>
      <c r="G58" s="33">
        <v>32264</v>
      </c>
      <c r="H58" s="33">
        <v>1698</v>
      </c>
      <c r="I58" s="33">
        <v>25804</v>
      </c>
      <c r="J58" s="33">
        <v>49236</v>
      </c>
      <c r="K58" s="33">
        <v>370883</v>
      </c>
    </row>
    <row r="59" spans="1:11" ht="14.25" customHeight="1">
      <c r="A59" s="2" t="s">
        <v>219</v>
      </c>
      <c r="B59" s="33">
        <v>49746</v>
      </c>
      <c r="C59" s="33">
        <v>23897</v>
      </c>
      <c r="D59" s="33">
        <v>41</v>
      </c>
      <c r="E59" s="33">
        <v>3109</v>
      </c>
      <c r="F59" s="33">
        <v>6987</v>
      </c>
      <c r="G59" s="33">
        <v>8823</v>
      </c>
      <c r="H59" s="33">
        <v>0</v>
      </c>
      <c r="I59" s="33">
        <v>10159</v>
      </c>
      <c r="J59" s="33">
        <v>6734</v>
      </c>
      <c r="K59" s="33">
        <v>109496</v>
      </c>
    </row>
    <row r="60" spans="1:11" ht="14.25" customHeight="1">
      <c r="A60" s="2" t="s">
        <v>320</v>
      </c>
      <c r="B60" s="33">
        <v>7700</v>
      </c>
      <c r="C60" s="33">
        <v>16453</v>
      </c>
      <c r="D60" s="33">
        <v>0</v>
      </c>
      <c r="E60" s="33">
        <v>1615</v>
      </c>
      <c r="F60" s="33">
        <v>1600</v>
      </c>
      <c r="G60" s="33">
        <v>5261</v>
      </c>
      <c r="H60" s="33">
        <v>208</v>
      </c>
      <c r="I60" s="33">
        <v>8045</v>
      </c>
      <c r="J60" s="33">
        <v>1531</v>
      </c>
      <c r="K60" s="33">
        <v>42413</v>
      </c>
    </row>
    <row r="61" spans="1:11" ht="14.25" customHeight="1">
      <c r="A61" s="2" t="s">
        <v>220</v>
      </c>
      <c r="B61" s="33">
        <v>68444</v>
      </c>
      <c r="C61" s="33">
        <v>43260</v>
      </c>
      <c r="D61" s="33">
        <v>1402</v>
      </c>
      <c r="E61" s="33">
        <v>5148</v>
      </c>
      <c r="F61" s="33">
        <v>7292</v>
      </c>
      <c r="G61" s="33">
        <v>23924</v>
      </c>
      <c r="H61" s="33">
        <v>0</v>
      </c>
      <c r="I61" s="33">
        <v>15454</v>
      </c>
      <c r="J61" s="33">
        <v>16574</v>
      </c>
      <c r="K61" s="33">
        <v>181498</v>
      </c>
    </row>
    <row r="62" spans="1:11" ht="14.25" customHeight="1">
      <c r="A62" s="2" t="s">
        <v>283</v>
      </c>
      <c r="B62" s="33">
        <v>2972</v>
      </c>
      <c r="C62" s="33">
        <v>2975</v>
      </c>
      <c r="D62" s="33">
        <v>41</v>
      </c>
      <c r="E62" s="33">
        <v>642</v>
      </c>
      <c r="F62" s="33">
        <v>552</v>
      </c>
      <c r="G62" s="33">
        <v>1221</v>
      </c>
      <c r="H62" s="33">
        <v>500</v>
      </c>
      <c r="I62" s="33">
        <v>1201</v>
      </c>
      <c r="J62" s="33">
        <v>1344</v>
      </c>
      <c r="K62" s="33">
        <v>11448</v>
      </c>
    </row>
    <row r="63" spans="1:11" ht="14.25" customHeight="1">
      <c r="A63" s="2" t="s">
        <v>223</v>
      </c>
      <c r="B63" s="33">
        <v>7577</v>
      </c>
      <c r="C63" s="33">
        <v>11948</v>
      </c>
      <c r="D63" s="33">
        <v>0</v>
      </c>
      <c r="E63" s="33">
        <v>1365</v>
      </c>
      <c r="F63" s="33">
        <v>1571</v>
      </c>
      <c r="G63" s="33">
        <v>4146</v>
      </c>
      <c r="H63" s="33">
        <v>588</v>
      </c>
      <c r="I63" s="33">
        <v>2805</v>
      </c>
      <c r="J63" s="33">
        <v>1570</v>
      </c>
      <c r="K63" s="33">
        <v>31570</v>
      </c>
    </row>
    <row r="64" spans="1:11" ht="14.25" customHeight="1">
      <c r="A64" s="2" t="s">
        <v>224</v>
      </c>
      <c r="B64" s="33">
        <v>41142</v>
      </c>
      <c r="C64" s="33">
        <v>50580</v>
      </c>
      <c r="D64" s="33">
        <v>4219</v>
      </c>
      <c r="E64" s="33">
        <v>10774</v>
      </c>
      <c r="F64" s="33">
        <v>18921</v>
      </c>
      <c r="G64" s="33">
        <v>54955</v>
      </c>
      <c r="H64" s="33">
        <v>0</v>
      </c>
      <c r="I64" s="33">
        <v>35433</v>
      </c>
      <c r="J64" s="33">
        <v>22539</v>
      </c>
      <c r="K64" s="33">
        <v>238563</v>
      </c>
    </row>
    <row r="65" spans="1:11" ht="14.25" customHeight="1">
      <c r="A65" s="2" t="s">
        <v>225</v>
      </c>
      <c r="B65" s="33">
        <v>48782</v>
      </c>
      <c r="C65" s="33">
        <v>32243</v>
      </c>
      <c r="D65" s="33">
        <v>896</v>
      </c>
      <c r="E65" s="33">
        <v>7022</v>
      </c>
      <c r="F65" s="33">
        <v>0</v>
      </c>
      <c r="G65" s="33">
        <v>34110</v>
      </c>
      <c r="H65" s="33">
        <v>0</v>
      </c>
      <c r="I65" s="33">
        <v>6268</v>
      </c>
      <c r="J65" s="33">
        <v>46235</v>
      </c>
      <c r="K65" s="33">
        <v>175556</v>
      </c>
    </row>
    <row r="66" spans="1:11" ht="14.25" customHeight="1">
      <c r="A66" s="2" t="s">
        <v>226</v>
      </c>
      <c r="B66" s="33">
        <v>22723</v>
      </c>
      <c r="C66" s="33">
        <v>38029</v>
      </c>
      <c r="D66" s="33">
        <v>634</v>
      </c>
      <c r="E66" s="33">
        <v>5286</v>
      </c>
      <c r="F66" s="33">
        <v>6415</v>
      </c>
      <c r="G66" s="33">
        <v>11958</v>
      </c>
      <c r="H66" s="33">
        <v>0</v>
      </c>
      <c r="I66" s="33">
        <v>6638</v>
      </c>
      <c r="J66" s="33">
        <v>4344</v>
      </c>
      <c r="K66" s="33">
        <v>96027</v>
      </c>
    </row>
    <row r="67" spans="1:11" ht="14.25" customHeight="1">
      <c r="A67" s="2" t="s">
        <v>228</v>
      </c>
      <c r="B67" s="33">
        <v>11837</v>
      </c>
      <c r="C67" s="33">
        <v>18307</v>
      </c>
      <c r="D67" s="33">
        <v>228</v>
      </c>
      <c r="E67" s="33">
        <v>3678</v>
      </c>
      <c r="F67" s="33">
        <v>2581</v>
      </c>
      <c r="G67" s="33">
        <v>8270</v>
      </c>
      <c r="H67" s="33">
        <v>0</v>
      </c>
      <c r="I67" s="33">
        <v>6799</v>
      </c>
      <c r="J67" s="33">
        <v>1700</v>
      </c>
      <c r="K67" s="33">
        <v>53400</v>
      </c>
    </row>
    <row r="68" spans="1:11" ht="14.25" customHeight="1">
      <c r="A68" s="2" t="s">
        <v>229</v>
      </c>
      <c r="B68" s="33">
        <v>66307</v>
      </c>
      <c r="C68" s="33">
        <v>34446</v>
      </c>
      <c r="D68" s="33">
        <v>1231</v>
      </c>
      <c r="E68" s="33">
        <v>5096</v>
      </c>
      <c r="F68" s="33">
        <v>8913</v>
      </c>
      <c r="G68" s="33">
        <v>14182</v>
      </c>
      <c r="H68" s="33">
        <v>880</v>
      </c>
      <c r="I68" s="33">
        <v>8496</v>
      </c>
      <c r="J68" s="33">
        <v>15276</v>
      </c>
      <c r="K68" s="33">
        <v>154827</v>
      </c>
    </row>
    <row r="69" spans="1:11" ht="14.25" customHeight="1">
      <c r="A69" s="2" t="s">
        <v>322</v>
      </c>
      <c r="B69" s="33">
        <v>55954</v>
      </c>
      <c r="C69" s="33">
        <v>59871</v>
      </c>
      <c r="D69" s="33">
        <v>278</v>
      </c>
      <c r="E69" s="33">
        <v>6727</v>
      </c>
      <c r="F69" s="33">
        <v>14232</v>
      </c>
      <c r="G69" s="33">
        <v>36410</v>
      </c>
      <c r="H69" s="33">
        <v>0</v>
      </c>
      <c r="I69" s="33">
        <v>35356</v>
      </c>
      <c r="J69" s="33">
        <v>121120</v>
      </c>
      <c r="K69" s="33">
        <v>329948</v>
      </c>
    </row>
    <row r="70" spans="1:11" ht="14.25" customHeight="1">
      <c r="A70" s="2" t="s">
        <v>323</v>
      </c>
      <c r="B70" s="33">
        <v>8782</v>
      </c>
      <c r="C70" s="33">
        <v>16614</v>
      </c>
      <c r="D70" s="33">
        <v>133</v>
      </c>
      <c r="E70" s="33">
        <v>1760</v>
      </c>
      <c r="F70" s="33">
        <v>1895</v>
      </c>
      <c r="G70" s="33">
        <v>4687</v>
      </c>
      <c r="H70" s="33">
        <v>0</v>
      </c>
      <c r="I70" s="33">
        <v>3980</v>
      </c>
      <c r="J70" s="33">
        <v>299</v>
      </c>
      <c r="K70" s="33">
        <v>38150</v>
      </c>
    </row>
    <row r="71" spans="1:11" ht="14.25" customHeight="1">
      <c r="A71" s="2" t="s">
        <v>350</v>
      </c>
      <c r="B71" s="33">
        <v>31088</v>
      </c>
      <c r="C71" s="33">
        <v>79113</v>
      </c>
      <c r="D71" s="33">
        <v>881</v>
      </c>
      <c r="E71" s="33">
        <v>5842</v>
      </c>
      <c r="F71" s="33">
        <v>5736</v>
      </c>
      <c r="G71" s="33">
        <v>24258</v>
      </c>
      <c r="H71" s="33">
        <v>0</v>
      </c>
      <c r="I71" s="33">
        <v>21705</v>
      </c>
      <c r="J71" s="33">
        <v>2727</v>
      </c>
      <c r="K71" s="33">
        <v>171350</v>
      </c>
    </row>
    <row r="72" spans="1:11" ht="14.25" customHeight="1">
      <c r="A72" s="2" t="s">
        <v>284</v>
      </c>
      <c r="B72" s="33">
        <v>47232</v>
      </c>
      <c r="C72" s="33">
        <v>39145</v>
      </c>
      <c r="D72" s="33">
        <v>0</v>
      </c>
      <c r="E72" s="33">
        <v>7548</v>
      </c>
      <c r="F72" s="33">
        <v>13388</v>
      </c>
      <c r="G72" s="33">
        <v>32686</v>
      </c>
      <c r="H72" s="33">
        <v>0</v>
      </c>
      <c r="I72" s="33">
        <v>13960</v>
      </c>
      <c r="J72" s="33">
        <v>34788</v>
      </c>
      <c r="K72" s="33">
        <v>188747</v>
      </c>
    </row>
    <row r="73" spans="1:11" ht="14.25" customHeight="1">
      <c r="A73" s="2" t="s">
        <v>232</v>
      </c>
      <c r="B73" s="33">
        <v>24433</v>
      </c>
      <c r="C73" s="33">
        <v>40620</v>
      </c>
      <c r="D73" s="33">
        <v>0</v>
      </c>
      <c r="E73" s="33">
        <v>4050</v>
      </c>
      <c r="F73" s="33">
        <v>3915</v>
      </c>
      <c r="G73" s="33">
        <v>8044</v>
      </c>
      <c r="H73" s="33">
        <v>0</v>
      </c>
      <c r="I73" s="33">
        <v>13628</v>
      </c>
      <c r="J73" s="33">
        <v>2094</v>
      </c>
      <c r="K73" s="33">
        <v>96784</v>
      </c>
    </row>
    <row r="74" spans="1:11" ht="14.25" customHeight="1">
      <c r="A74" s="2" t="s">
        <v>233</v>
      </c>
      <c r="B74" s="33">
        <v>26439</v>
      </c>
      <c r="C74" s="33">
        <v>33837</v>
      </c>
      <c r="D74" s="33">
        <v>489</v>
      </c>
      <c r="E74" s="33">
        <v>3609</v>
      </c>
      <c r="F74" s="33">
        <v>4764</v>
      </c>
      <c r="G74" s="33">
        <v>9636</v>
      </c>
      <c r="H74" s="33">
        <v>0</v>
      </c>
      <c r="I74" s="33">
        <v>7554</v>
      </c>
      <c r="J74" s="33">
        <v>1446</v>
      </c>
      <c r="K74" s="33">
        <v>87774</v>
      </c>
    </row>
    <row r="75" spans="1:11" ht="14.25" customHeight="1">
      <c r="A75" s="2" t="s">
        <v>234</v>
      </c>
      <c r="B75" s="33">
        <v>7516</v>
      </c>
      <c r="C75" s="33">
        <v>9649</v>
      </c>
      <c r="D75" s="33">
        <v>90</v>
      </c>
      <c r="E75" s="33">
        <v>1367</v>
      </c>
      <c r="F75" s="33">
        <v>2315</v>
      </c>
      <c r="G75" s="33">
        <v>4582</v>
      </c>
      <c r="H75" s="33">
        <v>0</v>
      </c>
      <c r="I75" s="33">
        <v>2835</v>
      </c>
      <c r="J75" s="33">
        <v>887</v>
      </c>
      <c r="K75" s="33">
        <v>29241</v>
      </c>
    </row>
    <row r="76" spans="1:11" ht="14.25" customHeight="1">
      <c r="A76" s="2" t="s">
        <v>236</v>
      </c>
      <c r="B76" s="33">
        <v>10164</v>
      </c>
      <c r="C76" s="33">
        <v>16567</v>
      </c>
      <c r="D76" s="33">
        <v>199</v>
      </c>
      <c r="E76" s="33">
        <v>1921</v>
      </c>
      <c r="F76" s="33">
        <v>2724</v>
      </c>
      <c r="G76" s="33">
        <v>3365</v>
      </c>
      <c r="H76" s="33">
        <v>0</v>
      </c>
      <c r="I76" s="33">
        <v>4961</v>
      </c>
      <c r="J76" s="33">
        <v>6631</v>
      </c>
      <c r="K76" s="33">
        <v>46532</v>
      </c>
    </row>
    <row r="77" spans="1:11" ht="14.25" customHeight="1">
      <c r="A77" s="2" t="s">
        <v>238</v>
      </c>
      <c r="B77" s="33">
        <v>8913</v>
      </c>
      <c r="C77" s="33">
        <v>12417</v>
      </c>
      <c r="D77" s="33">
        <v>1274</v>
      </c>
      <c r="E77" s="33">
        <v>3338</v>
      </c>
      <c r="F77" s="33">
        <v>3922</v>
      </c>
      <c r="G77" s="33">
        <v>18058</v>
      </c>
      <c r="H77" s="33">
        <v>0</v>
      </c>
      <c r="I77" s="33">
        <v>4163</v>
      </c>
      <c r="J77" s="33">
        <v>2252</v>
      </c>
      <c r="K77" s="33">
        <v>54337</v>
      </c>
    </row>
    <row r="78" spans="1:11" ht="14.25" customHeight="1">
      <c r="A78" s="2" t="s">
        <v>239</v>
      </c>
      <c r="B78" s="33">
        <v>56363</v>
      </c>
      <c r="C78" s="33">
        <v>63858</v>
      </c>
      <c r="D78" s="33">
        <v>510</v>
      </c>
      <c r="E78" s="33">
        <v>6078</v>
      </c>
      <c r="F78" s="33">
        <v>17565</v>
      </c>
      <c r="G78" s="33">
        <v>32793</v>
      </c>
      <c r="H78" s="33">
        <v>0</v>
      </c>
      <c r="I78" s="33">
        <v>25705</v>
      </c>
      <c r="J78" s="33">
        <v>25332</v>
      </c>
      <c r="K78" s="33">
        <v>228204</v>
      </c>
    </row>
    <row r="79" spans="1:11" ht="14.25" customHeight="1">
      <c r="A79" s="2" t="s">
        <v>351</v>
      </c>
      <c r="B79" s="33">
        <v>76911</v>
      </c>
      <c r="C79" s="33">
        <v>79566</v>
      </c>
      <c r="D79" s="33">
        <v>611</v>
      </c>
      <c r="E79" s="33">
        <v>13131</v>
      </c>
      <c r="F79" s="33">
        <v>14954</v>
      </c>
      <c r="G79" s="33">
        <v>27252</v>
      </c>
      <c r="H79" s="33">
        <v>0</v>
      </c>
      <c r="I79" s="33">
        <v>26641</v>
      </c>
      <c r="J79" s="33">
        <v>17733</v>
      </c>
      <c r="K79" s="33">
        <v>256799</v>
      </c>
    </row>
    <row r="80" spans="1:11" ht="14.25" customHeight="1">
      <c r="A80" s="2" t="s">
        <v>244</v>
      </c>
      <c r="B80" s="33">
        <v>3710</v>
      </c>
      <c r="C80" s="33">
        <v>7452</v>
      </c>
      <c r="D80" s="33">
        <v>43</v>
      </c>
      <c r="E80" s="33">
        <v>613</v>
      </c>
      <c r="F80" s="33">
        <v>562</v>
      </c>
      <c r="G80" s="33">
        <v>1278</v>
      </c>
      <c r="H80" s="33">
        <v>0</v>
      </c>
      <c r="I80" s="33">
        <v>953</v>
      </c>
      <c r="J80" s="33">
        <v>9205</v>
      </c>
      <c r="K80" s="33">
        <v>23816</v>
      </c>
    </row>
    <row r="81" spans="1:11" ht="14.25" customHeight="1">
      <c r="A81" s="2" t="s">
        <v>326</v>
      </c>
      <c r="B81" s="33">
        <v>6358</v>
      </c>
      <c r="C81" s="33">
        <v>13405</v>
      </c>
      <c r="D81" s="33">
        <v>274</v>
      </c>
      <c r="E81" s="33">
        <v>1025</v>
      </c>
      <c r="F81" s="33">
        <v>2580</v>
      </c>
      <c r="G81" s="33">
        <v>3392</v>
      </c>
      <c r="H81" s="33">
        <v>0</v>
      </c>
      <c r="I81" s="33">
        <v>3458</v>
      </c>
      <c r="J81" s="33">
        <v>1106</v>
      </c>
      <c r="K81" s="33">
        <v>31598</v>
      </c>
    </row>
    <row r="82" spans="1:11" ht="14.25" customHeight="1">
      <c r="A82" s="2" t="s">
        <v>247</v>
      </c>
      <c r="B82" s="33">
        <v>4910</v>
      </c>
      <c r="C82" s="33">
        <v>8281</v>
      </c>
      <c r="D82" s="33">
        <v>48</v>
      </c>
      <c r="E82" s="33">
        <v>804</v>
      </c>
      <c r="F82" s="33">
        <v>685</v>
      </c>
      <c r="G82" s="33">
        <v>2729</v>
      </c>
      <c r="H82" s="33">
        <v>0</v>
      </c>
      <c r="I82" s="33">
        <v>2095</v>
      </c>
      <c r="J82" s="33">
        <v>1411</v>
      </c>
      <c r="K82" s="33">
        <v>20963</v>
      </c>
    </row>
    <row r="83" spans="1:11" ht="14.25" customHeight="1">
      <c r="A83" s="2" t="s">
        <v>249</v>
      </c>
      <c r="B83" s="33">
        <v>21955</v>
      </c>
      <c r="C83" s="33">
        <v>23191</v>
      </c>
      <c r="D83" s="33">
        <v>378</v>
      </c>
      <c r="E83" s="33">
        <v>3069</v>
      </c>
      <c r="F83" s="33">
        <v>3890</v>
      </c>
      <c r="G83" s="33">
        <v>9393</v>
      </c>
      <c r="H83" s="33">
        <v>0</v>
      </c>
      <c r="I83" s="33">
        <v>7152</v>
      </c>
      <c r="J83" s="33">
        <v>1981</v>
      </c>
      <c r="K83" s="33">
        <v>71009</v>
      </c>
    </row>
    <row r="84" spans="1:11" ht="14.25" customHeight="1">
      <c r="A84" s="2" t="s">
        <v>254</v>
      </c>
      <c r="B84" s="33">
        <v>28780</v>
      </c>
      <c r="C84" s="33">
        <v>17687</v>
      </c>
      <c r="D84" s="33">
        <v>0</v>
      </c>
      <c r="E84" s="33">
        <v>3650</v>
      </c>
      <c r="F84" s="33">
        <v>9021</v>
      </c>
      <c r="G84" s="33">
        <v>10958</v>
      </c>
      <c r="H84" s="33">
        <v>0</v>
      </c>
      <c r="I84" s="33">
        <v>6915</v>
      </c>
      <c r="J84" s="33">
        <v>7303</v>
      </c>
      <c r="K84" s="33">
        <v>84314</v>
      </c>
    </row>
    <row r="85" spans="1:11" ht="14.25" customHeight="1">
      <c r="A85" s="2" t="s">
        <v>256</v>
      </c>
      <c r="B85" s="33">
        <v>4367</v>
      </c>
      <c r="C85" s="33">
        <v>7066</v>
      </c>
      <c r="D85" s="33">
        <v>58</v>
      </c>
      <c r="E85" s="33">
        <v>614</v>
      </c>
      <c r="F85" s="33">
        <v>763</v>
      </c>
      <c r="G85" s="33">
        <v>1826</v>
      </c>
      <c r="H85" s="33">
        <v>0</v>
      </c>
      <c r="I85" s="33">
        <v>1993</v>
      </c>
      <c r="J85" s="33">
        <v>1281</v>
      </c>
      <c r="K85" s="33">
        <v>17968</v>
      </c>
    </row>
    <row r="86" spans="1:11" ht="14.25" customHeight="1">
      <c r="A86" s="2" t="s">
        <v>327</v>
      </c>
      <c r="B86" s="33">
        <v>20763</v>
      </c>
      <c r="C86" s="33">
        <v>42920</v>
      </c>
      <c r="D86" s="33">
        <v>48</v>
      </c>
      <c r="E86" s="33">
        <v>4640</v>
      </c>
      <c r="F86" s="33">
        <v>7759</v>
      </c>
      <c r="G86" s="33">
        <v>20346</v>
      </c>
      <c r="H86" s="33">
        <v>0</v>
      </c>
      <c r="I86" s="33">
        <v>12305</v>
      </c>
      <c r="J86" s="33">
        <v>1392</v>
      </c>
      <c r="K86" s="33">
        <v>110173</v>
      </c>
    </row>
    <row r="87" spans="1:11" ht="14.25" customHeight="1">
      <c r="A87" s="2" t="s">
        <v>257</v>
      </c>
      <c r="B87" s="33">
        <v>54243</v>
      </c>
      <c r="C87" s="33">
        <v>44960</v>
      </c>
      <c r="D87" s="33">
        <v>691</v>
      </c>
      <c r="E87" s="33">
        <v>5497</v>
      </c>
      <c r="F87" s="33">
        <v>11805</v>
      </c>
      <c r="G87" s="33">
        <v>23190</v>
      </c>
      <c r="H87" s="33">
        <v>0</v>
      </c>
      <c r="I87" s="33">
        <v>16090</v>
      </c>
      <c r="J87" s="33">
        <v>5452</v>
      </c>
      <c r="K87" s="33">
        <v>161928</v>
      </c>
    </row>
    <row r="88" spans="1:11" ht="14.25" customHeight="1">
      <c r="A88" s="2" t="s">
        <v>258</v>
      </c>
      <c r="B88" s="33">
        <v>17844</v>
      </c>
      <c r="C88" s="33">
        <v>22948</v>
      </c>
      <c r="D88" s="33">
        <v>292</v>
      </c>
      <c r="E88" s="33">
        <v>3206</v>
      </c>
      <c r="F88" s="33">
        <v>2045</v>
      </c>
      <c r="G88" s="33">
        <v>8580</v>
      </c>
      <c r="H88" s="33">
        <v>0</v>
      </c>
      <c r="I88" s="33">
        <v>5087</v>
      </c>
      <c r="J88" s="33">
        <v>1724</v>
      </c>
      <c r="K88" s="33">
        <v>61726</v>
      </c>
    </row>
    <row r="89" spans="1:11" ht="14.25" customHeight="1">
      <c r="A89" s="2" t="s">
        <v>285</v>
      </c>
      <c r="B89" s="33">
        <v>8614</v>
      </c>
      <c r="C89" s="33">
        <v>9209</v>
      </c>
      <c r="D89" s="33">
        <v>276</v>
      </c>
      <c r="E89" s="33">
        <v>1506</v>
      </c>
      <c r="F89" s="33">
        <v>1508</v>
      </c>
      <c r="G89" s="33">
        <v>3979</v>
      </c>
      <c r="H89" s="33">
        <v>0</v>
      </c>
      <c r="I89" s="33">
        <v>3689</v>
      </c>
      <c r="J89" s="33">
        <v>1540</v>
      </c>
      <c r="K89" s="33">
        <v>30321</v>
      </c>
    </row>
    <row r="90" spans="1:11" ht="14.25" customHeight="1">
      <c r="A90" s="2" t="s">
        <v>260</v>
      </c>
      <c r="B90" s="33">
        <v>41337</v>
      </c>
      <c r="C90" s="33">
        <v>85332</v>
      </c>
      <c r="D90" s="33">
        <v>1117</v>
      </c>
      <c r="E90" s="33">
        <v>14398</v>
      </c>
      <c r="F90" s="33">
        <v>9807</v>
      </c>
      <c r="G90" s="33">
        <v>27432</v>
      </c>
      <c r="H90" s="33">
        <v>402</v>
      </c>
      <c r="I90" s="33">
        <v>27830</v>
      </c>
      <c r="J90" s="33">
        <v>35024</v>
      </c>
      <c r="K90" s="33">
        <v>242679</v>
      </c>
    </row>
    <row r="91" spans="1:11" ht="14.25" customHeight="1">
      <c r="A91" s="2" t="s">
        <v>261</v>
      </c>
      <c r="B91" s="33">
        <v>31529</v>
      </c>
      <c r="C91" s="33">
        <v>24784</v>
      </c>
      <c r="D91" s="33">
        <v>0</v>
      </c>
      <c r="E91" s="33">
        <v>5155</v>
      </c>
      <c r="F91" s="33">
        <v>7028</v>
      </c>
      <c r="G91" s="33">
        <v>14654</v>
      </c>
      <c r="H91" s="33">
        <v>0</v>
      </c>
      <c r="I91" s="33">
        <v>15948</v>
      </c>
      <c r="J91" s="33">
        <v>25386</v>
      </c>
      <c r="K91" s="33">
        <v>124484</v>
      </c>
    </row>
    <row r="92" spans="1:11" ht="14.25" customHeight="1">
      <c r="A92" s="2" t="s">
        <v>286</v>
      </c>
      <c r="B92" s="33">
        <v>3876</v>
      </c>
      <c r="C92" s="33">
        <v>7785</v>
      </c>
      <c r="D92" s="33">
        <v>70</v>
      </c>
      <c r="E92" s="33">
        <v>459</v>
      </c>
      <c r="F92" s="33">
        <v>571</v>
      </c>
      <c r="G92" s="33">
        <v>2606</v>
      </c>
      <c r="H92" s="33">
        <v>0</v>
      </c>
      <c r="I92" s="33">
        <v>2906</v>
      </c>
      <c r="J92" s="33">
        <v>1716</v>
      </c>
      <c r="K92" s="33">
        <v>19989</v>
      </c>
    </row>
    <row r="93" spans="1:11" ht="14.25" customHeight="1">
      <c r="A93" s="2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ht="14.25" customHeight="1">
      <c r="A94" s="7" t="s">
        <v>105</v>
      </c>
      <c r="B94" s="66">
        <v>19094</v>
      </c>
      <c r="C94" s="66">
        <v>21607</v>
      </c>
      <c r="D94" s="66">
        <v>181</v>
      </c>
      <c r="E94" s="66">
        <v>3185</v>
      </c>
      <c r="F94" s="66">
        <v>3550</v>
      </c>
      <c r="G94" s="66">
        <v>8796</v>
      </c>
      <c r="H94" s="380">
        <v>0</v>
      </c>
      <c r="I94" s="66">
        <v>6799</v>
      </c>
      <c r="J94" s="66">
        <v>3254</v>
      </c>
      <c r="K94" s="66">
        <v>71009</v>
      </c>
    </row>
    <row r="95" spans="1:11" ht="14.25" customHeight="1">
      <c r="A95" s="7" t="s">
        <v>104</v>
      </c>
      <c r="B95" s="66">
        <v>25998.494382022473</v>
      </c>
      <c r="C95" s="66">
        <v>28613.73033707865</v>
      </c>
      <c r="D95" s="66">
        <v>580.08988764044943</v>
      </c>
      <c r="E95" s="66">
        <v>4101.5280898876408</v>
      </c>
      <c r="F95" s="66">
        <v>5752.5393258426966</v>
      </c>
      <c r="G95" s="66">
        <v>13286.76404494382</v>
      </c>
      <c r="H95" s="66">
        <v>216.76404494382024</v>
      </c>
      <c r="I95" s="66">
        <v>10409.842696629214</v>
      </c>
      <c r="J95" s="66">
        <v>10013.550561797752</v>
      </c>
      <c r="K95" s="66">
        <v>98973.303370786511</v>
      </c>
    </row>
    <row r="96" spans="1:11" ht="14.25" customHeight="1">
      <c r="A96" s="7" t="s">
        <v>329</v>
      </c>
      <c r="B96" s="66">
        <v>2313866</v>
      </c>
      <c r="C96" s="66">
        <v>2546622</v>
      </c>
      <c r="D96" s="66">
        <v>51628</v>
      </c>
      <c r="E96" s="66">
        <v>365036</v>
      </c>
      <c r="F96" s="66">
        <v>511976</v>
      </c>
      <c r="G96" s="66">
        <v>1182522</v>
      </c>
      <c r="H96" s="66">
        <v>19292</v>
      </c>
      <c r="I96" s="66">
        <v>926476</v>
      </c>
      <c r="J96" s="66">
        <v>891206</v>
      </c>
      <c r="K96" s="66">
        <v>8808624</v>
      </c>
    </row>
    <row r="97" spans="1:11" ht="14.25" customHeight="1">
      <c r="A97" s="7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spans="1:11" ht="14.25" customHeight="1">
      <c r="A98" s="2" t="s">
        <v>401</v>
      </c>
    </row>
    <row r="99" spans="1:11" ht="14.25" customHeight="1">
      <c r="A99" s="2" t="s">
        <v>402</v>
      </c>
    </row>
    <row r="100" spans="1:11" ht="14.25" customHeight="1">
      <c r="A100" s="2"/>
    </row>
  </sheetData>
  <sortState xmlns:xlrd2="http://schemas.microsoft.com/office/spreadsheetml/2017/richdata2" ref="A4:K50">
    <sortCondition ref="A4"/>
  </sortState>
  <phoneticPr fontId="51" type="noConversion"/>
  <conditionalFormatting sqref="B4:K50">
    <cfRule type="cellIs" dxfId="69" priority="2" operator="lessThan">
      <formula>0</formula>
    </cfRule>
    <cfRule type="cellIs" dxfId="68" priority="3" operator="lessThan">
      <formula>0</formula>
    </cfRule>
  </conditionalFormatting>
  <conditionalFormatting sqref="B4:K93 B95:K97">
    <cfRule type="cellIs" dxfId="67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4" orientation="portrait" r:id="rId1"/>
  <headerFooter alignWithMargins="0">
    <oddFooter>&amp;L&amp;9Public Library Statistics 2022–23&amp;C&amp;9&amp;P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J100"/>
  <sheetViews>
    <sheetView zoomScaleNormal="100" workbookViewId="0">
      <pane ySplit="3" topLeftCell="A85" activePane="bottomLeft" state="frozen"/>
      <selection pane="bottomLeft"/>
      <selection activeCell="G34" sqref="G34"/>
    </sheetView>
  </sheetViews>
  <sheetFormatPr defaultColWidth="19.42578125" defaultRowHeight="14.25" customHeight="1"/>
  <sheetData>
    <row r="1" spans="1:10" ht="15">
      <c r="A1" s="9" t="s">
        <v>403</v>
      </c>
      <c r="B1" s="20"/>
      <c r="C1" s="20"/>
    </row>
    <row r="2" spans="1:10" ht="15">
      <c r="A2" s="9"/>
      <c r="B2" s="20"/>
      <c r="C2" s="20"/>
    </row>
    <row r="3" spans="1:10" s="103" customFormat="1" ht="42" customHeight="1">
      <c r="A3" s="102"/>
      <c r="B3" s="152" t="s">
        <v>404</v>
      </c>
      <c r="C3" s="152" t="s">
        <v>405</v>
      </c>
      <c r="D3" s="105" t="s">
        <v>406</v>
      </c>
      <c r="E3" s="105" t="s">
        <v>407</v>
      </c>
      <c r="F3" s="105" t="s">
        <v>372</v>
      </c>
      <c r="G3" s="105" t="s">
        <v>408</v>
      </c>
      <c r="H3" s="105" t="s">
        <v>409</v>
      </c>
      <c r="I3" s="105" t="s">
        <v>410</v>
      </c>
      <c r="J3" s="105" t="s">
        <v>411</v>
      </c>
    </row>
    <row r="4" spans="1:10" ht="14.25" customHeight="1">
      <c r="A4" s="202" t="s">
        <v>118</v>
      </c>
      <c r="B4" s="231">
        <v>2223</v>
      </c>
      <c r="C4" s="231">
        <v>2234</v>
      </c>
      <c r="D4" s="231">
        <v>180</v>
      </c>
      <c r="E4" s="231">
        <v>14431</v>
      </c>
      <c r="F4" s="231">
        <v>4</v>
      </c>
      <c r="G4" s="231">
        <v>6094</v>
      </c>
      <c r="H4" s="231">
        <v>195</v>
      </c>
      <c r="I4" s="231">
        <v>1958</v>
      </c>
      <c r="J4" s="231">
        <v>27319</v>
      </c>
    </row>
    <row r="5" spans="1:10" ht="14.25" customHeight="1">
      <c r="A5" s="202" t="s">
        <v>278</v>
      </c>
      <c r="B5" s="231">
        <v>3263</v>
      </c>
      <c r="C5" s="231">
        <v>1039</v>
      </c>
      <c r="D5" s="231">
        <v>150</v>
      </c>
      <c r="E5" s="231">
        <v>92</v>
      </c>
      <c r="F5" s="231">
        <v>766</v>
      </c>
      <c r="G5" s="231">
        <v>12480</v>
      </c>
      <c r="H5" s="231">
        <v>74</v>
      </c>
      <c r="I5" s="231">
        <v>3</v>
      </c>
      <c r="J5" s="231">
        <v>17867</v>
      </c>
    </row>
    <row r="6" spans="1:10" ht="14.25" customHeight="1">
      <c r="A6" s="202" t="s">
        <v>123</v>
      </c>
      <c r="B6" s="231">
        <v>207</v>
      </c>
      <c r="C6" s="231">
        <v>421</v>
      </c>
      <c r="D6" s="231">
        <v>78</v>
      </c>
      <c r="E6" s="231">
        <v>56</v>
      </c>
      <c r="F6" s="231">
        <v>14</v>
      </c>
      <c r="G6" s="231">
        <v>192</v>
      </c>
      <c r="H6" s="231">
        <v>56</v>
      </c>
      <c r="I6" s="231">
        <v>50</v>
      </c>
      <c r="J6" s="231">
        <v>1074</v>
      </c>
    </row>
    <row r="7" spans="1:10" ht="14.25" customHeight="1">
      <c r="A7" s="202" t="s">
        <v>124</v>
      </c>
      <c r="B7" s="231">
        <v>2351</v>
      </c>
      <c r="C7" s="231">
        <v>277</v>
      </c>
      <c r="D7" s="231">
        <v>692</v>
      </c>
      <c r="E7" s="231">
        <v>3198</v>
      </c>
      <c r="F7" s="231">
        <v>406</v>
      </c>
      <c r="G7" s="231">
        <v>5218</v>
      </c>
      <c r="H7" s="231">
        <v>109</v>
      </c>
      <c r="I7" s="231">
        <v>200</v>
      </c>
      <c r="J7" s="231">
        <v>12451</v>
      </c>
    </row>
    <row r="8" spans="1:10" ht="14.25" customHeight="1">
      <c r="A8" s="202" t="s">
        <v>126</v>
      </c>
      <c r="B8" s="231">
        <v>3294</v>
      </c>
      <c r="C8" s="231">
        <v>5420</v>
      </c>
      <c r="D8" s="231">
        <v>422</v>
      </c>
      <c r="E8" s="231">
        <v>1334</v>
      </c>
      <c r="F8" s="231">
        <v>954</v>
      </c>
      <c r="G8" s="231">
        <v>11086</v>
      </c>
      <c r="H8" s="231">
        <v>0</v>
      </c>
      <c r="I8" s="231">
        <v>299</v>
      </c>
      <c r="J8" s="231">
        <v>22809</v>
      </c>
    </row>
    <row r="9" spans="1:10" ht="14.25" customHeight="1">
      <c r="A9" s="202" t="s">
        <v>127</v>
      </c>
      <c r="B9" s="231">
        <v>2095</v>
      </c>
      <c r="C9" s="231">
        <v>1350</v>
      </c>
      <c r="D9" s="231">
        <v>386</v>
      </c>
      <c r="E9" s="231">
        <v>107</v>
      </c>
      <c r="F9" s="231">
        <v>100</v>
      </c>
      <c r="G9" s="231">
        <v>3800</v>
      </c>
      <c r="H9" s="231">
        <v>41</v>
      </c>
      <c r="I9" s="231">
        <v>442</v>
      </c>
      <c r="J9" s="231">
        <v>8321</v>
      </c>
    </row>
    <row r="10" spans="1:10" ht="14.25" customHeight="1">
      <c r="A10" s="202" t="s">
        <v>305</v>
      </c>
      <c r="B10" s="231">
        <v>2052</v>
      </c>
      <c r="C10" s="231">
        <v>687</v>
      </c>
      <c r="D10" s="231">
        <v>0</v>
      </c>
      <c r="E10" s="231">
        <v>0</v>
      </c>
      <c r="F10" s="231">
        <v>0</v>
      </c>
      <c r="G10" s="231">
        <v>6462</v>
      </c>
      <c r="H10" s="231">
        <v>335</v>
      </c>
      <c r="I10" s="231">
        <v>0</v>
      </c>
      <c r="J10" s="231">
        <v>9536</v>
      </c>
    </row>
    <row r="11" spans="1:10" ht="14.25" customHeight="1">
      <c r="A11" s="202" t="s">
        <v>133</v>
      </c>
      <c r="B11" s="231">
        <v>4578</v>
      </c>
      <c r="C11" s="231">
        <v>10423</v>
      </c>
      <c r="D11" s="231">
        <v>297</v>
      </c>
      <c r="E11" s="231">
        <v>0</v>
      </c>
      <c r="F11" s="231">
        <v>1442</v>
      </c>
      <c r="G11" s="231">
        <v>25722</v>
      </c>
      <c r="H11" s="231">
        <v>482</v>
      </c>
      <c r="I11" s="231">
        <v>24</v>
      </c>
      <c r="J11" s="231">
        <v>42968</v>
      </c>
    </row>
    <row r="12" spans="1:10" ht="14.25" customHeight="1">
      <c r="A12" s="202" t="s">
        <v>137</v>
      </c>
      <c r="B12" s="231">
        <v>2815</v>
      </c>
      <c r="C12" s="231">
        <v>5390</v>
      </c>
      <c r="D12" s="231">
        <v>73</v>
      </c>
      <c r="E12" s="231">
        <v>0</v>
      </c>
      <c r="F12" s="231">
        <v>3527</v>
      </c>
      <c r="G12" s="231">
        <v>7041</v>
      </c>
      <c r="H12" s="231">
        <v>77</v>
      </c>
      <c r="I12" s="231">
        <v>222</v>
      </c>
      <c r="J12" s="231">
        <v>19145</v>
      </c>
    </row>
    <row r="13" spans="1:10" ht="14.25" customHeight="1">
      <c r="A13" s="202" t="s">
        <v>139</v>
      </c>
      <c r="B13" s="231">
        <v>450</v>
      </c>
      <c r="C13" s="231">
        <v>1174</v>
      </c>
      <c r="D13" s="231">
        <v>7</v>
      </c>
      <c r="E13" s="231">
        <v>0</v>
      </c>
      <c r="F13" s="231">
        <v>0</v>
      </c>
      <c r="G13" s="231">
        <v>3039</v>
      </c>
      <c r="H13" s="231">
        <v>0</v>
      </c>
      <c r="I13" s="231">
        <v>0</v>
      </c>
      <c r="J13" s="231">
        <v>4670</v>
      </c>
    </row>
    <row r="14" spans="1:10" ht="14.25" customHeight="1">
      <c r="A14" s="202" t="s">
        <v>142</v>
      </c>
      <c r="B14" s="231">
        <v>1085</v>
      </c>
      <c r="C14" s="231">
        <v>749</v>
      </c>
      <c r="D14" s="231">
        <v>50</v>
      </c>
      <c r="E14" s="231">
        <v>0</v>
      </c>
      <c r="F14" s="231">
        <v>566</v>
      </c>
      <c r="G14" s="231">
        <v>3037</v>
      </c>
      <c r="H14" s="231">
        <v>61</v>
      </c>
      <c r="I14" s="231">
        <v>1850</v>
      </c>
      <c r="J14" s="231">
        <v>7398</v>
      </c>
    </row>
    <row r="15" spans="1:10" ht="14.25" customHeight="1">
      <c r="A15" s="202" t="s">
        <v>144</v>
      </c>
      <c r="B15" s="231">
        <v>664</v>
      </c>
      <c r="C15" s="231">
        <v>6766</v>
      </c>
      <c r="D15" s="231">
        <v>0</v>
      </c>
      <c r="E15" s="231">
        <v>1016</v>
      </c>
      <c r="F15" s="231">
        <v>491</v>
      </c>
      <c r="G15" s="231">
        <v>4137</v>
      </c>
      <c r="H15" s="231">
        <v>477</v>
      </c>
      <c r="I15" s="231">
        <v>98</v>
      </c>
      <c r="J15" s="231">
        <v>13649</v>
      </c>
    </row>
    <row r="16" spans="1:10" ht="14.25" customHeight="1">
      <c r="A16" s="202" t="s">
        <v>148</v>
      </c>
      <c r="B16" s="231">
        <v>1545</v>
      </c>
      <c r="C16" s="231">
        <v>1802</v>
      </c>
      <c r="D16" s="231">
        <v>366</v>
      </c>
      <c r="E16" s="231">
        <v>4291</v>
      </c>
      <c r="F16" s="231">
        <v>1315</v>
      </c>
      <c r="G16" s="231">
        <v>4958</v>
      </c>
      <c r="H16" s="231">
        <v>66</v>
      </c>
      <c r="I16" s="231">
        <v>78</v>
      </c>
      <c r="J16" s="231">
        <v>14421</v>
      </c>
    </row>
    <row r="17" spans="1:10" ht="14.25" customHeight="1">
      <c r="A17" s="202" t="s">
        <v>149</v>
      </c>
      <c r="B17" s="231">
        <v>2391</v>
      </c>
      <c r="C17" s="231">
        <v>3832</v>
      </c>
      <c r="D17" s="231">
        <v>0</v>
      </c>
      <c r="E17" s="231">
        <v>10860</v>
      </c>
      <c r="F17" s="231">
        <v>806</v>
      </c>
      <c r="G17" s="231">
        <v>7795</v>
      </c>
      <c r="H17" s="231">
        <v>0</v>
      </c>
      <c r="I17" s="231">
        <v>333</v>
      </c>
      <c r="J17" s="231">
        <v>26017</v>
      </c>
    </row>
    <row r="18" spans="1:10" ht="14.25" customHeight="1">
      <c r="A18" s="202" t="s">
        <v>151</v>
      </c>
      <c r="B18" s="231">
        <v>1568</v>
      </c>
      <c r="C18" s="231">
        <v>2709</v>
      </c>
      <c r="D18" s="231">
        <v>21</v>
      </c>
      <c r="E18" s="231">
        <v>6000</v>
      </c>
      <c r="F18" s="231">
        <v>2521</v>
      </c>
      <c r="G18" s="231">
        <v>11055</v>
      </c>
      <c r="H18" s="231">
        <v>23</v>
      </c>
      <c r="I18" s="231">
        <v>164</v>
      </c>
      <c r="J18" s="231">
        <v>24061</v>
      </c>
    </row>
    <row r="19" spans="1:10" ht="14.25" customHeight="1">
      <c r="A19" s="202" t="s">
        <v>152</v>
      </c>
      <c r="B19" s="231">
        <v>4107</v>
      </c>
      <c r="C19" s="231">
        <v>19933</v>
      </c>
      <c r="D19" s="231">
        <v>1212</v>
      </c>
      <c r="E19" s="231">
        <v>11549</v>
      </c>
      <c r="F19" s="231">
        <v>1042</v>
      </c>
      <c r="G19" s="231">
        <v>29068</v>
      </c>
      <c r="H19" s="231">
        <v>0</v>
      </c>
      <c r="I19" s="231">
        <v>2338</v>
      </c>
      <c r="J19" s="231">
        <v>69249</v>
      </c>
    </row>
    <row r="20" spans="1:10" ht="14.25" customHeight="1">
      <c r="A20" s="202" t="s">
        <v>154</v>
      </c>
      <c r="B20" s="231">
        <v>6563</v>
      </c>
      <c r="C20" s="231">
        <v>12495</v>
      </c>
      <c r="D20" s="231">
        <v>632</v>
      </c>
      <c r="E20" s="231">
        <v>0</v>
      </c>
      <c r="F20" s="231">
        <v>602</v>
      </c>
      <c r="G20" s="231">
        <v>22500</v>
      </c>
      <c r="H20" s="231">
        <v>0</v>
      </c>
      <c r="I20" s="231">
        <v>862</v>
      </c>
      <c r="J20" s="231">
        <v>43654</v>
      </c>
    </row>
    <row r="21" spans="1:10" ht="14.25" customHeight="1">
      <c r="A21" s="202" t="s">
        <v>347</v>
      </c>
      <c r="B21" s="231">
        <v>1989</v>
      </c>
      <c r="C21" s="231">
        <v>7335</v>
      </c>
      <c r="D21" s="231">
        <v>121</v>
      </c>
      <c r="E21" s="231">
        <v>0</v>
      </c>
      <c r="F21" s="231">
        <v>2870</v>
      </c>
      <c r="G21" s="231">
        <v>13040</v>
      </c>
      <c r="H21" s="231">
        <v>152</v>
      </c>
      <c r="I21" s="231">
        <v>1294</v>
      </c>
      <c r="J21" s="231">
        <v>26801</v>
      </c>
    </row>
    <row r="22" spans="1:10" ht="14.25" customHeight="1">
      <c r="A22" s="202" t="s">
        <v>312</v>
      </c>
      <c r="B22" s="231">
        <v>6366</v>
      </c>
      <c r="C22" s="231">
        <v>11479</v>
      </c>
      <c r="D22" s="231">
        <v>0</v>
      </c>
      <c r="E22" s="231">
        <v>2378</v>
      </c>
      <c r="F22" s="231">
        <v>512</v>
      </c>
      <c r="G22" s="231">
        <v>10156</v>
      </c>
      <c r="H22" s="231">
        <v>66</v>
      </c>
      <c r="I22" s="231">
        <v>285</v>
      </c>
      <c r="J22" s="231">
        <v>31242</v>
      </c>
    </row>
    <row r="23" spans="1:10" ht="14.25" customHeight="1">
      <c r="A23" s="202" t="s">
        <v>155</v>
      </c>
      <c r="B23" s="231">
        <v>1547</v>
      </c>
      <c r="C23" s="231">
        <v>556</v>
      </c>
      <c r="D23" s="231">
        <v>0</v>
      </c>
      <c r="E23" s="231">
        <v>3807</v>
      </c>
      <c r="F23" s="231">
        <v>1510</v>
      </c>
      <c r="G23" s="231">
        <v>6195</v>
      </c>
      <c r="H23" s="231">
        <v>26</v>
      </c>
      <c r="I23" s="231">
        <v>82</v>
      </c>
      <c r="J23" s="231">
        <v>13723</v>
      </c>
    </row>
    <row r="24" spans="1:10" ht="14.25" customHeight="1">
      <c r="A24" s="202" t="s">
        <v>348</v>
      </c>
      <c r="B24" s="231">
        <v>5863</v>
      </c>
      <c r="C24" s="231">
        <v>264</v>
      </c>
      <c r="D24" s="231">
        <v>0</v>
      </c>
      <c r="E24" s="231">
        <v>4</v>
      </c>
      <c r="F24" s="231">
        <v>5</v>
      </c>
      <c r="G24" s="231">
        <v>16013</v>
      </c>
      <c r="H24" s="231">
        <v>245</v>
      </c>
      <c r="I24" s="231">
        <v>688</v>
      </c>
      <c r="J24" s="231">
        <v>23082</v>
      </c>
    </row>
    <row r="25" spans="1:10" ht="14.25" customHeight="1">
      <c r="A25" s="202" t="s">
        <v>158</v>
      </c>
      <c r="B25" s="231">
        <v>927</v>
      </c>
      <c r="C25" s="231">
        <v>525</v>
      </c>
      <c r="D25" s="231">
        <v>0</v>
      </c>
      <c r="E25" s="231">
        <v>0</v>
      </c>
      <c r="F25" s="231">
        <v>215</v>
      </c>
      <c r="G25" s="231">
        <v>6807</v>
      </c>
      <c r="H25" s="231">
        <v>28</v>
      </c>
      <c r="I25" s="231">
        <v>1077</v>
      </c>
      <c r="J25" s="231">
        <v>9579</v>
      </c>
    </row>
    <row r="26" spans="1:10" ht="14.25" customHeight="1">
      <c r="A26" s="202" t="s">
        <v>160</v>
      </c>
      <c r="B26" s="231">
        <v>4601</v>
      </c>
      <c r="C26" s="231">
        <v>3863</v>
      </c>
      <c r="D26" s="231">
        <v>317</v>
      </c>
      <c r="E26" s="231">
        <v>0</v>
      </c>
      <c r="F26" s="231">
        <v>1473</v>
      </c>
      <c r="G26" s="231">
        <v>6499</v>
      </c>
      <c r="H26" s="231">
        <v>370</v>
      </c>
      <c r="I26" s="231">
        <v>164</v>
      </c>
      <c r="J26" s="231">
        <v>17287</v>
      </c>
    </row>
    <row r="27" spans="1:10" ht="14.25" customHeight="1">
      <c r="A27" s="202" t="s">
        <v>165</v>
      </c>
      <c r="B27" s="231">
        <v>4074</v>
      </c>
      <c r="C27" s="231">
        <v>8387</v>
      </c>
      <c r="D27" s="231">
        <v>4992</v>
      </c>
      <c r="E27" s="231">
        <v>17520</v>
      </c>
      <c r="F27" s="231">
        <v>6250</v>
      </c>
      <c r="G27" s="231">
        <v>29185</v>
      </c>
      <c r="H27" s="231">
        <v>1244</v>
      </c>
      <c r="I27" s="231">
        <v>2512</v>
      </c>
      <c r="J27" s="231">
        <v>74164</v>
      </c>
    </row>
    <row r="28" spans="1:10" ht="14.25" customHeight="1">
      <c r="A28" s="202" t="s">
        <v>168</v>
      </c>
      <c r="B28" s="231">
        <v>982</v>
      </c>
      <c r="C28" s="231">
        <v>1278</v>
      </c>
      <c r="D28" s="231">
        <v>0</v>
      </c>
      <c r="E28" s="231">
        <v>14</v>
      </c>
      <c r="F28" s="231">
        <v>204</v>
      </c>
      <c r="G28" s="231">
        <v>3211</v>
      </c>
      <c r="H28" s="231">
        <v>20</v>
      </c>
      <c r="I28" s="231">
        <v>6</v>
      </c>
      <c r="J28" s="231">
        <v>5715</v>
      </c>
    </row>
    <row r="29" spans="1:10" ht="14.25" customHeight="1">
      <c r="A29" s="202" t="s">
        <v>169</v>
      </c>
      <c r="B29" s="231">
        <v>2304</v>
      </c>
      <c r="C29" s="231">
        <v>2509</v>
      </c>
      <c r="D29" s="231">
        <v>0</v>
      </c>
      <c r="E29" s="231">
        <v>2</v>
      </c>
      <c r="F29" s="231">
        <v>0</v>
      </c>
      <c r="G29" s="231">
        <v>5159</v>
      </c>
      <c r="H29" s="231">
        <v>50</v>
      </c>
      <c r="I29" s="231">
        <v>592</v>
      </c>
      <c r="J29" s="231">
        <v>10616</v>
      </c>
    </row>
    <row r="30" spans="1:10" ht="14.25" customHeight="1">
      <c r="A30" s="202" t="s">
        <v>170</v>
      </c>
      <c r="B30" s="231">
        <v>1835</v>
      </c>
      <c r="C30" s="231">
        <v>10363</v>
      </c>
      <c r="D30" s="231">
        <v>0</v>
      </c>
      <c r="E30" s="231">
        <v>6205</v>
      </c>
      <c r="F30" s="231">
        <v>0</v>
      </c>
      <c r="G30" s="231">
        <v>23220</v>
      </c>
      <c r="H30" s="231">
        <v>46</v>
      </c>
      <c r="I30" s="231">
        <v>708</v>
      </c>
      <c r="J30" s="231">
        <v>42377</v>
      </c>
    </row>
    <row r="31" spans="1:10" ht="14.25" customHeight="1">
      <c r="A31" s="202" t="s">
        <v>173</v>
      </c>
      <c r="B31" s="231">
        <v>1637</v>
      </c>
      <c r="C31" s="231">
        <v>23470</v>
      </c>
      <c r="D31" s="231">
        <v>2052</v>
      </c>
      <c r="E31" s="231">
        <v>13359</v>
      </c>
      <c r="F31" s="231">
        <v>1083</v>
      </c>
      <c r="G31" s="231">
        <v>15892</v>
      </c>
      <c r="H31" s="231">
        <v>2053</v>
      </c>
      <c r="I31" s="231">
        <v>345</v>
      </c>
      <c r="J31" s="231">
        <v>59891</v>
      </c>
    </row>
    <row r="32" spans="1:10" ht="14.25" customHeight="1">
      <c r="A32" s="202" t="s">
        <v>280</v>
      </c>
      <c r="B32" s="231">
        <v>1526</v>
      </c>
      <c r="C32" s="231">
        <v>1028</v>
      </c>
      <c r="D32" s="231">
        <v>13</v>
      </c>
      <c r="E32" s="231">
        <v>0</v>
      </c>
      <c r="F32" s="231">
        <v>52</v>
      </c>
      <c r="G32" s="231">
        <v>1777</v>
      </c>
      <c r="H32" s="231">
        <v>160</v>
      </c>
      <c r="I32" s="231">
        <v>210</v>
      </c>
      <c r="J32" s="231">
        <v>4766</v>
      </c>
    </row>
    <row r="33" spans="1:10" ht="14.25" customHeight="1">
      <c r="A33" s="202" t="s">
        <v>176</v>
      </c>
      <c r="B33" s="231">
        <v>2098</v>
      </c>
      <c r="C33" s="231">
        <v>1331</v>
      </c>
      <c r="D33" s="231">
        <v>0</v>
      </c>
      <c r="E33" s="231">
        <v>16970</v>
      </c>
      <c r="F33" s="231">
        <v>51</v>
      </c>
      <c r="G33" s="231">
        <v>2840</v>
      </c>
      <c r="H33" s="231">
        <v>0</v>
      </c>
      <c r="I33" s="231">
        <v>2551</v>
      </c>
      <c r="J33" s="231">
        <v>25841</v>
      </c>
    </row>
    <row r="34" spans="1:10" ht="14.25" customHeight="1">
      <c r="A34" s="202" t="s">
        <v>316</v>
      </c>
      <c r="B34" s="231">
        <v>1030</v>
      </c>
      <c r="C34" s="231">
        <v>1119</v>
      </c>
      <c r="D34" s="231">
        <v>0</v>
      </c>
      <c r="E34" s="231">
        <v>0</v>
      </c>
      <c r="F34" s="231">
        <v>17</v>
      </c>
      <c r="G34" s="231">
        <v>1615</v>
      </c>
      <c r="H34" s="231">
        <v>172</v>
      </c>
      <c r="I34" s="231">
        <v>155</v>
      </c>
      <c r="J34" s="231">
        <v>4108</v>
      </c>
    </row>
    <row r="35" spans="1:10" ht="14.25" customHeight="1">
      <c r="A35" s="202" t="s">
        <v>179</v>
      </c>
      <c r="B35" s="231">
        <v>671</v>
      </c>
      <c r="C35" s="231">
        <v>8472</v>
      </c>
      <c r="D35" s="231">
        <v>26</v>
      </c>
      <c r="E35" s="231">
        <v>0</v>
      </c>
      <c r="F35" s="231">
        <v>0</v>
      </c>
      <c r="G35" s="231">
        <v>8</v>
      </c>
      <c r="H35" s="231">
        <v>12</v>
      </c>
      <c r="I35" s="231">
        <v>0</v>
      </c>
      <c r="J35" s="231">
        <v>9189</v>
      </c>
    </row>
    <row r="36" spans="1:10" ht="14.25" customHeight="1">
      <c r="A36" s="202" t="s">
        <v>182</v>
      </c>
      <c r="B36" s="231">
        <v>3465</v>
      </c>
      <c r="C36" s="231">
        <v>9049</v>
      </c>
      <c r="D36" s="231">
        <v>3665</v>
      </c>
      <c r="E36" s="231">
        <v>100000</v>
      </c>
      <c r="F36" s="231">
        <v>1684</v>
      </c>
      <c r="G36" s="231">
        <v>10441</v>
      </c>
      <c r="H36" s="231">
        <v>137</v>
      </c>
      <c r="I36" s="231">
        <v>0</v>
      </c>
      <c r="J36" s="231">
        <v>128441</v>
      </c>
    </row>
    <row r="37" spans="1:10" ht="14.25" customHeight="1">
      <c r="A37" s="202" t="s">
        <v>317</v>
      </c>
      <c r="B37" s="231">
        <v>1774</v>
      </c>
      <c r="C37" s="231">
        <v>9196</v>
      </c>
      <c r="D37" s="231">
        <v>614</v>
      </c>
      <c r="E37" s="231">
        <v>569</v>
      </c>
      <c r="F37" s="231">
        <v>618</v>
      </c>
      <c r="G37" s="231">
        <v>5424</v>
      </c>
      <c r="H37" s="231">
        <v>0</v>
      </c>
      <c r="I37" s="231">
        <v>0</v>
      </c>
      <c r="J37" s="231">
        <v>18195</v>
      </c>
    </row>
    <row r="38" spans="1:10" ht="14.25" customHeight="1">
      <c r="A38" s="202" t="s">
        <v>185</v>
      </c>
      <c r="B38" s="231">
        <v>1126</v>
      </c>
      <c r="C38" s="231">
        <v>1236</v>
      </c>
      <c r="D38" s="231">
        <v>18</v>
      </c>
      <c r="E38" s="231">
        <v>0</v>
      </c>
      <c r="F38" s="231">
        <v>761</v>
      </c>
      <c r="G38" s="231">
        <v>3648</v>
      </c>
      <c r="H38" s="231">
        <v>0</v>
      </c>
      <c r="I38" s="231">
        <v>2</v>
      </c>
      <c r="J38" s="231">
        <v>6791</v>
      </c>
    </row>
    <row r="39" spans="1:10" ht="14.25" customHeight="1">
      <c r="A39" s="202" t="s">
        <v>186</v>
      </c>
      <c r="B39" s="231">
        <v>2212</v>
      </c>
      <c r="C39" s="231">
        <v>9298</v>
      </c>
      <c r="D39" s="231">
        <v>36</v>
      </c>
      <c r="E39" s="231">
        <v>2177</v>
      </c>
      <c r="F39" s="231">
        <v>1991</v>
      </c>
      <c r="G39" s="231">
        <v>11554</v>
      </c>
      <c r="H39" s="231">
        <v>678</v>
      </c>
      <c r="I39" s="231">
        <v>3497</v>
      </c>
      <c r="J39" s="231">
        <v>31443</v>
      </c>
    </row>
    <row r="40" spans="1:10" ht="14.25" customHeight="1">
      <c r="A40" s="202" t="s">
        <v>282</v>
      </c>
      <c r="B40" s="231">
        <v>2949</v>
      </c>
      <c r="C40" s="231">
        <v>20653</v>
      </c>
      <c r="D40" s="231">
        <v>1479</v>
      </c>
      <c r="E40" s="231">
        <v>500</v>
      </c>
      <c r="F40" s="231">
        <v>4469</v>
      </c>
      <c r="G40" s="231">
        <v>19654</v>
      </c>
      <c r="H40" s="231">
        <v>968</v>
      </c>
      <c r="I40" s="231">
        <v>57</v>
      </c>
      <c r="J40" s="231">
        <v>50729</v>
      </c>
    </row>
    <row r="41" spans="1:10" ht="14.25" customHeight="1">
      <c r="A41" s="202" t="s">
        <v>190</v>
      </c>
      <c r="B41" s="231">
        <v>1424</v>
      </c>
      <c r="C41" s="231">
        <v>1274</v>
      </c>
      <c r="D41" s="231">
        <v>0</v>
      </c>
      <c r="E41" s="231">
        <v>0</v>
      </c>
      <c r="F41" s="231">
        <v>597</v>
      </c>
      <c r="G41" s="231">
        <v>5355</v>
      </c>
      <c r="H41" s="231">
        <v>415</v>
      </c>
      <c r="I41" s="231">
        <v>1210</v>
      </c>
      <c r="J41" s="231">
        <v>10275</v>
      </c>
    </row>
    <row r="42" spans="1:10" ht="14.25" customHeight="1">
      <c r="A42" s="202" t="s">
        <v>192</v>
      </c>
      <c r="B42" s="231">
        <v>1006</v>
      </c>
      <c r="C42" s="231">
        <v>5451</v>
      </c>
      <c r="D42" s="231">
        <v>8</v>
      </c>
      <c r="E42" s="231">
        <v>0</v>
      </c>
      <c r="F42" s="231">
        <v>1116</v>
      </c>
      <c r="G42" s="231">
        <v>4693</v>
      </c>
      <c r="H42" s="231">
        <v>14</v>
      </c>
      <c r="I42" s="231">
        <v>37</v>
      </c>
      <c r="J42" s="231">
        <v>12325</v>
      </c>
    </row>
    <row r="43" spans="1:10" ht="14.25" customHeight="1">
      <c r="A43" s="202" t="s">
        <v>193</v>
      </c>
      <c r="B43" s="231">
        <v>1141</v>
      </c>
      <c r="C43" s="231">
        <v>1557</v>
      </c>
      <c r="D43" s="231">
        <v>156</v>
      </c>
      <c r="E43" s="231">
        <v>0</v>
      </c>
      <c r="F43" s="231">
        <v>550</v>
      </c>
      <c r="G43" s="231">
        <v>2278</v>
      </c>
      <c r="H43" s="231">
        <v>302</v>
      </c>
      <c r="I43" s="231">
        <v>0</v>
      </c>
      <c r="J43" s="231">
        <v>5984</v>
      </c>
    </row>
    <row r="44" spans="1:10" ht="14.25" customHeight="1">
      <c r="A44" s="202" t="s">
        <v>318</v>
      </c>
      <c r="B44" s="231">
        <v>2698</v>
      </c>
      <c r="C44" s="231">
        <v>11875</v>
      </c>
      <c r="D44" s="231">
        <v>470</v>
      </c>
      <c r="E44" s="231">
        <v>5862</v>
      </c>
      <c r="F44" s="231">
        <v>18</v>
      </c>
      <c r="G44" s="231">
        <v>13737</v>
      </c>
      <c r="H44" s="231">
        <v>271</v>
      </c>
      <c r="I44" s="231">
        <v>1074</v>
      </c>
      <c r="J44" s="231">
        <v>36005</v>
      </c>
    </row>
    <row r="45" spans="1:10" ht="14.25" customHeight="1">
      <c r="A45" s="202" t="s">
        <v>196</v>
      </c>
      <c r="B45" s="231">
        <v>561</v>
      </c>
      <c r="C45" s="231">
        <v>1102</v>
      </c>
      <c r="D45" s="231">
        <v>29</v>
      </c>
      <c r="E45" s="231">
        <v>954</v>
      </c>
      <c r="F45" s="231">
        <v>0</v>
      </c>
      <c r="G45" s="231">
        <v>2350</v>
      </c>
      <c r="H45" s="231">
        <v>122</v>
      </c>
      <c r="I45" s="231">
        <v>2</v>
      </c>
      <c r="J45" s="231">
        <v>5120</v>
      </c>
    </row>
    <row r="46" spans="1:10" ht="14.25" customHeight="1">
      <c r="A46" s="202" t="s">
        <v>198</v>
      </c>
      <c r="B46" s="231">
        <v>5075</v>
      </c>
      <c r="C46" s="231">
        <v>6584</v>
      </c>
      <c r="D46" s="231">
        <v>0</v>
      </c>
      <c r="E46" s="231">
        <v>0</v>
      </c>
      <c r="F46" s="231">
        <v>2030</v>
      </c>
      <c r="G46" s="231">
        <v>19847</v>
      </c>
      <c r="H46" s="231">
        <v>232</v>
      </c>
      <c r="I46" s="231">
        <v>286</v>
      </c>
      <c r="J46" s="231">
        <v>34054</v>
      </c>
    </row>
    <row r="47" spans="1:10" ht="14.25" customHeight="1">
      <c r="A47" s="202" t="s">
        <v>199</v>
      </c>
      <c r="B47" s="231">
        <v>4566</v>
      </c>
      <c r="C47" s="231">
        <v>6878</v>
      </c>
      <c r="D47" s="231">
        <v>784</v>
      </c>
      <c r="E47" s="231">
        <v>31211</v>
      </c>
      <c r="F47" s="231">
        <v>3789</v>
      </c>
      <c r="G47" s="231">
        <v>14069</v>
      </c>
      <c r="H47" s="231">
        <v>192</v>
      </c>
      <c r="I47" s="231">
        <v>21977</v>
      </c>
      <c r="J47" s="231">
        <v>83466</v>
      </c>
    </row>
    <row r="48" spans="1:10" ht="14.25" customHeight="1">
      <c r="A48" s="202" t="s">
        <v>202</v>
      </c>
      <c r="B48" s="231">
        <v>1431</v>
      </c>
      <c r="C48" s="231">
        <v>1215</v>
      </c>
      <c r="D48" s="231">
        <v>183</v>
      </c>
      <c r="E48" s="231">
        <v>6775</v>
      </c>
      <c r="F48" s="231">
        <v>1770</v>
      </c>
      <c r="G48" s="231">
        <v>6451</v>
      </c>
      <c r="H48" s="231">
        <v>0</v>
      </c>
      <c r="I48" s="231">
        <v>0</v>
      </c>
      <c r="J48" s="231">
        <v>17825</v>
      </c>
    </row>
    <row r="49" spans="1:10" ht="14.25" customHeight="1">
      <c r="A49" s="202" t="s">
        <v>203</v>
      </c>
      <c r="B49" s="231">
        <v>3517</v>
      </c>
      <c r="C49" s="231">
        <v>5436</v>
      </c>
      <c r="D49" s="231">
        <v>4062</v>
      </c>
      <c r="E49" s="231">
        <v>24750</v>
      </c>
      <c r="F49" s="231">
        <v>85</v>
      </c>
      <c r="G49" s="231">
        <v>29928</v>
      </c>
      <c r="H49" s="231">
        <v>0</v>
      </c>
      <c r="I49" s="231">
        <v>101</v>
      </c>
      <c r="J49" s="231">
        <v>67879</v>
      </c>
    </row>
    <row r="50" spans="1:10" ht="14.25" customHeight="1">
      <c r="A50" s="2" t="s">
        <v>319</v>
      </c>
      <c r="B50" s="231">
        <v>5137</v>
      </c>
      <c r="C50" s="231">
        <v>1915</v>
      </c>
      <c r="D50" s="231">
        <v>53</v>
      </c>
      <c r="E50" s="231">
        <v>250</v>
      </c>
      <c r="F50" s="231">
        <v>2554</v>
      </c>
      <c r="G50" s="231">
        <v>9951</v>
      </c>
      <c r="H50" s="231">
        <v>56</v>
      </c>
      <c r="I50" s="231">
        <v>0</v>
      </c>
      <c r="J50" s="231">
        <v>19916</v>
      </c>
    </row>
    <row r="51" spans="1:10" ht="14.25" customHeight="1">
      <c r="A51" s="2" t="s">
        <v>206</v>
      </c>
      <c r="B51" s="14">
        <v>1395</v>
      </c>
      <c r="C51" s="14">
        <v>3619</v>
      </c>
      <c r="D51" s="14">
        <v>100</v>
      </c>
      <c r="E51" s="14">
        <v>100</v>
      </c>
      <c r="F51" s="14">
        <v>0</v>
      </c>
      <c r="G51" s="14">
        <v>12991</v>
      </c>
      <c r="H51" s="14">
        <v>481</v>
      </c>
      <c r="I51" s="14">
        <v>70</v>
      </c>
      <c r="J51" s="14">
        <v>18756</v>
      </c>
    </row>
    <row r="52" spans="1:10" ht="14.25" customHeight="1">
      <c r="A52" s="2" t="s">
        <v>207</v>
      </c>
      <c r="B52" s="14">
        <v>7525</v>
      </c>
      <c r="C52" s="14">
        <v>4670</v>
      </c>
      <c r="D52" s="14">
        <v>333</v>
      </c>
      <c r="E52" s="14">
        <v>0</v>
      </c>
      <c r="F52" s="14">
        <v>2277</v>
      </c>
      <c r="G52" s="14">
        <v>15322</v>
      </c>
      <c r="H52" s="14">
        <v>575</v>
      </c>
      <c r="I52" s="14">
        <v>2029</v>
      </c>
      <c r="J52" s="14">
        <v>32731</v>
      </c>
    </row>
    <row r="53" spans="1:10" ht="14.25" customHeight="1">
      <c r="A53" s="2" t="s">
        <v>208</v>
      </c>
      <c r="B53" s="14">
        <v>2121</v>
      </c>
      <c r="C53" s="14">
        <v>1130</v>
      </c>
      <c r="D53" s="14">
        <v>295</v>
      </c>
      <c r="E53" s="14">
        <v>0</v>
      </c>
      <c r="F53" s="14">
        <v>0</v>
      </c>
      <c r="G53" s="14">
        <v>3182</v>
      </c>
      <c r="H53" s="14">
        <v>320</v>
      </c>
      <c r="I53" s="14">
        <v>24</v>
      </c>
      <c r="J53" s="14">
        <v>7072</v>
      </c>
    </row>
    <row r="54" spans="1:10" ht="14.25" customHeight="1">
      <c r="A54" s="2" t="s">
        <v>210</v>
      </c>
      <c r="B54" s="14">
        <v>1607</v>
      </c>
      <c r="C54" s="14">
        <v>6765</v>
      </c>
      <c r="D54" s="14">
        <v>243</v>
      </c>
      <c r="E54" s="14">
        <v>1382</v>
      </c>
      <c r="F54" s="14">
        <v>9</v>
      </c>
      <c r="G54" s="14">
        <v>3117</v>
      </c>
      <c r="H54" s="14">
        <v>245</v>
      </c>
      <c r="I54" s="14">
        <v>0</v>
      </c>
      <c r="J54" s="14">
        <v>13368</v>
      </c>
    </row>
    <row r="55" spans="1:10" ht="14.25" customHeight="1">
      <c r="A55" s="2" t="s">
        <v>349</v>
      </c>
      <c r="B55" s="14">
        <v>359</v>
      </c>
      <c r="C55" s="14">
        <v>1827</v>
      </c>
      <c r="D55" s="14">
        <v>0</v>
      </c>
      <c r="E55" s="14">
        <v>1</v>
      </c>
      <c r="F55" s="14">
        <v>0</v>
      </c>
      <c r="G55" s="14">
        <v>1292</v>
      </c>
      <c r="H55" s="14">
        <v>4</v>
      </c>
      <c r="I55" s="14">
        <v>42</v>
      </c>
      <c r="J55" s="14">
        <v>3525</v>
      </c>
    </row>
    <row r="56" spans="1:10" ht="14.25" customHeight="1">
      <c r="A56" s="2" t="s">
        <v>213</v>
      </c>
      <c r="B56" s="14">
        <v>1067</v>
      </c>
      <c r="C56" s="14">
        <v>689</v>
      </c>
      <c r="D56" s="14">
        <v>1</v>
      </c>
      <c r="E56" s="14">
        <v>0</v>
      </c>
      <c r="F56" s="14">
        <v>791</v>
      </c>
      <c r="G56" s="14">
        <v>3298</v>
      </c>
      <c r="H56" s="14">
        <v>97</v>
      </c>
      <c r="I56" s="14">
        <v>434</v>
      </c>
      <c r="J56" s="14">
        <v>6377</v>
      </c>
    </row>
    <row r="57" spans="1:10" ht="14.25" customHeight="1">
      <c r="A57" s="2" t="s">
        <v>357</v>
      </c>
      <c r="B57" s="14">
        <v>1907</v>
      </c>
      <c r="C57" s="14">
        <v>333</v>
      </c>
      <c r="D57" s="14">
        <v>23</v>
      </c>
      <c r="E57" s="14">
        <v>7</v>
      </c>
      <c r="F57" s="14">
        <v>0</v>
      </c>
      <c r="G57" s="14">
        <v>3272</v>
      </c>
      <c r="H57" s="14">
        <v>36</v>
      </c>
      <c r="I57" s="14">
        <v>2</v>
      </c>
      <c r="J57" s="14">
        <v>5580</v>
      </c>
    </row>
    <row r="58" spans="1:10" ht="14.25" customHeight="1">
      <c r="A58" s="2" t="s">
        <v>218</v>
      </c>
      <c r="B58" s="14">
        <v>6747</v>
      </c>
      <c r="C58" s="14">
        <v>100810</v>
      </c>
      <c r="D58" s="14">
        <v>46</v>
      </c>
      <c r="E58" s="14">
        <v>412355</v>
      </c>
      <c r="F58" s="14">
        <v>9278</v>
      </c>
      <c r="G58" s="14">
        <v>36102</v>
      </c>
      <c r="H58" s="14">
        <v>2124</v>
      </c>
      <c r="I58" s="14">
        <v>12473</v>
      </c>
      <c r="J58" s="14">
        <v>579935</v>
      </c>
    </row>
    <row r="59" spans="1:10" ht="14.25" customHeight="1">
      <c r="A59" s="2" t="s">
        <v>219</v>
      </c>
      <c r="B59" s="14">
        <v>3127</v>
      </c>
      <c r="C59" s="14">
        <v>6765</v>
      </c>
      <c r="D59" s="14">
        <v>1051</v>
      </c>
      <c r="E59" s="14">
        <v>10189</v>
      </c>
      <c r="F59" s="14">
        <v>5695</v>
      </c>
      <c r="G59" s="14">
        <v>9020</v>
      </c>
      <c r="H59" s="14">
        <v>0</v>
      </c>
      <c r="I59" s="14">
        <v>3772</v>
      </c>
      <c r="J59" s="14">
        <v>39619</v>
      </c>
    </row>
    <row r="60" spans="1:10" ht="14.25" customHeight="1">
      <c r="A60" s="2" t="s">
        <v>320</v>
      </c>
      <c r="B60" s="14">
        <v>2402</v>
      </c>
      <c r="C60" s="14">
        <v>360</v>
      </c>
      <c r="D60" s="14">
        <v>0</v>
      </c>
      <c r="E60" s="14">
        <v>2038</v>
      </c>
      <c r="F60" s="14">
        <v>49</v>
      </c>
      <c r="G60" s="14">
        <v>2407</v>
      </c>
      <c r="H60" s="14">
        <v>574</v>
      </c>
      <c r="I60" s="14">
        <v>0</v>
      </c>
      <c r="J60" s="14">
        <v>7830</v>
      </c>
    </row>
    <row r="61" spans="1:10" ht="14.25" customHeight="1">
      <c r="A61" s="2" t="s">
        <v>220</v>
      </c>
      <c r="B61" s="14">
        <v>2531</v>
      </c>
      <c r="C61" s="14">
        <v>12460</v>
      </c>
      <c r="D61" s="14">
        <v>5</v>
      </c>
      <c r="E61" s="14">
        <v>28123</v>
      </c>
      <c r="F61" s="14">
        <v>654</v>
      </c>
      <c r="G61" s="14">
        <v>9814</v>
      </c>
      <c r="H61" s="14">
        <v>134</v>
      </c>
      <c r="I61" s="14">
        <v>1062</v>
      </c>
      <c r="J61" s="14">
        <v>54783</v>
      </c>
    </row>
    <row r="62" spans="1:10" ht="14.25" customHeight="1">
      <c r="A62" s="2" t="s">
        <v>283</v>
      </c>
      <c r="B62" s="14">
        <v>551</v>
      </c>
      <c r="C62" s="14">
        <v>1062</v>
      </c>
      <c r="D62" s="14">
        <v>0</v>
      </c>
      <c r="E62" s="14">
        <v>57</v>
      </c>
      <c r="F62" s="14">
        <v>12</v>
      </c>
      <c r="G62" s="14">
        <v>803</v>
      </c>
      <c r="H62" s="14">
        <v>0</v>
      </c>
      <c r="I62" s="14">
        <v>0</v>
      </c>
      <c r="J62" s="14">
        <v>2485</v>
      </c>
    </row>
    <row r="63" spans="1:10" ht="14.25" customHeight="1">
      <c r="A63" s="2" t="s">
        <v>223</v>
      </c>
      <c r="B63" s="14">
        <v>1781</v>
      </c>
      <c r="C63" s="14">
        <v>764</v>
      </c>
      <c r="D63" s="14">
        <v>0</v>
      </c>
      <c r="E63" s="14">
        <v>9</v>
      </c>
      <c r="F63" s="14">
        <v>572</v>
      </c>
      <c r="G63" s="14">
        <v>3556</v>
      </c>
      <c r="H63" s="14">
        <v>53</v>
      </c>
      <c r="I63" s="14">
        <v>30</v>
      </c>
      <c r="J63" s="14">
        <v>6765</v>
      </c>
    </row>
    <row r="64" spans="1:10" ht="14.25" customHeight="1">
      <c r="A64" s="2" t="s">
        <v>224</v>
      </c>
      <c r="B64" s="14">
        <v>533</v>
      </c>
      <c r="C64" s="14">
        <v>9344</v>
      </c>
      <c r="D64" s="14">
        <v>0</v>
      </c>
      <c r="E64" s="14">
        <v>0</v>
      </c>
      <c r="F64" s="14">
        <v>74</v>
      </c>
      <c r="G64" s="14">
        <v>9761</v>
      </c>
      <c r="H64" s="14">
        <v>0</v>
      </c>
      <c r="I64" s="14">
        <v>815</v>
      </c>
      <c r="J64" s="14">
        <v>20527</v>
      </c>
    </row>
    <row r="65" spans="1:10" ht="14.25" customHeight="1">
      <c r="A65" s="2" t="s">
        <v>225</v>
      </c>
      <c r="B65" s="14">
        <v>2851</v>
      </c>
      <c r="C65" s="14">
        <v>8731</v>
      </c>
      <c r="D65" s="14">
        <v>47</v>
      </c>
      <c r="E65" s="14">
        <v>46164</v>
      </c>
      <c r="F65" s="14">
        <v>142</v>
      </c>
      <c r="G65" s="14">
        <v>16567</v>
      </c>
      <c r="H65" s="14">
        <v>2179</v>
      </c>
      <c r="I65" s="14">
        <v>117</v>
      </c>
      <c r="J65" s="14">
        <v>76798</v>
      </c>
    </row>
    <row r="66" spans="1:10" ht="14.25" customHeight="1">
      <c r="A66" s="2" t="s">
        <v>226</v>
      </c>
      <c r="B66" s="14">
        <v>3662</v>
      </c>
      <c r="C66" s="14">
        <v>2362</v>
      </c>
      <c r="D66" s="14">
        <v>0</v>
      </c>
      <c r="E66" s="14">
        <v>690</v>
      </c>
      <c r="F66" s="14">
        <v>3061</v>
      </c>
      <c r="G66" s="14">
        <v>9016</v>
      </c>
      <c r="H66" s="14">
        <v>2</v>
      </c>
      <c r="I66" s="14">
        <v>785</v>
      </c>
      <c r="J66" s="14">
        <v>19578</v>
      </c>
    </row>
    <row r="67" spans="1:10" ht="14.25" customHeight="1">
      <c r="A67" s="2" t="s">
        <v>228</v>
      </c>
      <c r="B67" s="14">
        <v>2178</v>
      </c>
      <c r="C67" s="14">
        <v>1650</v>
      </c>
      <c r="D67" s="14">
        <v>94</v>
      </c>
      <c r="E67" s="14">
        <v>0</v>
      </c>
      <c r="F67" s="14">
        <v>284</v>
      </c>
      <c r="G67" s="14">
        <v>7710</v>
      </c>
      <c r="H67" s="14">
        <v>30</v>
      </c>
      <c r="I67" s="14">
        <v>0</v>
      </c>
      <c r="J67" s="14">
        <v>11946</v>
      </c>
    </row>
    <row r="68" spans="1:10" ht="14.25" customHeight="1">
      <c r="A68" s="2" t="s">
        <v>229</v>
      </c>
      <c r="B68" s="14">
        <v>3422</v>
      </c>
      <c r="C68" s="14">
        <v>9982</v>
      </c>
      <c r="D68" s="14">
        <v>936</v>
      </c>
      <c r="E68" s="14">
        <v>4169</v>
      </c>
      <c r="F68" s="14">
        <v>3424</v>
      </c>
      <c r="G68" s="14">
        <v>8124</v>
      </c>
      <c r="H68" s="14">
        <v>2644</v>
      </c>
      <c r="I68" s="14">
        <v>298</v>
      </c>
      <c r="J68" s="14">
        <v>32999</v>
      </c>
    </row>
    <row r="69" spans="1:10" ht="14.25" customHeight="1">
      <c r="A69" s="2" t="s">
        <v>322</v>
      </c>
      <c r="B69" s="14">
        <v>5907</v>
      </c>
      <c r="C69" s="14">
        <v>50623</v>
      </c>
      <c r="D69" s="14">
        <v>1078</v>
      </c>
      <c r="E69" s="14">
        <v>1961</v>
      </c>
      <c r="F69" s="14">
        <v>888</v>
      </c>
      <c r="G69" s="14">
        <v>32971</v>
      </c>
      <c r="H69" s="14">
        <v>1567</v>
      </c>
      <c r="I69" s="14">
        <v>2273</v>
      </c>
      <c r="J69" s="14">
        <v>97268</v>
      </c>
    </row>
    <row r="70" spans="1:10" ht="14.25" customHeight="1">
      <c r="A70" s="2" t="s">
        <v>323</v>
      </c>
      <c r="B70" s="14">
        <v>1293</v>
      </c>
      <c r="C70" s="14">
        <v>352</v>
      </c>
      <c r="D70" s="14">
        <v>3</v>
      </c>
      <c r="E70" s="14">
        <v>18</v>
      </c>
      <c r="F70" s="14">
        <v>186</v>
      </c>
      <c r="G70" s="14">
        <v>3404</v>
      </c>
      <c r="H70" s="14">
        <v>178</v>
      </c>
      <c r="I70" s="14">
        <v>638</v>
      </c>
      <c r="J70" s="14">
        <v>6072</v>
      </c>
    </row>
    <row r="71" spans="1:10" ht="14.25" customHeight="1">
      <c r="A71" s="2" t="s">
        <v>350</v>
      </c>
      <c r="B71" s="14">
        <v>5960</v>
      </c>
      <c r="C71" s="14">
        <v>4185</v>
      </c>
      <c r="D71" s="14">
        <v>397</v>
      </c>
      <c r="E71" s="14">
        <v>276</v>
      </c>
      <c r="F71" s="14">
        <v>277</v>
      </c>
      <c r="G71" s="14">
        <v>20623</v>
      </c>
      <c r="H71" s="14">
        <v>20</v>
      </c>
      <c r="I71" s="14">
        <v>1318</v>
      </c>
      <c r="J71" s="14">
        <v>33056</v>
      </c>
    </row>
    <row r="72" spans="1:10" ht="14.25" customHeight="1">
      <c r="A72" s="2" t="s">
        <v>284</v>
      </c>
      <c r="B72" s="14">
        <v>2209</v>
      </c>
      <c r="C72" s="14">
        <v>9962</v>
      </c>
      <c r="D72" s="14">
        <v>1502</v>
      </c>
      <c r="E72" s="14">
        <v>2408</v>
      </c>
      <c r="F72" s="14">
        <v>4279</v>
      </c>
      <c r="G72" s="14">
        <v>14686</v>
      </c>
      <c r="H72" s="14">
        <v>939</v>
      </c>
      <c r="I72" s="14">
        <v>3325</v>
      </c>
      <c r="J72" s="14">
        <v>39310</v>
      </c>
    </row>
    <row r="73" spans="1:10" ht="14.25" customHeight="1">
      <c r="A73" s="2" t="s">
        <v>232</v>
      </c>
      <c r="B73" s="14">
        <v>2340</v>
      </c>
      <c r="C73" s="14">
        <v>1491</v>
      </c>
      <c r="D73" s="14">
        <v>0</v>
      </c>
      <c r="E73" s="14">
        <v>0</v>
      </c>
      <c r="F73" s="14">
        <v>2578</v>
      </c>
      <c r="G73" s="14">
        <v>16589</v>
      </c>
      <c r="H73" s="14">
        <v>0</v>
      </c>
      <c r="I73" s="14">
        <v>246</v>
      </c>
      <c r="J73" s="14">
        <v>23244</v>
      </c>
    </row>
    <row r="74" spans="1:10" ht="14.25" customHeight="1">
      <c r="A74" s="2" t="s">
        <v>233</v>
      </c>
      <c r="B74" s="14">
        <v>6205</v>
      </c>
      <c r="C74" s="14">
        <v>1321</v>
      </c>
      <c r="D74" s="14">
        <v>0</v>
      </c>
      <c r="E74" s="14">
        <v>2132</v>
      </c>
      <c r="F74" s="14">
        <v>3934</v>
      </c>
      <c r="G74" s="14">
        <v>7752</v>
      </c>
      <c r="H74" s="14">
        <v>132</v>
      </c>
      <c r="I74" s="14">
        <v>81</v>
      </c>
      <c r="J74" s="14">
        <v>21557</v>
      </c>
    </row>
    <row r="75" spans="1:10" ht="14.25" customHeight="1">
      <c r="A75" s="2" t="s">
        <v>234</v>
      </c>
      <c r="B75" s="14">
        <v>1170</v>
      </c>
      <c r="C75" s="14">
        <v>367</v>
      </c>
      <c r="D75" s="14">
        <v>104</v>
      </c>
      <c r="E75" s="14">
        <v>249</v>
      </c>
      <c r="F75" s="14">
        <v>663</v>
      </c>
      <c r="G75" s="14">
        <v>5082</v>
      </c>
      <c r="H75" s="14">
        <v>650</v>
      </c>
      <c r="I75" s="14">
        <v>605</v>
      </c>
      <c r="J75" s="14">
        <v>8890</v>
      </c>
    </row>
    <row r="76" spans="1:10" ht="14.25" customHeight="1">
      <c r="A76" s="2" t="s">
        <v>236</v>
      </c>
      <c r="B76" s="14">
        <v>1638</v>
      </c>
      <c r="C76" s="14">
        <v>5700</v>
      </c>
      <c r="D76" s="14">
        <v>192</v>
      </c>
      <c r="E76" s="14">
        <v>2000</v>
      </c>
      <c r="F76" s="14">
        <v>0</v>
      </c>
      <c r="G76" s="14">
        <v>5395</v>
      </c>
      <c r="H76" s="14">
        <v>174</v>
      </c>
      <c r="I76" s="14">
        <v>72</v>
      </c>
      <c r="J76" s="14">
        <v>15171</v>
      </c>
    </row>
    <row r="77" spans="1:10" ht="14.25" customHeight="1">
      <c r="A77" s="2" t="s">
        <v>238</v>
      </c>
      <c r="B77" s="14">
        <v>543</v>
      </c>
      <c r="C77" s="14">
        <v>763</v>
      </c>
      <c r="D77" s="14">
        <v>542</v>
      </c>
      <c r="E77" s="14">
        <v>0</v>
      </c>
      <c r="F77" s="14">
        <v>786</v>
      </c>
      <c r="G77" s="14">
        <v>3510</v>
      </c>
      <c r="H77" s="14">
        <v>7</v>
      </c>
      <c r="I77" s="14">
        <v>0</v>
      </c>
      <c r="J77" s="14">
        <v>6151</v>
      </c>
    </row>
    <row r="78" spans="1:10" ht="14.25" customHeight="1">
      <c r="A78" s="2" t="s">
        <v>239</v>
      </c>
      <c r="B78" s="14">
        <v>4566</v>
      </c>
      <c r="C78" s="14">
        <v>15520</v>
      </c>
      <c r="D78" s="14">
        <v>157</v>
      </c>
      <c r="E78" s="14">
        <v>7934</v>
      </c>
      <c r="F78" s="14">
        <v>2593</v>
      </c>
      <c r="G78" s="14">
        <v>15154</v>
      </c>
      <c r="H78" s="14">
        <v>149</v>
      </c>
      <c r="I78" s="14">
        <v>2070</v>
      </c>
      <c r="J78" s="14">
        <v>48143</v>
      </c>
    </row>
    <row r="79" spans="1:10" ht="14.25" customHeight="1">
      <c r="A79" s="2" t="s">
        <v>351</v>
      </c>
      <c r="B79" s="14">
        <v>7331</v>
      </c>
      <c r="C79" s="14">
        <v>11274</v>
      </c>
      <c r="D79" s="14">
        <v>674</v>
      </c>
      <c r="E79" s="14">
        <v>0</v>
      </c>
      <c r="F79" s="14">
        <v>17792</v>
      </c>
      <c r="G79" s="14">
        <v>45268</v>
      </c>
      <c r="H79" s="14">
        <v>704</v>
      </c>
      <c r="I79" s="14">
        <v>5614</v>
      </c>
      <c r="J79" s="14">
        <v>88657</v>
      </c>
    </row>
    <row r="80" spans="1:10" ht="14.25" customHeight="1">
      <c r="A80" s="2" t="s">
        <v>244</v>
      </c>
      <c r="B80" s="14">
        <v>601</v>
      </c>
      <c r="C80" s="14">
        <v>2565</v>
      </c>
      <c r="D80" s="14">
        <v>14</v>
      </c>
      <c r="E80" s="14">
        <v>18</v>
      </c>
      <c r="F80" s="14">
        <v>562</v>
      </c>
      <c r="G80" s="14">
        <v>1134</v>
      </c>
      <c r="H80" s="14">
        <v>77</v>
      </c>
      <c r="I80" s="14">
        <v>0</v>
      </c>
      <c r="J80" s="14">
        <v>4971</v>
      </c>
    </row>
    <row r="81" spans="1:10" ht="14.25" customHeight="1">
      <c r="A81" s="2" t="s">
        <v>326</v>
      </c>
      <c r="B81" s="14">
        <v>1393</v>
      </c>
      <c r="C81" s="14">
        <v>1724</v>
      </c>
      <c r="D81" s="14">
        <v>0</v>
      </c>
      <c r="E81" s="14">
        <v>0</v>
      </c>
      <c r="F81" s="14">
        <v>992</v>
      </c>
      <c r="G81" s="14">
        <v>4176</v>
      </c>
      <c r="H81" s="14">
        <v>94</v>
      </c>
      <c r="I81" s="14">
        <v>0</v>
      </c>
      <c r="J81" s="14">
        <v>8379</v>
      </c>
    </row>
    <row r="82" spans="1:10" ht="14.25" customHeight="1">
      <c r="A82" s="2" t="s">
        <v>247</v>
      </c>
      <c r="B82" s="14">
        <v>498</v>
      </c>
      <c r="C82" s="14">
        <v>1315</v>
      </c>
      <c r="D82" s="14">
        <v>0</v>
      </c>
      <c r="E82" s="14">
        <v>0</v>
      </c>
      <c r="F82" s="14">
        <v>12</v>
      </c>
      <c r="G82" s="14">
        <v>2044</v>
      </c>
      <c r="H82" s="14">
        <v>10</v>
      </c>
      <c r="I82" s="14">
        <v>0</v>
      </c>
      <c r="J82" s="14">
        <v>3879</v>
      </c>
    </row>
    <row r="83" spans="1:10" ht="14.25" customHeight="1">
      <c r="A83" s="2" t="s">
        <v>249</v>
      </c>
      <c r="B83" s="14">
        <v>1902</v>
      </c>
      <c r="C83" s="14">
        <v>2320</v>
      </c>
      <c r="D83" s="14">
        <v>0</v>
      </c>
      <c r="E83" s="14">
        <v>3438</v>
      </c>
      <c r="F83" s="14">
        <v>0</v>
      </c>
      <c r="G83" s="14">
        <v>4375</v>
      </c>
      <c r="H83" s="14">
        <v>44</v>
      </c>
      <c r="I83" s="14">
        <v>1963</v>
      </c>
      <c r="J83" s="14">
        <v>14042</v>
      </c>
    </row>
    <row r="84" spans="1:10" ht="14.25" customHeight="1">
      <c r="A84" s="2" t="s">
        <v>254</v>
      </c>
      <c r="B84" s="14">
        <v>9472</v>
      </c>
      <c r="C84" s="14">
        <v>3810</v>
      </c>
      <c r="D84" s="14">
        <v>32</v>
      </c>
      <c r="E84" s="14">
        <v>67837</v>
      </c>
      <c r="F84" s="14">
        <v>1414</v>
      </c>
      <c r="G84" s="14">
        <v>7137</v>
      </c>
      <c r="H84" s="14">
        <v>0</v>
      </c>
      <c r="I84" s="14">
        <v>0</v>
      </c>
      <c r="J84" s="14">
        <v>89702</v>
      </c>
    </row>
    <row r="85" spans="1:10" ht="14.25" customHeight="1">
      <c r="A85" s="2" t="s">
        <v>256</v>
      </c>
      <c r="B85" s="14">
        <v>1018</v>
      </c>
      <c r="C85" s="14">
        <v>1321</v>
      </c>
      <c r="D85" s="14">
        <v>10</v>
      </c>
      <c r="E85" s="14">
        <v>0</v>
      </c>
      <c r="F85" s="14">
        <v>11</v>
      </c>
      <c r="G85" s="14">
        <v>1412</v>
      </c>
      <c r="H85" s="14">
        <v>39</v>
      </c>
      <c r="I85" s="14">
        <v>4</v>
      </c>
      <c r="J85" s="14">
        <v>3815</v>
      </c>
    </row>
    <row r="86" spans="1:10" ht="14.25" customHeight="1">
      <c r="A86" s="2" t="s">
        <v>327</v>
      </c>
      <c r="B86" s="14">
        <v>3672</v>
      </c>
      <c r="C86" s="14">
        <v>1667</v>
      </c>
      <c r="D86" s="14">
        <v>0</v>
      </c>
      <c r="E86" s="14">
        <v>6846</v>
      </c>
      <c r="F86" s="14">
        <v>526</v>
      </c>
      <c r="G86" s="14">
        <v>11428</v>
      </c>
      <c r="H86" s="14">
        <v>126</v>
      </c>
      <c r="I86" s="14">
        <v>0</v>
      </c>
      <c r="J86" s="14">
        <v>24265</v>
      </c>
    </row>
    <row r="87" spans="1:10" ht="14.25" customHeight="1">
      <c r="A87" s="2" t="s">
        <v>257</v>
      </c>
      <c r="B87" s="14">
        <v>2882</v>
      </c>
      <c r="C87" s="14">
        <v>4845</v>
      </c>
      <c r="D87" s="14">
        <v>1261</v>
      </c>
      <c r="E87" s="14">
        <v>10521</v>
      </c>
      <c r="F87" s="14">
        <v>2099</v>
      </c>
      <c r="G87" s="14">
        <v>13781</v>
      </c>
      <c r="H87" s="14">
        <v>0</v>
      </c>
      <c r="I87" s="14">
        <v>1700</v>
      </c>
      <c r="J87" s="14">
        <v>37089</v>
      </c>
    </row>
    <row r="88" spans="1:10" ht="14.25" customHeight="1">
      <c r="A88" s="2" t="s">
        <v>258</v>
      </c>
      <c r="B88" s="14">
        <v>3197</v>
      </c>
      <c r="C88" s="14">
        <v>1725</v>
      </c>
      <c r="D88" s="14">
        <v>7</v>
      </c>
      <c r="E88" s="14">
        <v>330</v>
      </c>
      <c r="F88" s="14">
        <v>0</v>
      </c>
      <c r="G88" s="14">
        <v>4791</v>
      </c>
      <c r="H88" s="14">
        <v>0</v>
      </c>
      <c r="I88" s="14">
        <v>9</v>
      </c>
      <c r="J88" s="14">
        <v>10059</v>
      </c>
    </row>
    <row r="89" spans="1:10" ht="14.25" customHeight="1">
      <c r="A89" s="2" t="s">
        <v>285</v>
      </c>
      <c r="B89" s="14">
        <v>974</v>
      </c>
      <c r="C89" s="14">
        <v>1434</v>
      </c>
      <c r="D89" s="14">
        <v>70</v>
      </c>
      <c r="E89" s="14">
        <v>283</v>
      </c>
      <c r="F89" s="14">
        <v>425</v>
      </c>
      <c r="G89" s="14">
        <v>2545</v>
      </c>
      <c r="H89" s="14">
        <v>0</v>
      </c>
      <c r="I89" s="14">
        <v>31</v>
      </c>
      <c r="J89" s="14">
        <v>5762</v>
      </c>
    </row>
    <row r="90" spans="1:10" ht="14.25" customHeight="1">
      <c r="A90" s="2" t="s">
        <v>260</v>
      </c>
      <c r="B90" s="14">
        <v>6471</v>
      </c>
      <c r="C90" s="14">
        <v>42482</v>
      </c>
      <c r="D90" s="14">
        <v>1557</v>
      </c>
      <c r="E90" s="14">
        <v>35930</v>
      </c>
      <c r="F90" s="14">
        <v>12243</v>
      </c>
      <c r="G90" s="14">
        <v>38950</v>
      </c>
      <c r="H90" s="14">
        <v>257</v>
      </c>
      <c r="I90" s="14">
        <v>7309</v>
      </c>
      <c r="J90" s="14">
        <v>145199</v>
      </c>
    </row>
    <row r="91" spans="1:10" ht="14.25" customHeight="1">
      <c r="A91" s="2" t="s">
        <v>261</v>
      </c>
      <c r="B91" s="14">
        <v>2198</v>
      </c>
      <c r="C91" s="14">
        <v>29591</v>
      </c>
      <c r="D91" s="14">
        <v>22</v>
      </c>
      <c r="E91" s="14">
        <v>10084</v>
      </c>
      <c r="F91" s="14">
        <v>1123</v>
      </c>
      <c r="G91" s="14">
        <v>9217</v>
      </c>
      <c r="H91" s="14">
        <v>119</v>
      </c>
      <c r="I91" s="14">
        <v>469</v>
      </c>
      <c r="J91" s="14">
        <v>52823</v>
      </c>
    </row>
    <row r="92" spans="1:10" ht="14.25" customHeight="1">
      <c r="A92" s="2" t="s">
        <v>286</v>
      </c>
      <c r="B92" s="14">
        <v>2394</v>
      </c>
      <c r="C92" s="14">
        <v>2184</v>
      </c>
      <c r="D92" s="14">
        <v>7</v>
      </c>
      <c r="E92" s="14">
        <v>0</v>
      </c>
      <c r="F92" s="14">
        <v>0</v>
      </c>
      <c r="G92" s="14">
        <v>5458</v>
      </c>
      <c r="H92" s="14">
        <v>11</v>
      </c>
      <c r="I92" s="14">
        <v>9</v>
      </c>
      <c r="J92" s="14">
        <v>10063</v>
      </c>
    </row>
    <row r="93" spans="1:10" ht="14.25" customHeight="1">
      <c r="A93" s="2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4.25" customHeight="1">
      <c r="A94" s="7" t="s">
        <v>105</v>
      </c>
      <c r="B94" s="15">
        <v>2178</v>
      </c>
      <c r="C94" s="15">
        <v>2509</v>
      </c>
      <c r="D94" s="15">
        <v>46</v>
      </c>
      <c r="E94" s="15">
        <v>276</v>
      </c>
      <c r="F94" s="15">
        <v>597</v>
      </c>
      <c r="G94" s="15">
        <v>6807</v>
      </c>
      <c r="H94" s="15">
        <v>77</v>
      </c>
      <c r="I94" s="15">
        <v>164</v>
      </c>
      <c r="J94" s="15">
        <v>18195</v>
      </c>
    </row>
    <row r="95" spans="1:10" ht="14.25" customHeight="1">
      <c r="A95" s="7" t="s">
        <v>104</v>
      </c>
      <c r="B95" s="15">
        <v>2678.4606741573034</v>
      </c>
      <c r="C95" s="15">
        <v>7002.9550561797751</v>
      </c>
      <c r="D95" s="15">
        <v>387.04494382022472</v>
      </c>
      <c r="E95" s="15">
        <v>10604.382022471909</v>
      </c>
      <c r="F95" s="15">
        <v>1466.685393258427</v>
      </c>
      <c r="G95" s="15">
        <v>10077.719101123595</v>
      </c>
      <c r="H95" s="15">
        <v>278.89887640449439</v>
      </c>
      <c r="I95" s="15">
        <v>1095.7528089887639</v>
      </c>
      <c r="J95" s="15">
        <v>33591.898876404492</v>
      </c>
    </row>
    <row r="96" spans="1:10" ht="14.25" customHeight="1">
      <c r="A96" s="7" t="s">
        <v>329</v>
      </c>
      <c r="B96" s="15">
        <v>238383</v>
      </c>
      <c r="C96" s="15">
        <v>623263</v>
      </c>
      <c r="D96" s="15">
        <v>34447</v>
      </c>
      <c r="E96" s="15">
        <v>943790</v>
      </c>
      <c r="F96" s="15">
        <v>130535</v>
      </c>
      <c r="G96" s="15">
        <v>896917</v>
      </c>
      <c r="H96" s="15">
        <v>24822</v>
      </c>
      <c r="I96" s="15">
        <v>97522</v>
      </c>
      <c r="J96" s="15">
        <v>2989679</v>
      </c>
    </row>
    <row r="97" spans="1:10" ht="14.25" customHeight="1">
      <c r="A97" s="7"/>
      <c r="B97" s="15"/>
      <c r="C97" s="15"/>
      <c r="D97" s="15"/>
      <c r="E97" s="15"/>
      <c r="F97" s="15"/>
      <c r="G97" s="15"/>
      <c r="H97" s="15"/>
      <c r="I97" s="15"/>
      <c r="J97" s="15"/>
    </row>
    <row r="100" spans="1:10" ht="14.25" customHeight="1">
      <c r="A100" s="212" t="s">
        <v>412</v>
      </c>
    </row>
  </sheetData>
  <sortState xmlns:xlrd2="http://schemas.microsoft.com/office/spreadsheetml/2017/richdata2" ref="A4:F50">
    <sortCondition ref="A4"/>
  </sortState>
  <phoneticPr fontId="51" type="noConversion"/>
  <conditionalFormatting sqref="B4:J50">
    <cfRule type="cellIs" dxfId="66" priority="5" operator="lessThan">
      <formula>0</formula>
    </cfRule>
    <cfRule type="cellIs" dxfId="65" priority="6" operator="lessThan">
      <formula>0</formula>
    </cfRule>
  </conditionalFormatting>
  <conditionalFormatting sqref="B4:J97">
    <cfRule type="cellIs" dxfId="64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5" orientation="portrait" r:id="rId1"/>
  <headerFooter alignWithMargins="0">
    <oddFooter>&amp;L&amp;9Public Library Statistics 2022–23&amp;C&amp;9&amp;P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1:S100"/>
  <sheetViews>
    <sheetView zoomScaleNormal="100" workbookViewId="0">
      <pane ySplit="3" topLeftCell="A85" activePane="bottomLeft" state="frozen"/>
      <selection pane="bottomLeft" activeCell="C94" sqref="C94"/>
      <selection activeCell="G34" sqref="G34"/>
    </sheetView>
  </sheetViews>
  <sheetFormatPr defaultColWidth="20.5703125" defaultRowHeight="14.25" customHeight="1"/>
  <cols>
    <col min="7" max="7" width="20.5703125" style="20"/>
    <col min="8" max="8" width="20.5703125" style="4"/>
    <col min="9" max="9" width="20.5703125" style="2"/>
    <col min="19" max="19" width="20.5703125" style="29"/>
  </cols>
  <sheetData>
    <row r="1" spans="1:19" ht="14.25" customHeight="1">
      <c r="A1" s="9" t="s">
        <v>413</v>
      </c>
      <c r="S1" s="2"/>
    </row>
    <row r="2" spans="1:19" ht="14.25" customHeight="1">
      <c r="A2" s="89"/>
      <c r="S2" s="2"/>
    </row>
    <row r="3" spans="1:19" ht="24.95" customHeight="1">
      <c r="A3" s="17"/>
      <c r="B3" s="153" t="s">
        <v>414</v>
      </c>
      <c r="C3" s="153" t="s">
        <v>415</v>
      </c>
      <c r="D3" s="153" t="s">
        <v>416</v>
      </c>
      <c r="E3" s="153" t="s">
        <v>417</v>
      </c>
      <c r="F3" s="105" t="s">
        <v>418</v>
      </c>
      <c r="G3" s="105" t="s">
        <v>419</v>
      </c>
      <c r="H3" s="105" t="s">
        <v>31</v>
      </c>
      <c r="S3" s="2"/>
    </row>
    <row r="4" spans="1:19" ht="14.25" customHeight="1">
      <c r="A4" s="202" t="s">
        <v>346</v>
      </c>
      <c r="B4" s="231">
        <v>79</v>
      </c>
      <c r="C4" s="231">
        <v>1</v>
      </c>
      <c r="D4" s="231">
        <v>2</v>
      </c>
      <c r="E4" s="231">
        <v>82</v>
      </c>
      <c r="F4" s="231">
        <v>14</v>
      </c>
      <c r="G4" s="231">
        <v>1697</v>
      </c>
      <c r="H4" s="231">
        <v>1793</v>
      </c>
      <c r="S4" s="2"/>
    </row>
    <row r="5" spans="1:19" ht="14.25" customHeight="1">
      <c r="A5" s="202" t="s">
        <v>278</v>
      </c>
      <c r="B5" s="231">
        <v>76</v>
      </c>
      <c r="C5" s="231">
        <v>0</v>
      </c>
      <c r="D5" s="231">
        <v>0</v>
      </c>
      <c r="E5" s="231">
        <v>76</v>
      </c>
      <c r="F5" s="231">
        <v>5</v>
      </c>
      <c r="G5" s="231">
        <v>10076</v>
      </c>
      <c r="H5" s="231">
        <v>10157</v>
      </c>
      <c r="S5" s="2"/>
    </row>
    <row r="6" spans="1:19" ht="14.25" customHeight="1">
      <c r="A6" s="202" t="s">
        <v>123</v>
      </c>
      <c r="B6" s="231">
        <v>0</v>
      </c>
      <c r="C6" s="231">
        <v>0</v>
      </c>
      <c r="D6" s="231">
        <v>0</v>
      </c>
      <c r="E6" s="231">
        <v>0</v>
      </c>
      <c r="F6" s="231">
        <v>0</v>
      </c>
      <c r="G6" s="231">
        <v>0</v>
      </c>
      <c r="H6" s="231">
        <v>0</v>
      </c>
      <c r="S6" s="2"/>
    </row>
    <row r="7" spans="1:19" ht="14.25" customHeight="1">
      <c r="A7" s="202" t="s">
        <v>124</v>
      </c>
      <c r="B7" s="231">
        <v>69</v>
      </c>
      <c r="C7" s="231">
        <v>1</v>
      </c>
      <c r="D7" s="231">
        <v>0</v>
      </c>
      <c r="E7" s="231">
        <v>70</v>
      </c>
      <c r="F7" s="231">
        <v>7</v>
      </c>
      <c r="G7" s="231">
        <v>1287</v>
      </c>
      <c r="H7" s="231">
        <v>1364</v>
      </c>
      <c r="S7" s="2"/>
    </row>
    <row r="8" spans="1:19" ht="14.25" customHeight="1">
      <c r="A8" s="202" t="s">
        <v>126</v>
      </c>
      <c r="B8" s="231">
        <v>11</v>
      </c>
      <c r="C8" s="231">
        <v>0</v>
      </c>
      <c r="D8" s="231">
        <v>0</v>
      </c>
      <c r="E8" s="231">
        <v>11</v>
      </c>
      <c r="F8" s="231">
        <v>25</v>
      </c>
      <c r="G8" s="231">
        <v>5374</v>
      </c>
      <c r="H8" s="231">
        <v>5410</v>
      </c>
      <c r="S8" s="2"/>
    </row>
    <row r="9" spans="1:19" ht="14.25" customHeight="1">
      <c r="A9" s="202" t="s">
        <v>127</v>
      </c>
      <c r="B9" s="231">
        <v>39</v>
      </c>
      <c r="C9" s="231">
        <v>1</v>
      </c>
      <c r="D9" s="231">
        <v>3</v>
      </c>
      <c r="E9" s="231">
        <v>43</v>
      </c>
      <c r="F9" s="231">
        <v>1</v>
      </c>
      <c r="G9" s="231">
        <v>3404</v>
      </c>
      <c r="H9" s="231">
        <v>3448</v>
      </c>
      <c r="S9" s="2"/>
    </row>
    <row r="10" spans="1:19" ht="14.25" customHeight="1">
      <c r="A10" s="202" t="s">
        <v>305</v>
      </c>
      <c r="B10" s="231">
        <v>14</v>
      </c>
      <c r="C10" s="231">
        <v>0</v>
      </c>
      <c r="D10" s="231">
        <v>0</v>
      </c>
      <c r="E10" s="231">
        <v>14</v>
      </c>
      <c r="F10" s="231">
        <v>2</v>
      </c>
      <c r="G10" s="231">
        <v>4384</v>
      </c>
      <c r="H10" s="231">
        <v>4400</v>
      </c>
      <c r="S10" s="2"/>
    </row>
    <row r="11" spans="1:19" ht="14.25" customHeight="1">
      <c r="A11" s="202" t="s">
        <v>133</v>
      </c>
      <c r="B11" s="231">
        <v>288</v>
      </c>
      <c r="C11" s="231">
        <v>0</v>
      </c>
      <c r="D11" s="231">
        <v>18</v>
      </c>
      <c r="E11" s="231">
        <v>306</v>
      </c>
      <c r="F11" s="231">
        <v>21</v>
      </c>
      <c r="G11" s="231">
        <v>13076</v>
      </c>
      <c r="H11" s="231">
        <v>13403</v>
      </c>
      <c r="S11" s="2"/>
    </row>
    <row r="12" spans="1:19" ht="14.25" customHeight="1">
      <c r="A12" s="202" t="s">
        <v>137</v>
      </c>
      <c r="B12" s="231">
        <v>121</v>
      </c>
      <c r="C12" s="231">
        <v>1</v>
      </c>
      <c r="D12" s="231">
        <v>2</v>
      </c>
      <c r="E12" s="231">
        <v>124</v>
      </c>
      <c r="F12" s="231">
        <v>17</v>
      </c>
      <c r="G12" s="231">
        <v>4357</v>
      </c>
      <c r="H12" s="231">
        <v>4498</v>
      </c>
      <c r="S12" s="2"/>
    </row>
    <row r="13" spans="1:19" ht="14.25" customHeight="1">
      <c r="A13" s="202" t="s">
        <v>139</v>
      </c>
      <c r="B13" s="231">
        <v>12</v>
      </c>
      <c r="C13" s="231">
        <v>0</v>
      </c>
      <c r="D13" s="231">
        <v>0</v>
      </c>
      <c r="E13" s="231">
        <v>12</v>
      </c>
      <c r="F13" s="231">
        <v>0</v>
      </c>
      <c r="G13" s="231">
        <v>9667</v>
      </c>
      <c r="H13" s="231">
        <v>9679</v>
      </c>
      <c r="S13" s="2"/>
    </row>
    <row r="14" spans="1:19" ht="14.25" customHeight="1">
      <c r="A14" s="202" t="s">
        <v>142</v>
      </c>
      <c r="B14" s="231">
        <v>10</v>
      </c>
      <c r="C14" s="231">
        <v>0</v>
      </c>
      <c r="D14" s="231">
        <v>0</v>
      </c>
      <c r="E14" s="231">
        <v>10</v>
      </c>
      <c r="F14" s="231">
        <v>5</v>
      </c>
      <c r="G14" s="231">
        <v>80808</v>
      </c>
      <c r="H14" s="231">
        <v>80823</v>
      </c>
      <c r="S14" s="2"/>
    </row>
    <row r="15" spans="1:19" ht="14.25" customHeight="1">
      <c r="A15" s="202" t="s">
        <v>144</v>
      </c>
      <c r="B15" s="231">
        <v>52</v>
      </c>
      <c r="C15" s="231">
        <v>0</v>
      </c>
      <c r="D15" s="231">
        <v>4</v>
      </c>
      <c r="E15" s="231">
        <v>56</v>
      </c>
      <c r="F15" s="231">
        <v>5</v>
      </c>
      <c r="G15" s="231">
        <v>18297</v>
      </c>
      <c r="H15" s="231">
        <v>18358</v>
      </c>
      <c r="S15" s="2"/>
    </row>
    <row r="16" spans="1:19" ht="14.25" customHeight="1">
      <c r="A16" s="202" t="s">
        <v>148</v>
      </c>
      <c r="B16" s="231">
        <v>47</v>
      </c>
      <c r="C16" s="231">
        <v>1</v>
      </c>
      <c r="D16" s="231">
        <v>5</v>
      </c>
      <c r="E16" s="231">
        <v>53</v>
      </c>
      <c r="F16" s="231">
        <v>5</v>
      </c>
      <c r="G16" s="231">
        <v>35843</v>
      </c>
      <c r="H16" s="231">
        <v>35901</v>
      </c>
      <c r="S16" s="2"/>
    </row>
    <row r="17" spans="1:19" ht="14.25" customHeight="1">
      <c r="A17" s="202" t="s">
        <v>149</v>
      </c>
      <c r="B17" s="231">
        <v>110</v>
      </c>
      <c r="C17" s="231">
        <v>1</v>
      </c>
      <c r="D17" s="231">
        <v>13</v>
      </c>
      <c r="E17" s="231">
        <v>124</v>
      </c>
      <c r="F17" s="231">
        <v>6</v>
      </c>
      <c r="G17" s="231">
        <v>49</v>
      </c>
      <c r="H17" s="231">
        <v>179</v>
      </c>
      <c r="S17" s="2"/>
    </row>
    <row r="18" spans="1:19" ht="14.25" customHeight="1">
      <c r="A18" s="202" t="s">
        <v>151</v>
      </c>
      <c r="B18" s="231">
        <v>139</v>
      </c>
      <c r="C18" s="231">
        <v>0</v>
      </c>
      <c r="D18" s="231">
        <v>5</v>
      </c>
      <c r="E18" s="231">
        <v>144</v>
      </c>
      <c r="F18" s="231">
        <v>17</v>
      </c>
      <c r="G18" s="231">
        <v>12585</v>
      </c>
      <c r="H18" s="231">
        <v>12746</v>
      </c>
      <c r="S18" s="2"/>
    </row>
    <row r="19" spans="1:19" ht="14.25" customHeight="1">
      <c r="A19" s="202" t="s">
        <v>152</v>
      </c>
      <c r="B19" s="231">
        <v>303</v>
      </c>
      <c r="C19" s="231">
        <v>3</v>
      </c>
      <c r="D19" s="231">
        <v>35</v>
      </c>
      <c r="E19" s="231">
        <v>341</v>
      </c>
      <c r="F19" s="231">
        <v>20</v>
      </c>
      <c r="G19" s="231">
        <v>9124</v>
      </c>
      <c r="H19" s="231">
        <v>9485</v>
      </c>
      <c r="S19" s="2"/>
    </row>
    <row r="20" spans="1:19" ht="14.25" customHeight="1">
      <c r="A20" s="202" t="s">
        <v>154</v>
      </c>
      <c r="B20" s="231">
        <v>106</v>
      </c>
      <c r="C20" s="231">
        <v>0</v>
      </c>
      <c r="D20" s="231">
        <v>10</v>
      </c>
      <c r="E20" s="231">
        <v>116</v>
      </c>
      <c r="F20" s="231">
        <v>0</v>
      </c>
      <c r="G20" s="231">
        <v>5995</v>
      </c>
      <c r="H20" s="231">
        <v>6111</v>
      </c>
      <c r="S20" s="2"/>
    </row>
    <row r="21" spans="1:19" ht="14.25" customHeight="1">
      <c r="A21" s="202" t="s">
        <v>347</v>
      </c>
      <c r="B21" s="231">
        <v>105</v>
      </c>
      <c r="C21" s="231">
        <v>0</v>
      </c>
      <c r="D21" s="231">
        <v>7</v>
      </c>
      <c r="E21" s="231">
        <v>112</v>
      </c>
      <c r="F21" s="231">
        <v>14</v>
      </c>
      <c r="G21" s="231">
        <v>5668</v>
      </c>
      <c r="H21" s="231">
        <v>5794</v>
      </c>
      <c r="S21" s="2"/>
    </row>
    <row r="22" spans="1:19" ht="14.25" customHeight="1">
      <c r="A22" s="202" t="s">
        <v>312</v>
      </c>
      <c r="B22" s="231">
        <v>189</v>
      </c>
      <c r="C22" s="231">
        <v>7</v>
      </c>
      <c r="D22" s="231">
        <v>11</v>
      </c>
      <c r="E22" s="231">
        <v>207</v>
      </c>
      <c r="F22" s="231">
        <v>9</v>
      </c>
      <c r="G22" s="231">
        <v>16501</v>
      </c>
      <c r="H22" s="231">
        <v>16717</v>
      </c>
      <c r="S22" s="2"/>
    </row>
    <row r="23" spans="1:19" ht="14.25" customHeight="1">
      <c r="A23" s="202" t="s">
        <v>155</v>
      </c>
      <c r="B23" s="231">
        <v>70</v>
      </c>
      <c r="C23" s="231">
        <v>0</v>
      </c>
      <c r="D23" s="231">
        <v>0</v>
      </c>
      <c r="E23" s="231">
        <v>70</v>
      </c>
      <c r="F23" s="231">
        <v>0</v>
      </c>
      <c r="G23" s="231">
        <v>6807</v>
      </c>
      <c r="H23" s="231">
        <v>6877</v>
      </c>
      <c r="S23" s="2"/>
    </row>
    <row r="24" spans="1:19" ht="14.25" customHeight="1">
      <c r="A24" s="202" t="s">
        <v>348</v>
      </c>
      <c r="B24" s="231">
        <v>122</v>
      </c>
      <c r="C24" s="231">
        <v>5</v>
      </c>
      <c r="D24" s="231">
        <v>13</v>
      </c>
      <c r="E24" s="231">
        <v>140</v>
      </c>
      <c r="F24" s="231">
        <v>36</v>
      </c>
      <c r="G24" s="231">
        <v>5671</v>
      </c>
      <c r="H24" s="231">
        <v>5847</v>
      </c>
      <c r="S24" s="2"/>
    </row>
    <row r="25" spans="1:19" ht="14.25" customHeight="1">
      <c r="A25" s="202" t="s">
        <v>158</v>
      </c>
      <c r="B25" s="231">
        <v>32</v>
      </c>
      <c r="C25" s="231">
        <v>2</v>
      </c>
      <c r="D25" s="231">
        <v>8</v>
      </c>
      <c r="E25" s="231">
        <v>42</v>
      </c>
      <c r="F25" s="231">
        <v>2</v>
      </c>
      <c r="G25" s="231">
        <v>1293</v>
      </c>
      <c r="H25" s="231">
        <v>1337</v>
      </c>
      <c r="S25" s="2"/>
    </row>
    <row r="26" spans="1:19" ht="14.25" customHeight="1">
      <c r="A26" s="202" t="s">
        <v>160</v>
      </c>
      <c r="B26" s="231">
        <v>86</v>
      </c>
      <c r="C26" s="231">
        <v>0</v>
      </c>
      <c r="D26" s="231">
        <v>5</v>
      </c>
      <c r="E26" s="231">
        <v>91</v>
      </c>
      <c r="F26" s="231">
        <v>6</v>
      </c>
      <c r="G26" s="231">
        <v>28415</v>
      </c>
      <c r="H26" s="231">
        <v>28512</v>
      </c>
      <c r="S26" s="2"/>
    </row>
    <row r="27" spans="1:19" ht="14.25" customHeight="1">
      <c r="A27" s="202" t="s">
        <v>165</v>
      </c>
      <c r="B27" s="231">
        <v>176</v>
      </c>
      <c r="C27" s="231">
        <v>0</v>
      </c>
      <c r="D27" s="231">
        <v>9</v>
      </c>
      <c r="E27" s="231">
        <v>185</v>
      </c>
      <c r="F27" s="231">
        <v>41</v>
      </c>
      <c r="G27" s="231">
        <v>6219</v>
      </c>
      <c r="H27" s="231">
        <v>6445</v>
      </c>
      <c r="S27" s="2"/>
    </row>
    <row r="28" spans="1:19" ht="14.25" customHeight="1">
      <c r="A28" s="202" t="s">
        <v>168</v>
      </c>
      <c r="B28" s="231">
        <v>21</v>
      </c>
      <c r="C28" s="231">
        <v>0</v>
      </c>
      <c r="D28" s="231">
        <v>0</v>
      </c>
      <c r="E28" s="231">
        <v>21</v>
      </c>
      <c r="F28" s="231">
        <v>5</v>
      </c>
      <c r="G28" s="231">
        <v>0</v>
      </c>
      <c r="H28" s="231">
        <v>26</v>
      </c>
      <c r="S28" s="2"/>
    </row>
    <row r="29" spans="1:19" ht="14.25" customHeight="1">
      <c r="A29" s="202" t="s">
        <v>169</v>
      </c>
      <c r="B29" s="231">
        <v>132</v>
      </c>
      <c r="C29" s="231">
        <v>2</v>
      </c>
      <c r="D29" s="231">
        <v>12</v>
      </c>
      <c r="E29" s="231">
        <v>146</v>
      </c>
      <c r="F29" s="231">
        <v>8</v>
      </c>
      <c r="G29" s="231">
        <v>15126</v>
      </c>
      <c r="H29" s="231">
        <v>15280</v>
      </c>
      <c r="S29" s="2"/>
    </row>
    <row r="30" spans="1:19" ht="14.25" customHeight="1">
      <c r="A30" s="202" t="s">
        <v>170</v>
      </c>
      <c r="B30" s="231">
        <v>72</v>
      </c>
      <c r="C30" s="231">
        <v>0</v>
      </c>
      <c r="D30" s="231">
        <v>7</v>
      </c>
      <c r="E30" s="231">
        <v>79</v>
      </c>
      <c r="F30" s="231">
        <v>14</v>
      </c>
      <c r="G30" s="231">
        <v>17850</v>
      </c>
      <c r="H30" s="231">
        <v>17943</v>
      </c>
      <c r="S30" s="2"/>
    </row>
    <row r="31" spans="1:19" ht="14.25" customHeight="1">
      <c r="A31" s="202" t="s">
        <v>173</v>
      </c>
      <c r="B31" s="231">
        <v>162</v>
      </c>
      <c r="C31" s="231">
        <v>4</v>
      </c>
      <c r="D31" s="231">
        <v>16</v>
      </c>
      <c r="E31" s="231">
        <v>182</v>
      </c>
      <c r="F31" s="231">
        <v>25</v>
      </c>
      <c r="G31" s="231">
        <v>13960</v>
      </c>
      <c r="H31" s="231">
        <v>14167</v>
      </c>
      <c r="S31" s="2"/>
    </row>
    <row r="32" spans="1:19" ht="14.25" customHeight="1">
      <c r="A32" s="202" t="s">
        <v>280</v>
      </c>
      <c r="B32" s="231">
        <v>44</v>
      </c>
      <c r="C32" s="231">
        <v>0</v>
      </c>
      <c r="D32" s="231">
        <v>0</v>
      </c>
      <c r="E32" s="231">
        <v>44</v>
      </c>
      <c r="F32" s="231">
        <v>5</v>
      </c>
      <c r="G32" s="231">
        <v>9905</v>
      </c>
      <c r="H32" s="231">
        <v>9954</v>
      </c>
      <c r="S32" s="2"/>
    </row>
    <row r="33" spans="1:19" ht="14.25" customHeight="1">
      <c r="A33" s="202" t="s">
        <v>176</v>
      </c>
      <c r="B33" s="231">
        <v>42</v>
      </c>
      <c r="C33" s="231">
        <v>0</v>
      </c>
      <c r="D33" s="231">
        <v>0</v>
      </c>
      <c r="E33" s="231">
        <v>42</v>
      </c>
      <c r="F33" s="231">
        <v>2</v>
      </c>
      <c r="G33" s="231">
        <v>318</v>
      </c>
      <c r="H33" s="231">
        <v>362</v>
      </c>
      <c r="S33" s="2"/>
    </row>
    <row r="34" spans="1:19" ht="14.25" customHeight="1">
      <c r="A34" s="202" t="s">
        <v>316</v>
      </c>
      <c r="B34" s="231">
        <v>36</v>
      </c>
      <c r="C34" s="231">
        <v>2</v>
      </c>
      <c r="D34" s="231">
        <v>2</v>
      </c>
      <c r="E34" s="231">
        <v>40</v>
      </c>
      <c r="F34" s="231">
        <v>1</v>
      </c>
      <c r="G34" s="231">
        <v>0</v>
      </c>
      <c r="H34" s="231">
        <v>41</v>
      </c>
      <c r="S34" s="2"/>
    </row>
    <row r="35" spans="1:19" ht="14.25" customHeight="1">
      <c r="A35" s="202" t="s">
        <v>179</v>
      </c>
      <c r="B35" s="231">
        <v>16</v>
      </c>
      <c r="C35" s="231">
        <v>2</v>
      </c>
      <c r="D35" s="231">
        <v>0</v>
      </c>
      <c r="E35" s="231">
        <v>18</v>
      </c>
      <c r="F35" s="231">
        <v>4</v>
      </c>
      <c r="G35" s="231">
        <v>0</v>
      </c>
      <c r="H35" s="231">
        <v>22</v>
      </c>
      <c r="S35" s="2"/>
    </row>
    <row r="36" spans="1:19" ht="14.25" customHeight="1">
      <c r="A36" s="202" t="s">
        <v>182</v>
      </c>
      <c r="B36" s="231">
        <v>59</v>
      </c>
      <c r="C36" s="231">
        <v>0</v>
      </c>
      <c r="D36" s="231">
        <v>0</v>
      </c>
      <c r="E36" s="231">
        <v>59</v>
      </c>
      <c r="F36" s="231">
        <v>6</v>
      </c>
      <c r="G36" s="231">
        <v>17</v>
      </c>
      <c r="H36" s="231">
        <v>82</v>
      </c>
      <c r="S36" s="2"/>
    </row>
    <row r="37" spans="1:19" ht="14.25" customHeight="1">
      <c r="A37" s="202" t="s">
        <v>317</v>
      </c>
      <c r="B37" s="231">
        <v>66</v>
      </c>
      <c r="C37" s="231">
        <v>1</v>
      </c>
      <c r="D37" s="231">
        <v>2</v>
      </c>
      <c r="E37" s="231">
        <v>69</v>
      </c>
      <c r="F37" s="231">
        <v>0</v>
      </c>
      <c r="G37" s="231">
        <v>18448</v>
      </c>
      <c r="H37" s="231">
        <v>18517</v>
      </c>
      <c r="S37" s="2"/>
    </row>
    <row r="38" spans="1:19" ht="14.25" customHeight="1">
      <c r="A38" s="202" t="s">
        <v>185</v>
      </c>
      <c r="B38" s="231">
        <v>16</v>
      </c>
      <c r="C38" s="231">
        <v>0</v>
      </c>
      <c r="D38" s="231">
        <v>0</v>
      </c>
      <c r="E38" s="231">
        <v>16</v>
      </c>
      <c r="F38" s="231">
        <v>2</v>
      </c>
      <c r="G38" s="231">
        <v>5534</v>
      </c>
      <c r="H38" s="231">
        <v>5552</v>
      </c>
      <c r="S38" s="2"/>
    </row>
    <row r="39" spans="1:19" ht="14.25" customHeight="1">
      <c r="A39" s="202" t="s">
        <v>186</v>
      </c>
      <c r="B39" s="231">
        <v>244</v>
      </c>
      <c r="C39" s="231">
        <v>1</v>
      </c>
      <c r="D39" s="231">
        <v>5</v>
      </c>
      <c r="E39" s="231">
        <v>250</v>
      </c>
      <c r="F39" s="231">
        <v>14</v>
      </c>
      <c r="G39" s="231">
        <v>13850</v>
      </c>
      <c r="H39" s="231">
        <v>14114</v>
      </c>
      <c r="S39" s="2"/>
    </row>
    <row r="40" spans="1:19" ht="14.25" customHeight="1">
      <c r="A40" s="202" t="s">
        <v>282</v>
      </c>
      <c r="B40" s="231">
        <v>268</v>
      </c>
      <c r="C40" s="231">
        <v>2</v>
      </c>
      <c r="D40" s="231">
        <v>5</v>
      </c>
      <c r="E40" s="231">
        <v>275</v>
      </c>
      <c r="F40" s="231">
        <v>68</v>
      </c>
      <c r="G40" s="231">
        <v>8152</v>
      </c>
      <c r="H40" s="231">
        <v>8495</v>
      </c>
      <c r="S40" s="2"/>
    </row>
    <row r="41" spans="1:19" ht="14.25" customHeight="1">
      <c r="A41" s="202" t="s">
        <v>190</v>
      </c>
      <c r="B41" s="231">
        <v>38</v>
      </c>
      <c r="C41" s="231">
        <v>0</v>
      </c>
      <c r="D41" s="231">
        <v>2</v>
      </c>
      <c r="E41" s="231">
        <v>40</v>
      </c>
      <c r="F41" s="231">
        <v>5</v>
      </c>
      <c r="G41" s="231">
        <v>32487</v>
      </c>
      <c r="H41" s="231">
        <v>32532</v>
      </c>
      <c r="S41" s="2"/>
    </row>
    <row r="42" spans="1:19" ht="14.25" customHeight="1">
      <c r="A42" s="202" t="s">
        <v>192</v>
      </c>
      <c r="B42" s="231">
        <v>28</v>
      </c>
      <c r="C42" s="231">
        <v>0</v>
      </c>
      <c r="D42" s="231">
        <v>7</v>
      </c>
      <c r="E42" s="231">
        <v>35</v>
      </c>
      <c r="F42" s="231">
        <v>4</v>
      </c>
      <c r="G42" s="231">
        <v>7808</v>
      </c>
      <c r="H42" s="231">
        <v>7847</v>
      </c>
      <c r="S42" s="2"/>
    </row>
    <row r="43" spans="1:19" ht="14.25" customHeight="1">
      <c r="A43" s="202" t="s">
        <v>193</v>
      </c>
      <c r="B43" s="231">
        <v>45</v>
      </c>
      <c r="C43" s="231">
        <v>1</v>
      </c>
      <c r="D43" s="231">
        <v>5</v>
      </c>
      <c r="E43" s="231">
        <v>51</v>
      </c>
      <c r="F43" s="231">
        <v>8</v>
      </c>
      <c r="G43" s="231">
        <v>20866</v>
      </c>
      <c r="H43" s="231">
        <v>20925</v>
      </c>
      <c r="S43" s="2"/>
    </row>
    <row r="44" spans="1:19" ht="14.25" customHeight="1">
      <c r="A44" s="202" t="s">
        <v>318</v>
      </c>
      <c r="B44" s="231">
        <v>166</v>
      </c>
      <c r="C44" s="231">
        <v>0</v>
      </c>
      <c r="D44" s="231">
        <v>0</v>
      </c>
      <c r="E44" s="231">
        <v>166</v>
      </c>
      <c r="F44" s="231">
        <v>26</v>
      </c>
      <c r="G44" s="231">
        <v>17999</v>
      </c>
      <c r="H44" s="231">
        <v>18191</v>
      </c>
      <c r="S44" s="2"/>
    </row>
    <row r="45" spans="1:19" ht="14.25" customHeight="1">
      <c r="A45" s="202" t="s">
        <v>196</v>
      </c>
      <c r="B45" s="231">
        <v>22</v>
      </c>
      <c r="C45" s="231">
        <v>4</v>
      </c>
      <c r="D45" s="231">
        <v>0</v>
      </c>
      <c r="E45" s="231">
        <v>26</v>
      </c>
      <c r="F45" s="231">
        <v>5</v>
      </c>
      <c r="G45" s="231">
        <v>1705</v>
      </c>
      <c r="H45" s="231">
        <v>1736</v>
      </c>
      <c r="S45" s="2"/>
    </row>
    <row r="46" spans="1:19" ht="14.25" customHeight="1">
      <c r="A46" s="202" t="s">
        <v>198</v>
      </c>
      <c r="B46" s="231">
        <v>382</v>
      </c>
      <c r="C46" s="231">
        <v>11</v>
      </c>
      <c r="D46" s="231">
        <v>11</v>
      </c>
      <c r="E46" s="231">
        <v>404</v>
      </c>
      <c r="F46" s="231">
        <v>0</v>
      </c>
      <c r="G46" s="231">
        <v>5908</v>
      </c>
      <c r="H46" s="231">
        <v>6312</v>
      </c>
      <c r="S46" s="2"/>
    </row>
    <row r="47" spans="1:19" ht="14.25" customHeight="1">
      <c r="A47" s="202" t="s">
        <v>199</v>
      </c>
      <c r="B47" s="231">
        <v>132</v>
      </c>
      <c r="C47" s="231">
        <v>1</v>
      </c>
      <c r="D47" s="231">
        <v>10</v>
      </c>
      <c r="E47" s="231">
        <v>143</v>
      </c>
      <c r="F47" s="231">
        <v>12</v>
      </c>
      <c r="G47" s="231">
        <v>5440</v>
      </c>
      <c r="H47" s="231">
        <v>5595</v>
      </c>
      <c r="S47" s="2"/>
    </row>
    <row r="48" spans="1:19" ht="14.25" customHeight="1">
      <c r="A48" s="202" t="s">
        <v>202</v>
      </c>
      <c r="B48" s="231">
        <v>67</v>
      </c>
      <c r="C48" s="231">
        <v>0</v>
      </c>
      <c r="D48" s="231">
        <v>3</v>
      </c>
      <c r="E48" s="231">
        <v>70</v>
      </c>
      <c r="F48" s="231">
        <v>4</v>
      </c>
      <c r="G48" s="231">
        <v>5178</v>
      </c>
      <c r="H48" s="231">
        <v>5252</v>
      </c>
      <c r="S48" s="2"/>
    </row>
    <row r="49" spans="1:19" ht="14.25" customHeight="1">
      <c r="A49" s="202" t="s">
        <v>203</v>
      </c>
      <c r="B49" s="231">
        <v>189</v>
      </c>
      <c r="C49" s="231">
        <v>5</v>
      </c>
      <c r="D49" s="231">
        <v>31</v>
      </c>
      <c r="E49" s="231">
        <v>225</v>
      </c>
      <c r="F49" s="231">
        <v>27</v>
      </c>
      <c r="G49" s="231">
        <v>33288</v>
      </c>
      <c r="H49" s="231">
        <v>33540</v>
      </c>
      <c r="S49" s="2"/>
    </row>
    <row r="50" spans="1:19" ht="14.25" customHeight="1">
      <c r="A50" s="2" t="s">
        <v>319</v>
      </c>
      <c r="B50" s="231">
        <v>88</v>
      </c>
      <c r="C50" s="231">
        <v>1</v>
      </c>
      <c r="D50" s="231">
        <v>5</v>
      </c>
      <c r="E50" s="231">
        <v>94</v>
      </c>
      <c r="F50" s="231">
        <v>30</v>
      </c>
      <c r="G50" s="231">
        <v>14580</v>
      </c>
      <c r="H50" s="231">
        <v>14704</v>
      </c>
      <c r="S50" s="2"/>
    </row>
    <row r="51" spans="1:19" ht="14.25" customHeight="1">
      <c r="A51" s="2" t="s">
        <v>206</v>
      </c>
      <c r="B51" s="33">
        <v>58</v>
      </c>
      <c r="C51" s="33">
        <v>1</v>
      </c>
      <c r="D51" s="33">
        <v>1</v>
      </c>
      <c r="E51" s="33">
        <v>60</v>
      </c>
      <c r="F51" s="33">
        <v>2</v>
      </c>
      <c r="G51" s="33">
        <v>19636</v>
      </c>
      <c r="H51" s="33">
        <v>19698</v>
      </c>
      <c r="S51" s="2"/>
    </row>
    <row r="52" spans="1:19" ht="14.25" customHeight="1">
      <c r="A52" s="2" t="s">
        <v>207</v>
      </c>
      <c r="B52" s="33">
        <v>144</v>
      </c>
      <c r="C52" s="33">
        <v>3</v>
      </c>
      <c r="D52" s="33">
        <v>6</v>
      </c>
      <c r="E52" s="33">
        <v>153</v>
      </c>
      <c r="F52" s="33">
        <v>6</v>
      </c>
      <c r="G52" s="33">
        <v>7689</v>
      </c>
      <c r="H52" s="33">
        <v>7848</v>
      </c>
      <c r="S52" s="2"/>
    </row>
    <row r="53" spans="1:19" ht="14.25" customHeight="1">
      <c r="A53" s="2" t="s">
        <v>208</v>
      </c>
      <c r="B53" s="33">
        <v>48</v>
      </c>
      <c r="C53" s="33">
        <v>0</v>
      </c>
      <c r="D53" s="33">
        <v>5</v>
      </c>
      <c r="E53" s="33">
        <v>53</v>
      </c>
      <c r="F53" s="33">
        <v>4</v>
      </c>
      <c r="G53" s="33">
        <v>2598</v>
      </c>
      <c r="H53" s="33">
        <v>2655</v>
      </c>
      <c r="S53" s="2"/>
    </row>
    <row r="54" spans="1:19" ht="14.25" customHeight="1">
      <c r="A54" s="2" t="s">
        <v>210</v>
      </c>
      <c r="B54" s="33">
        <v>101</v>
      </c>
      <c r="C54" s="33">
        <v>2</v>
      </c>
      <c r="D54" s="33">
        <v>7</v>
      </c>
      <c r="E54" s="33">
        <v>110</v>
      </c>
      <c r="F54" s="33">
        <v>4</v>
      </c>
      <c r="G54" s="33">
        <v>5619</v>
      </c>
      <c r="H54" s="33">
        <v>5733</v>
      </c>
      <c r="S54" s="2"/>
    </row>
    <row r="55" spans="1:19" ht="14.25" customHeight="1">
      <c r="A55" s="2" t="s">
        <v>349</v>
      </c>
      <c r="B55" s="33">
        <v>22</v>
      </c>
      <c r="C55" s="33">
        <v>0</v>
      </c>
      <c r="D55" s="33">
        <v>1</v>
      </c>
      <c r="E55" s="33">
        <v>23</v>
      </c>
      <c r="F55" s="33">
        <v>5</v>
      </c>
      <c r="G55" s="33">
        <v>198</v>
      </c>
      <c r="H55" s="33">
        <v>226</v>
      </c>
      <c r="S55" s="2"/>
    </row>
    <row r="56" spans="1:19" ht="14.25" customHeight="1">
      <c r="A56" s="2" t="s">
        <v>213</v>
      </c>
      <c r="B56" s="33">
        <v>0</v>
      </c>
      <c r="C56" s="33">
        <v>0</v>
      </c>
      <c r="D56" s="33">
        <v>0</v>
      </c>
      <c r="E56" s="33">
        <v>0</v>
      </c>
      <c r="F56" s="33">
        <v>2</v>
      </c>
      <c r="G56" s="33">
        <v>6036</v>
      </c>
      <c r="H56" s="33">
        <v>6038</v>
      </c>
      <c r="S56" s="2"/>
    </row>
    <row r="57" spans="1:19" ht="14.25" customHeight="1">
      <c r="A57" s="2" t="s">
        <v>357</v>
      </c>
      <c r="B57" s="33">
        <v>15</v>
      </c>
      <c r="C57" s="33">
        <v>0</v>
      </c>
      <c r="D57" s="33">
        <v>2</v>
      </c>
      <c r="E57" s="33">
        <v>17</v>
      </c>
      <c r="F57" s="33">
        <v>1</v>
      </c>
      <c r="G57" s="33">
        <v>5985</v>
      </c>
      <c r="H57" s="33">
        <v>6003</v>
      </c>
      <c r="S57" s="2"/>
    </row>
    <row r="58" spans="1:19" ht="14.25" customHeight="1">
      <c r="A58" s="2" t="s">
        <v>218</v>
      </c>
      <c r="B58" s="33">
        <v>3383</v>
      </c>
      <c r="C58" s="33">
        <v>0</v>
      </c>
      <c r="D58" s="33">
        <v>0</v>
      </c>
      <c r="E58" s="33">
        <v>3383</v>
      </c>
      <c r="F58" s="33">
        <v>1</v>
      </c>
      <c r="G58" s="33">
        <v>46691</v>
      </c>
      <c r="H58" s="33">
        <v>50075</v>
      </c>
      <c r="S58" s="2"/>
    </row>
    <row r="59" spans="1:19" ht="14.25" customHeight="1">
      <c r="A59" s="2" t="s">
        <v>219</v>
      </c>
      <c r="B59" s="33">
        <v>120</v>
      </c>
      <c r="C59" s="33">
        <v>4</v>
      </c>
      <c r="D59" s="33">
        <v>28</v>
      </c>
      <c r="E59" s="33">
        <v>152</v>
      </c>
      <c r="F59" s="33">
        <v>5</v>
      </c>
      <c r="G59" s="33">
        <v>41035</v>
      </c>
      <c r="H59" s="33">
        <v>41192</v>
      </c>
      <c r="S59" s="2"/>
    </row>
    <row r="60" spans="1:19" ht="14.25" customHeight="1">
      <c r="A60" s="2" t="s">
        <v>320</v>
      </c>
      <c r="B60" s="33">
        <v>145</v>
      </c>
      <c r="C60" s="33">
        <v>0</v>
      </c>
      <c r="D60" s="33">
        <v>0</v>
      </c>
      <c r="E60" s="33">
        <v>145</v>
      </c>
      <c r="F60" s="33">
        <v>8</v>
      </c>
      <c r="G60" s="33">
        <v>71355</v>
      </c>
      <c r="H60" s="33">
        <v>71508</v>
      </c>
      <c r="S60" s="2"/>
    </row>
    <row r="61" spans="1:19" ht="14.25" customHeight="1">
      <c r="A61" s="2" t="s">
        <v>220</v>
      </c>
      <c r="B61" s="33">
        <v>149</v>
      </c>
      <c r="C61" s="33">
        <v>2</v>
      </c>
      <c r="D61" s="33">
        <v>13</v>
      </c>
      <c r="E61" s="33">
        <v>164</v>
      </c>
      <c r="F61" s="33">
        <v>67</v>
      </c>
      <c r="G61" s="33">
        <v>5436</v>
      </c>
      <c r="H61" s="33">
        <v>5667</v>
      </c>
      <c r="S61" s="2"/>
    </row>
    <row r="62" spans="1:19" ht="14.25" customHeight="1">
      <c r="A62" s="2" t="s">
        <v>283</v>
      </c>
      <c r="B62" s="33">
        <v>13</v>
      </c>
      <c r="C62" s="33">
        <v>1</v>
      </c>
      <c r="D62" s="33">
        <v>0</v>
      </c>
      <c r="E62" s="33">
        <v>14</v>
      </c>
      <c r="F62" s="33">
        <v>2</v>
      </c>
      <c r="G62" s="33">
        <v>2288</v>
      </c>
      <c r="H62" s="33">
        <v>2304</v>
      </c>
      <c r="S62" s="2"/>
    </row>
    <row r="63" spans="1:19" ht="14.25" customHeight="1">
      <c r="A63" s="2" t="s">
        <v>223</v>
      </c>
      <c r="B63" s="33">
        <v>14</v>
      </c>
      <c r="C63" s="33">
        <v>0</v>
      </c>
      <c r="D63" s="33">
        <v>0</v>
      </c>
      <c r="E63" s="33">
        <v>14</v>
      </c>
      <c r="F63" s="33">
        <v>5</v>
      </c>
      <c r="G63" s="33">
        <v>7</v>
      </c>
      <c r="H63" s="33">
        <v>26</v>
      </c>
      <c r="S63" s="2"/>
    </row>
    <row r="64" spans="1:19" ht="14.25" customHeight="1">
      <c r="A64" s="2" t="s">
        <v>224</v>
      </c>
      <c r="B64" s="33">
        <v>173</v>
      </c>
      <c r="C64" s="33">
        <v>0</v>
      </c>
      <c r="D64" s="33">
        <v>40</v>
      </c>
      <c r="E64" s="33">
        <v>213</v>
      </c>
      <c r="F64" s="33">
        <v>40</v>
      </c>
      <c r="G64" s="33">
        <v>8073</v>
      </c>
      <c r="H64" s="33">
        <v>8326</v>
      </c>
      <c r="S64" s="2"/>
    </row>
    <row r="65" spans="1:19" ht="14.25" customHeight="1">
      <c r="A65" s="2" t="s">
        <v>225</v>
      </c>
      <c r="B65" s="33">
        <v>74</v>
      </c>
      <c r="C65" s="33">
        <v>0</v>
      </c>
      <c r="D65" s="33">
        <v>0</v>
      </c>
      <c r="E65" s="33">
        <v>74</v>
      </c>
      <c r="F65" s="33">
        <v>26</v>
      </c>
      <c r="G65" s="33">
        <v>30858</v>
      </c>
      <c r="H65" s="33">
        <v>30958</v>
      </c>
      <c r="S65" s="2"/>
    </row>
    <row r="66" spans="1:19" ht="14.25" customHeight="1">
      <c r="A66" s="2" t="s">
        <v>226</v>
      </c>
      <c r="B66" s="33">
        <v>165</v>
      </c>
      <c r="C66" s="33">
        <v>0</v>
      </c>
      <c r="D66" s="33">
        <v>12</v>
      </c>
      <c r="E66" s="33">
        <v>177</v>
      </c>
      <c r="F66" s="33">
        <v>12</v>
      </c>
      <c r="G66" s="33">
        <v>6124</v>
      </c>
      <c r="H66" s="33">
        <v>6313</v>
      </c>
      <c r="S66" s="2"/>
    </row>
    <row r="67" spans="1:19" ht="14.25" customHeight="1">
      <c r="A67" s="2" t="s">
        <v>228</v>
      </c>
      <c r="B67" s="33">
        <v>55</v>
      </c>
      <c r="C67" s="33">
        <v>0</v>
      </c>
      <c r="D67" s="33">
        <v>0</v>
      </c>
      <c r="E67" s="33">
        <v>55</v>
      </c>
      <c r="F67" s="33">
        <v>6</v>
      </c>
      <c r="G67" s="33">
        <v>265</v>
      </c>
      <c r="H67" s="33">
        <v>326</v>
      </c>
      <c r="S67" s="2"/>
    </row>
    <row r="68" spans="1:19" ht="14.25" customHeight="1">
      <c r="A68" s="2" t="s">
        <v>229</v>
      </c>
      <c r="B68" s="33">
        <v>127</v>
      </c>
      <c r="C68" s="33">
        <v>4</v>
      </c>
      <c r="D68" s="33">
        <v>11</v>
      </c>
      <c r="E68" s="33">
        <v>142</v>
      </c>
      <c r="F68" s="33">
        <v>22</v>
      </c>
      <c r="G68" s="33">
        <v>6003</v>
      </c>
      <c r="H68" s="33">
        <v>6167</v>
      </c>
      <c r="S68" s="2"/>
    </row>
    <row r="69" spans="1:19" ht="14.25" customHeight="1">
      <c r="A69" s="2" t="s">
        <v>322</v>
      </c>
      <c r="B69" s="33">
        <v>679</v>
      </c>
      <c r="C69" s="33">
        <v>0</v>
      </c>
      <c r="D69" s="33">
        <v>0</v>
      </c>
      <c r="E69" s="33">
        <v>679</v>
      </c>
      <c r="F69" s="33">
        <v>19</v>
      </c>
      <c r="G69" s="33">
        <v>5429</v>
      </c>
      <c r="H69" s="33">
        <v>6127</v>
      </c>
      <c r="S69" s="2"/>
    </row>
    <row r="70" spans="1:19" ht="14.25" customHeight="1">
      <c r="A70" s="2" t="s">
        <v>323</v>
      </c>
      <c r="B70" s="33">
        <v>33</v>
      </c>
      <c r="C70" s="33">
        <v>0</v>
      </c>
      <c r="D70" s="33">
        <v>2</v>
      </c>
      <c r="E70" s="33">
        <v>35</v>
      </c>
      <c r="F70" s="33">
        <v>7</v>
      </c>
      <c r="G70" s="33">
        <v>4288</v>
      </c>
      <c r="H70" s="33">
        <v>4330</v>
      </c>
      <c r="S70" s="2"/>
    </row>
    <row r="71" spans="1:19" ht="14.25" customHeight="1">
      <c r="A71" s="2" t="s">
        <v>350</v>
      </c>
      <c r="B71" s="33">
        <v>151</v>
      </c>
      <c r="C71" s="33">
        <v>1</v>
      </c>
      <c r="D71" s="33">
        <v>7</v>
      </c>
      <c r="E71" s="33">
        <v>159</v>
      </c>
      <c r="F71" s="33">
        <v>33</v>
      </c>
      <c r="G71" s="33">
        <v>893</v>
      </c>
      <c r="H71" s="33">
        <v>1085</v>
      </c>
      <c r="S71" s="2"/>
    </row>
    <row r="72" spans="1:19" ht="14.25" customHeight="1">
      <c r="A72" s="2" t="s">
        <v>284</v>
      </c>
      <c r="B72" s="33">
        <v>147</v>
      </c>
      <c r="C72" s="33">
        <v>5</v>
      </c>
      <c r="D72" s="33">
        <v>12</v>
      </c>
      <c r="E72" s="33">
        <v>164</v>
      </c>
      <c r="F72" s="33">
        <v>28</v>
      </c>
      <c r="G72" s="33">
        <v>13803</v>
      </c>
      <c r="H72" s="33">
        <v>13995</v>
      </c>
      <c r="S72" s="2"/>
    </row>
    <row r="73" spans="1:19" ht="14.25" customHeight="1">
      <c r="A73" s="2" t="s">
        <v>232</v>
      </c>
      <c r="B73" s="33">
        <v>174</v>
      </c>
      <c r="C73" s="33">
        <v>0</v>
      </c>
      <c r="D73" s="33">
        <v>0</v>
      </c>
      <c r="E73" s="33">
        <v>174</v>
      </c>
      <c r="F73" s="33">
        <v>0</v>
      </c>
      <c r="G73" s="33">
        <v>24242</v>
      </c>
      <c r="H73" s="33">
        <v>24416</v>
      </c>
      <c r="S73" s="2"/>
    </row>
    <row r="74" spans="1:19" ht="14.25" customHeight="1">
      <c r="A74" s="2" t="s">
        <v>233</v>
      </c>
      <c r="B74" s="33">
        <v>136</v>
      </c>
      <c r="C74" s="33">
        <v>1</v>
      </c>
      <c r="D74" s="33">
        <v>9</v>
      </c>
      <c r="E74" s="33">
        <v>146</v>
      </c>
      <c r="F74" s="33">
        <v>7</v>
      </c>
      <c r="G74" s="33">
        <v>1035</v>
      </c>
      <c r="H74" s="33">
        <v>1188</v>
      </c>
      <c r="S74" s="2"/>
    </row>
    <row r="75" spans="1:19" ht="14.25" customHeight="1">
      <c r="A75" s="2" t="s">
        <v>234</v>
      </c>
      <c r="B75" s="33">
        <v>16</v>
      </c>
      <c r="C75" s="33">
        <v>0</v>
      </c>
      <c r="D75" s="33">
        <v>4</v>
      </c>
      <c r="E75" s="33">
        <v>20</v>
      </c>
      <c r="F75" s="33">
        <v>0</v>
      </c>
      <c r="G75" s="33">
        <v>20493</v>
      </c>
      <c r="H75" s="33">
        <v>20513</v>
      </c>
      <c r="S75" s="2"/>
    </row>
    <row r="76" spans="1:19" ht="14.25" customHeight="1">
      <c r="A76" s="2" t="s">
        <v>236</v>
      </c>
      <c r="B76" s="33">
        <v>42</v>
      </c>
      <c r="C76" s="33">
        <v>0</v>
      </c>
      <c r="D76" s="33">
        <v>1</v>
      </c>
      <c r="E76" s="33">
        <v>43</v>
      </c>
      <c r="F76" s="33">
        <v>10</v>
      </c>
      <c r="G76" s="33">
        <v>100</v>
      </c>
      <c r="H76" s="33">
        <v>153</v>
      </c>
      <c r="S76" s="2"/>
    </row>
    <row r="77" spans="1:19" ht="14.25" customHeight="1">
      <c r="A77" s="2" t="s">
        <v>238</v>
      </c>
      <c r="B77" s="33">
        <v>34</v>
      </c>
      <c r="C77" s="33">
        <v>0</v>
      </c>
      <c r="D77" s="33">
        <v>1</v>
      </c>
      <c r="E77" s="33">
        <v>35</v>
      </c>
      <c r="F77" s="33">
        <v>5</v>
      </c>
      <c r="G77" s="33">
        <v>9605</v>
      </c>
      <c r="H77" s="33">
        <v>9645</v>
      </c>
      <c r="S77" s="2"/>
    </row>
    <row r="78" spans="1:19" ht="14.25" customHeight="1">
      <c r="A78" s="2" t="s">
        <v>239</v>
      </c>
      <c r="B78" s="33">
        <v>503</v>
      </c>
      <c r="C78" s="33">
        <v>1</v>
      </c>
      <c r="D78" s="33">
        <v>20</v>
      </c>
      <c r="E78" s="33">
        <v>524</v>
      </c>
      <c r="F78" s="33">
        <v>47</v>
      </c>
      <c r="G78" s="33">
        <v>5426</v>
      </c>
      <c r="H78" s="33">
        <v>5997</v>
      </c>
      <c r="S78" s="2"/>
    </row>
    <row r="79" spans="1:19" ht="14.25" customHeight="1">
      <c r="A79" s="2" t="s">
        <v>351</v>
      </c>
      <c r="B79" s="33">
        <v>361</v>
      </c>
      <c r="C79" s="33">
        <v>4</v>
      </c>
      <c r="D79" s="33">
        <v>19</v>
      </c>
      <c r="E79" s="33">
        <v>384</v>
      </c>
      <c r="F79" s="33">
        <v>48</v>
      </c>
      <c r="G79" s="33">
        <v>44407</v>
      </c>
      <c r="H79" s="33">
        <v>44839</v>
      </c>
      <c r="S79" s="2"/>
    </row>
    <row r="80" spans="1:19" ht="14.25" customHeight="1">
      <c r="A80" s="2" t="s">
        <v>244</v>
      </c>
      <c r="B80" s="33">
        <v>18</v>
      </c>
      <c r="C80" s="33">
        <v>1</v>
      </c>
      <c r="D80" s="33">
        <v>1</v>
      </c>
      <c r="E80" s="33">
        <v>20</v>
      </c>
      <c r="F80" s="33">
        <v>2</v>
      </c>
      <c r="G80" s="33">
        <v>9932</v>
      </c>
      <c r="H80" s="33">
        <v>9954</v>
      </c>
      <c r="S80" s="2"/>
    </row>
    <row r="81" spans="1:19" ht="14.25" customHeight="1">
      <c r="A81" s="2" t="s">
        <v>326</v>
      </c>
      <c r="B81" s="33">
        <v>0</v>
      </c>
      <c r="C81" s="33">
        <v>0</v>
      </c>
      <c r="D81" s="33">
        <v>0</v>
      </c>
      <c r="E81" s="33">
        <v>0</v>
      </c>
      <c r="F81" s="33">
        <v>0</v>
      </c>
      <c r="G81" s="33">
        <v>5887</v>
      </c>
      <c r="H81" s="33">
        <v>5887</v>
      </c>
      <c r="S81" s="2"/>
    </row>
    <row r="82" spans="1:19" ht="14.25" customHeight="1">
      <c r="A82" s="2" t="s">
        <v>247</v>
      </c>
      <c r="B82" s="33">
        <v>18</v>
      </c>
      <c r="C82" s="33">
        <v>0</v>
      </c>
      <c r="D82" s="33">
        <v>0</v>
      </c>
      <c r="E82" s="33">
        <v>18</v>
      </c>
      <c r="F82" s="33">
        <v>1</v>
      </c>
      <c r="G82" s="33">
        <v>15132</v>
      </c>
      <c r="H82" s="33">
        <v>15151</v>
      </c>
      <c r="S82" s="2"/>
    </row>
    <row r="83" spans="1:19" ht="14.25" customHeight="1">
      <c r="A83" s="2" t="s">
        <v>249</v>
      </c>
      <c r="B83" s="33">
        <v>46</v>
      </c>
      <c r="C83" s="33">
        <v>0</v>
      </c>
      <c r="D83" s="33">
        <v>2</v>
      </c>
      <c r="E83" s="33">
        <v>48</v>
      </c>
      <c r="F83" s="33">
        <v>9</v>
      </c>
      <c r="G83" s="33">
        <v>2248</v>
      </c>
      <c r="H83" s="33">
        <v>2305</v>
      </c>
      <c r="S83" s="2"/>
    </row>
    <row r="84" spans="1:19" ht="14.25" customHeight="1">
      <c r="A84" s="2" t="s">
        <v>254</v>
      </c>
      <c r="B84" s="33">
        <v>81</v>
      </c>
      <c r="C84" s="33">
        <v>3</v>
      </c>
      <c r="D84" s="33">
        <v>9</v>
      </c>
      <c r="E84" s="33">
        <v>93</v>
      </c>
      <c r="F84" s="33">
        <v>15</v>
      </c>
      <c r="G84" s="33">
        <v>10156</v>
      </c>
      <c r="H84" s="33">
        <v>10264</v>
      </c>
      <c r="S84" s="2"/>
    </row>
    <row r="85" spans="1:19" ht="14.25" customHeight="1">
      <c r="A85" s="2" t="s">
        <v>256</v>
      </c>
      <c r="B85" s="33">
        <v>34</v>
      </c>
      <c r="C85" s="33">
        <v>0</v>
      </c>
      <c r="D85" s="33">
        <v>0</v>
      </c>
      <c r="E85" s="33">
        <v>34</v>
      </c>
      <c r="F85" s="33">
        <v>1</v>
      </c>
      <c r="G85" s="33">
        <v>144</v>
      </c>
      <c r="H85" s="33">
        <v>179</v>
      </c>
      <c r="S85" s="2"/>
    </row>
    <row r="86" spans="1:19" ht="14.25" customHeight="1">
      <c r="A86" s="2" t="s">
        <v>327</v>
      </c>
      <c r="B86" s="33">
        <v>277</v>
      </c>
      <c r="C86" s="33">
        <v>0</v>
      </c>
      <c r="D86" s="33">
        <v>0</v>
      </c>
      <c r="E86" s="33">
        <v>277</v>
      </c>
      <c r="F86" s="33">
        <v>14</v>
      </c>
      <c r="G86" s="33">
        <v>144</v>
      </c>
      <c r="H86" s="33">
        <v>435</v>
      </c>
      <c r="S86" s="2"/>
    </row>
    <row r="87" spans="1:19" ht="14.25" customHeight="1">
      <c r="A87" s="2" t="s">
        <v>257</v>
      </c>
      <c r="B87" s="33">
        <v>185</v>
      </c>
      <c r="C87" s="33">
        <v>0</v>
      </c>
      <c r="D87" s="33">
        <v>10</v>
      </c>
      <c r="E87" s="33">
        <v>195</v>
      </c>
      <c r="F87" s="33">
        <v>5</v>
      </c>
      <c r="G87" s="33">
        <v>1692</v>
      </c>
      <c r="H87" s="33">
        <v>1892</v>
      </c>
      <c r="S87" s="2"/>
    </row>
    <row r="88" spans="1:19" ht="14.25" customHeight="1">
      <c r="A88" s="2" t="s">
        <v>258</v>
      </c>
      <c r="B88" s="33">
        <v>61</v>
      </c>
      <c r="C88" s="33">
        <v>0</v>
      </c>
      <c r="D88" s="33">
        <v>2</v>
      </c>
      <c r="E88" s="33">
        <v>63</v>
      </c>
      <c r="F88" s="33">
        <v>7</v>
      </c>
      <c r="G88" s="33">
        <v>10328</v>
      </c>
      <c r="H88" s="33">
        <v>10398</v>
      </c>
      <c r="S88" s="2"/>
    </row>
    <row r="89" spans="1:19" ht="14.25" customHeight="1">
      <c r="A89" s="2" t="s">
        <v>285</v>
      </c>
      <c r="B89" s="33">
        <v>37</v>
      </c>
      <c r="C89" s="33">
        <v>0</v>
      </c>
      <c r="D89" s="33">
        <v>4</v>
      </c>
      <c r="E89" s="33">
        <v>41</v>
      </c>
      <c r="F89" s="33">
        <v>6</v>
      </c>
      <c r="G89" s="33">
        <v>15127</v>
      </c>
      <c r="H89" s="33">
        <v>15174</v>
      </c>
      <c r="S89" s="2"/>
    </row>
    <row r="90" spans="1:19" ht="14.25" customHeight="1">
      <c r="A90" s="2" t="s">
        <v>260</v>
      </c>
      <c r="B90" s="33">
        <v>1140</v>
      </c>
      <c r="C90" s="33">
        <v>14</v>
      </c>
      <c r="D90" s="33">
        <v>23</v>
      </c>
      <c r="E90" s="33">
        <v>1177</v>
      </c>
      <c r="F90" s="33">
        <v>60</v>
      </c>
      <c r="G90" s="33">
        <v>55359</v>
      </c>
      <c r="H90" s="33">
        <v>56596</v>
      </c>
      <c r="S90" s="2"/>
    </row>
    <row r="91" spans="1:19" ht="14.25" customHeight="1">
      <c r="A91" s="2" t="s">
        <v>261</v>
      </c>
      <c r="B91" s="33">
        <v>169</v>
      </c>
      <c r="C91" s="33">
        <v>0</v>
      </c>
      <c r="D91" s="33">
        <v>12</v>
      </c>
      <c r="E91" s="33">
        <v>181</v>
      </c>
      <c r="F91" s="33">
        <v>19</v>
      </c>
      <c r="G91" s="33">
        <v>30199</v>
      </c>
      <c r="H91" s="33">
        <v>30399</v>
      </c>
      <c r="S91" s="2"/>
    </row>
    <row r="92" spans="1:19" ht="14.25" customHeight="1">
      <c r="A92" s="2" t="s">
        <v>286</v>
      </c>
      <c r="B92" s="33">
        <v>27</v>
      </c>
      <c r="C92" s="33">
        <v>0</v>
      </c>
      <c r="D92" s="33">
        <v>0</v>
      </c>
      <c r="E92" s="33">
        <v>27</v>
      </c>
      <c r="F92" s="33">
        <v>6</v>
      </c>
      <c r="G92" s="33">
        <v>15126</v>
      </c>
      <c r="H92" s="33">
        <v>15159</v>
      </c>
      <c r="S92" s="2"/>
    </row>
    <row r="93" spans="1:19" ht="14.25" customHeight="1">
      <c r="A93" s="2"/>
      <c r="B93" s="33"/>
      <c r="C93" s="33"/>
      <c r="D93" s="33"/>
      <c r="E93" s="33"/>
      <c r="F93" s="33"/>
      <c r="G93" s="33"/>
      <c r="H93" s="33"/>
      <c r="S93" s="2"/>
    </row>
    <row r="94" spans="1:19" ht="14.25" customHeight="1">
      <c r="A94" s="347" t="s">
        <v>105</v>
      </c>
      <c r="B94" s="73">
        <v>72</v>
      </c>
      <c r="C94" s="18">
        <v>0</v>
      </c>
      <c r="D94" s="73">
        <v>3</v>
      </c>
      <c r="E94" s="73">
        <v>74</v>
      </c>
      <c r="F94" s="73">
        <v>6</v>
      </c>
      <c r="G94" s="68">
        <v>6219</v>
      </c>
      <c r="H94" s="68">
        <v>6445</v>
      </c>
      <c r="S94" s="2"/>
    </row>
    <row r="95" spans="1:19" ht="14.25" customHeight="1">
      <c r="A95" s="7" t="s">
        <v>104</v>
      </c>
      <c r="B95" s="66">
        <v>154.67415730337078</v>
      </c>
      <c r="C95" s="66">
        <v>1.202247191011236</v>
      </c>
      <c r="D95" s="66">
        <v>6.0337078651685392</v>
      </c>
      <c r="E95" s="66">
        <v>161.91011235955057</v>
      </c>
      <c r="F95" s="66">
        <v>12.359550561797754</v>
      </c>
      <c r="G95" s="66">
        <v>12383.224719101123</v>
      </c>
      <c r="H95" s="66">
        <v>12557.494382022473</v>
      </c>
      <c r="S95" s="2"/>
    </row>
    <row r="96" spans="1:19" ht="14.25" customHeight="1">
      <c r="A96" s="7" t="s">
        <v>329</v>
      </c>
      <c r="B96" s="66">
        <v>13766</v>
      </c>
      <c r="C96" s="66">
        <v>107</v>
      </c>
      <c r="D96" s="66">
        <v>537</v>
      </c>
      <c r="E96" s="66">
        <v>14410</v>
      </c>
      <c r="F96" s="66">
        <v>1100</v>
      </c>
      <c r="G96" s="66">
        <v>1102107</v>
      </c>
      <c r="H96" s="66">
        <v>1117617</v>
      </c>
      <c r="S96" s="2"/>
    </row>
    <row r="97" spans="1:19" ht="14.25" customHeight="1">
      <c r="A97" s="7"/>
      <c r="B97" s="66"/>
      <c r="C97" s="66"/>
      <c r="D97" s="66"/>
      <c r="E97" s="66"/>
      <c r="F97" s="66"/>
      <c r="G97" s="66"/>
      <c r="H97" s="66"/>
      <c r="S97" s="2"/>
    </row>
    <row r="98" spans="1:19" ht="14.25" customHeight="1">
      <c r="A98" s="2" t="s">
        <v>420</v>
      </c>
      <c r="S98" s="2"/>
    </row>
    <row r="99" spans="1:19" ht="14.25" customHeight="1">
      <c r="A99" s="2" t="s">
        <v>412</v>
      </c>
      <c r="S99" s="2"/>
    </row>
    <row r="100" spans="1:19" ht="14.25" customHeight="1">
      <c r="A100" s="2"/>
      <c r="S100" s="2"/>
    </row>
  </sheetData>
  <sortState xmlns:xlrd2="http://schemas.microsoft.com/office/spreadsheetml/2017/richdata2" ref="A4:H50">
    <sortCondition ref="A4"/>
  </sortState>
  <phoneticPr fontId="51" type="noConversion"/>
  <conditionalFormatting sqref="B4:H50">
    <cfRule type="cellIs" dxfId="63" priority="2" operator="lessThan">
      <formula>0</formula>
    </cfRule>
    <cfRule type="cellIs" dxfId="62" priority="3" operator="lessThan">
      <formula>0</formula>
    </cfRule>
  </conditionalFormatting>
  <conditionalFormatting sqref="B4:H93 B95:H97">
    <cfRule type="cellIs" dxfId="61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5" orientation="portrait" r:id="rId1"/>
  <headerFooter alignWithMargins="0">
    <oddFooter>&amp;L&amp;9Public Library Statistics 2022–23&amp;C&amp;9&amp;P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1:AC100"/>
  <sheetViews>
    <sheetView zoomScaleNormal="100" workbookViewId="0">
      <pane ySplit="3" topLeftCell="A79" activePane="bottomLeft" state="frozen"/>
      <selection pane="bottomLeft"/>
      <selection activeCell="G34" sqref="G34"/>
    </sheetView>
  </sheetViews>
  <sheetFormatPr defaultColWidth="20.5703125" defaultRowHeight="14.25" customHeight="1"/>
  <cols>
    <col min="2" max="10" width="20.5703125" style="20"/>
    <col min="14" max="14" width="20.5703125" style="2"/>
    <col min="27" max="29" width="20.5703125" style="2"/>
  </cols>
  <sheetData>
    <row r="1" spans="1:10" ht="16.5" customHeight="1">
      <c r="A1" s="9" t="s">
        <v>421</v>
      </c>
    </row>
    <row r="2" spans="1:10" ht="14.25" customHeight="1">
      <c r="A2" s="9"/>
    </row>
    <row r="3" spans="1:10" ht="38.1" customHeight="1">
      <c r="B3" s="154" t="s">
        <v>422</v>
      </c>
      <c r="C3" s="105" t="s">
        <v>423</v>
      </c>
      <c r="D3" s="105" t="s">
        <v>424</v>
      </c>
      <c r="E3" s="105" t="s">
        <v>425</v>
      </c>
      <c r="F3" s="105" t="s">
        <v>426</v>
      </c>
      <c r="G3" s="105" t="s">
        <v>427</v>
      </c>
      <c r="H3" s="105" t="s">
        <v>428</v>
      </c>
      <c r="I3" s="105" t="s">
        <v>380</v>
      </c>
      <c r="J3" s="105" t="s">
        <v>429</v>
      </c>
    </row>
    <row r="4" spans="1:10" ht="14.25" customHeight="1">
      <c r="A4" s="202" t="s">
        <v>346</v>
      </c>
      <c r="B4" s="231">
        <v>60</v>
      </c>
      <c r="C4" s="231">
        <v>224</v>
      </c>
      <c r="D4" s="231">
        <v>4452</v>
      </c>
      <c r="E4" s="231">
        <v>0</v>
      </c>
      <c r="F4" s="231">
        <v>4279</v>
      </c>
      <c r="G4" s="231">
        <v>0</v>
      </c>
      <c r="H4" s="231">
        <v>1778</v>
      </c>
      <c r="I4" s="231">
        <v>63</v>
      </c>
      <c r="J4" s="231">
        <v>13972</v>
      </c>
    </row>
    <row r="5" spans="1:10" ht="14.25" customHeight="1">
      <c r="A5" s="202" t="s">
        <v>278</v>
      </c>
      <c r="B5" s="231">
        <v>279</v>
      </c>
      <c r="C5" s="231">
        <v>0</v>
      </c>
      <c r="D5" s="231">
        <v>3172</v>
      </c>
      <c r="E5" s="231">
        <v>0</v>
      </c>
      <c r="F5" s="231">
        <v>1002</v>
      </c>
      <c r="G5" s="231">
        <v>0</v>
      </c>
      <c r="H5" s="231">
        <v>1573</v>
      </c>
      <c r="I5" s="231">
        <v>0</v>
      </c>
      <c r="J5" s="231">
        <v>13106</v>
      </c>
    </row>
    <row r="6" spans="1:10" ht="14.25" customHeight="1">
      <c r="A6" s="202" t="s">
        <v>123</v>
      </c>
      <c r="B6" s="231">
        <v>465</v>
      </c>
      <c r="C6" s="231">
        <v>0</v>
      </c>
      <c r="D6" s="231">
        <v>156</v>
      </c>
      <c r="E6" s="231">
        <v>47</v>
      </c>
      <c r="F6" s="231">
        <v>33</v>
      </c>
      <c r="G6" s="231">
        <v>1</v>
      </c>
      <c r="H6" s="231">
        <v>336</v>
      </c>
      <c r="I6" s="231">
        <v>119</v>
      </c>
      <c r="J6" s="231">
        <v>1303</v>
      </c>
    </row>
    <row r="7" spans="1:10" ht="14.25" customHeight="1">
      <c r="A7" s="202" t="s">
        <v>124</v>
      </c>
      <c r="B7" s="231">
        <v>223</v>
      </c>
      <c r="C7" s="231">
        <v>414</v>
      </c>
      <c r="D7" s="231">
        <v>5657</v>
      </c>
      <c r="E7" s="231">
        <v>182</v>
      </c>
      <c r="F7" s="231">
        <v>1940</v>
      </c>
      <c r="G7" s="231">
        <v>0</v>
      </c>
      <c r="H7" s="231">
        <v>2990</v>
      </c>
      <c r="I7" s="231">
        <v>0</v>
      </c>
      <c r="J7" s="231">
        <v>2085</v>
      </c>
    </row>
    <row r="8" spans="1:10" ht="14.25" customHeight="1">
      <c r="A8" s="202" t="s">
        <v>126</v>
      </c>
      <c r="B8" s="231">
        <v>2003</v>
      </c>
      <c r="C8" s="231">
        <v>1440</v>
      </c>
      <c r="D8" s="231">
        <v>7089</v>
      </c>
      <c r="E8" s="231">
        <v>31</v>
      </c>
      <c r="F8" s="231">
        <v>11909</v>
      </c>
      <c r="G8" s="231">
        <v>0</v>
      </c>
      <c r="H8" s="231">
        <v>4828</v>
      </c>
      <c r="I8" s="231">
        <v>9990</v>
      </c>
      <c r="J8" s="231">
        <v>20454</v>
      </c>
    </row>
    <row r="9" spans="1:10" ht="14.25" customHeight="1">
      <c r="A9" s="202" t="s">
        <v>127</v>
      </c>
      <c r="B9" s="231">
        <v>223</v>
      </c>
      <c r="C9" s="231">
        <v>386</v>
      </c>
      <c r="D9" s="231">
        <v>1906</v>
      </c>
      <c r="E9" s="231">
        <v>0</v>
      </c>
      <c r="F9" s="231">
        <v>3374</v>
      </c>
      <c r="G9" s="231">
        <v>0</v>
      </c>
      <c r="H9" s="231">
        <v>1133</v>
      </c>
      <c r="I9" s="231">
        <v>0</v>
      </c>
      <c r="J9" s="231">
        <v>6247</v>
      </c>
    </row>
    <row r="10" spans="1:10" ht="14.25" customHeight="1">
      <c r="A10" s="202" t="s">
        <v>305</v>
      </c>
      <c r="B10" s="231">
        <v>26</v>
      </c>
      <c r="C10" s="231">
        <v>0</v>
      </c>
      <c r="D10" s="231">
        <v>2697</v>
      </c>
      <c r="E10" s="231">
        <v>0</v>
      </c>
      <c r="F10" s="231">
        <v>786</v>
      </c>
      <c r="G10" s="231">
        <v>0</v>
      </c>
      <c r="H10" s="231">
        <v>245</v>
      </c>
      <c r="I10" s="231">
        <v>0</v>
      </c>
      <c r="J10" s="231">
        <v>6322</v>
      </c>
    </row>
    <row r="11" spans="1:10" ht="14.25" customHeight="1">
      <c r="A11" s="202" t="s">
        <v>133</v>
      </c>
      <c r="B11" s="231">
        <v>3690</v>
      </c>
      <c r="C11" s="231">
        <v>1160</v>
      </c>
      <c r="D11" s="231">
        <v>10369</v>
      </c>
      <c r="E11" s="231">
        <v>1933</v>
      </c>
      <c r="F11" s="231">
        <v>9055</v>
      </c>
      <c r="G11" s="231">
        <v>0</v>
      </c>
      <c r="H11" s="231">
        <v>9186</v>
      </c>
      <c r="I11" s="231">
        <v>20282</v>
      </c>
      <c r="J11" s="231">
        <v>38621</v>
      </c>
    </row>
    <row r="12" spans="1:10" ht="14.25" customHeight="1">
      <c r="A12" s="202" t="s">
        <v>137</v>
      </c>
      <c r="B12" s="231">
        <v>1483</v>
      </c>
      <c r="C12" s="231">
        <v>74</v>
      </c>
      <c r="D12" s="231">
        <v>4943</v>
      </c>
      <c r="E12" s="231">
        <v>562</v>
      </c>
      <c r="F12" s="231">
        <v>3615</v>
      </c>
      <c r="G12" s="231">
        <v>0</v>
      </c>
      <c r="H12" s="231">
        <v>3679</v>
      </c>
      <c r="I12" s="231">
        <v>0</v>
      </c>
      <c r="J12" s="231">
        <v>40740</v>
      </c>
    </row>
    <row r="13" spans="1:10" ht="14.25" customHeight="1">
      <c r="A13" s="202" t="s">
        <v>139</v>
      </c>
      <c r="B13" s="231">
        <v>195</v>
      </c>
      <c r="C13" s="231">
        <v>0</v>
      </c>
      <c r="D13" s="231">
        <v>592</v>
      </c>
      <c r="E13" s="231">
        <v>43</v>
      </c>
      <c r="F13" s="231">
        <v>122</v>
      </c>
      <c r="G13" s="231">
        <v>0</v>
      </c>
      <c r="H13" s="231">
        <v>356</v>
      </c>
      <c r="I13" s="231">
        <v>0</v>
      </c>
      <c r="J13" s="231">
        <v>12370</v>
      </c>
    </row>
    <row r="14" spans="1:10" ht="14.25" customHeight="1">
      <c r="A14" s="202" t="s">
        <v>142</v>
      </c>
      <c r="B14" s="231">
        <v>180</v>
      </c>
      <c r="C14" s="231">
        <v>50</v>
      </c>
      <c r="D14" s="231">
        <v>3137</v>
      </c>
      <c r="E14" s="231">
        <v>0</v>
      </c>
      <c r="F14" s="231">
        <v>2749</v>
      </c>
      <c r="G14" s="231">
        <v>0</v>
      </c>
      <c r="H14" s="231">
        <v>635</v>
      </c>
      <c r="I14" s="231">
        <v>0</v>
      </c>
      <c r="J14" s="231">
        <v>83164</v>
      </c>
    </row>
    <row r="15" spans="1:10" ht="14.25" customHeight="1">
      <c r="A15" s="202" t="s">
        <v>144</v>
      </c>
      <c r="B15" s="231">
        <v>68</v>
      </c>
      <c r="C15" s="231">
        <v>496</v>
      </c>
      <c r="D15" s="231">
        <v>1729</v>
      </c>
      <c r="E15" s="231">
        <v>56</v>
      </c>
      <c r="F15" s="231">
        <v>8880</v>
      </c>
      <c r="G15" s="231">
        <v>0</v>
      </c>
      <c r="H15" s="231">
        <v>3011</v>
      </c>
      <c r="I15" s="231">
        <v>5584</v>
      </c>
      <c r="J15" s="231">
        <v>28498</v>
      </c>
    </row>
    <row r="16" spans="1:10" ht="14.25" customHeight="1">
      <c r="A16" s="202" t="s">
        <v>148</v>
      </c>
      <c r="B16" s="231">
        <v>451</v>
      </c>
      <c r="C16" s="231">
        <v>366</v>
      </c>
      <c r="D16" s="231">
        <v>3369</v>
      </c>
      <c r="E16" s="231">
        <v>1</v>
      </c>
      <c r="F16" s="231">
        <v>3230</v>
      </c>
      <c r="G16" s="231">
        <v>0</v>
      </c>
      <c r="H16" s="231">
        <v>4023</v>
      </c>
      <c r="I16" s="231">
        <v>0</v>
      </c>
      <c r="J16" s="231">
        <v>49273</v>
      </c>
    </row>
    <row r="17" spans="1:10" ht="14.25" customHeight="1">
      <c r="A17" s="202" t="s">
        <v>149</v>
      </c>
      <c r="B17" s="231">
        <v>498</v>
      </c>
      <c r="C17" s="231">
        <v>2425</v>
      </c>
      <c r="D17" s="231">
        <v>4917</v>
      </c>
      <c r="E17" s="231">
        <v>4885</v>
      </c>
      <c r="F17" s="231">
        <v>6968</v>
      </c>
      <c r="G17" s="231">
        <v>385</v>
      </c>
      <c r="H17" s="231">
        <v>3022</v>
      </c>
      <c r="I17" s="231">
        <v>6572</v>
      </c>
      <c r="J17" s="231">
        <v>11672</v>
      </c>
    </row>
    <row r="18" spans="1:10" s="91" customFormat="1" ht="14.25" customHeight="1">
      <c r="A18" s="202" t="s">
        <v>151</v>
      </c>
      <c r="B18" s="231">
        <v>424</v>
      </c>
      <c r="C18" s="231">
        <v>811</v>
      </c>
      <c r="D18" s="231">
        <v>4583</v>
      </c>
      <c r="E18" s="231">
        <v>0</v>
      </c>
      <c r="F18" s="231">
        <v>2739</v>
      </c>
      <c r="G18" s="231">
        <v>0</v>
      </c>
      <c r="H18" s="231">
        <v>8144</v>
      </c>
      <c r="I18" s="231">
        <v>8838</v>
      </c>
      <c r="J18" s="231">
        <v>20914</v>
      </c>
    </row>
    <row r="19" spans="1:10" ht="14.25" customHeight="1">
      <c r="A19" s="202" t="s">
        <v>152</v>
      </c>
      <c r="B19" s="231">
        <v>4341</v>
      </c>
      <c r="C19" s="231">
        <v>4109</v>
      </c>
      <c r="D19" s="231">
        <v>10133</v>
      </c>
      <c r="E19" s="231">
        <v>2082</v>
      </c>
      <c r="F19" s="231">
        <v>8751</v>
      </c>
      <c r="G19" s="231">
        <v>0</v>
      </c>
      <c r="H19" s="231">
        <v>17033</v>
      </c>
      <c r="I19" s="231">
        <v>21516</v>
      </c>
      <c r="J19" s="231">
        <v>50431</v>
      </c>
    </row>
    <row r="20" spans="1:10" ht="14.25" customHeight="1">
      <c r="A20" s="202" t="s">
        <v>154</v>
      </c>
      <c r="B20" s="231">
        <v>1014</v>
      </c>
      <c r="C20" s="231">
        <v>631</v>
      </c>
      <c r="D20" s="231">
        <v>16257</v>
      </c>
      <c r="E20" s="231">
        <v>1535</v>
      </c>
      <c r="F20" s="231">
        <v>8759</v>
      </c>
      <c r="G20" s="231">
        <v>0</v>
      </c>
      <c r="H20" s="231">
        <v>8766</v>
      </c>
      <c r="I20" s="231">
        <v>0</v>
      </c>
      <c r="J20" s="231">
        <v>34542</v>
      </c>
    </row>
    <row r="21" spans="1:10" ht="14.25" customHeight="1">
      <c r="A21" s="202" t="s">
        <v>347</v>
      </c>
      <c r="B21" s="231">
        <v>226</v>
      </c>
      <c r="C21" s="231">
        <v>423</v>
      </c>
      <c r="D21" s="231">
        <v>16845</v>
      </c>
      <c r="E21" s="231">
        <v>0</v>
      </c>
      <c r="F21" s="231">
        <v>2959</v>
      </c>
      <c r="G21" s="231">
        <v>1498</v>
      </c>
      <c r="H21" s="231">
        <v>953</v>
      </c>
      <c r="I21" s="231">
        <v>0</v>
      </c>
      <c r="J21" s="231">
        <v>17197</v>
      </c>
    </row>
    <row r="22" spans="1:10" ht="14.25" customHeight="1">
      <c r="A22" s="202" t="s">
        <v>312</v>
      </c>
      <c r="B22" s="231">
        <v>10874</v>
      </c>
      <c r="C22" s="231">
        <v>0</v>
      </c>
      <c r="D22" s="231">
        <v>9964</v>
      </c>
      <c r="E22" s="231">
        <v>1946</v>
      </c>
      <c r="F22" s="231">
        <v>8675</v>
      </c>
      <c r="G22" s="231">
        <v>0</v>
      </c>
      <c r="H22" s="231">
        <v>2777</v>
      </c>
      <c r="I22" s="231">
        <v>0</v>
      </c>
      <c r="J22" s="231">
        <v>33606</v>
      </c>
    </row>
    <row r="23" spans="1:10" ht="14.25" customHeight="1">
      <c r="A23" s="202" t="s">
        <v>155</v>
      </c>
      <c r="B23" s="231">
        <v>1110</v>
      </c>
      <c r="C23" s="231">
        <v>1019</v>
      </c>
      <c r="D23" s="231">
        <v>6154</v>
      </c>
      <c r="E23" s="231">
        <v>265</v>
      </c>
      <c r="F23" s="231">
        <v>1800</v>
      </c>
      <c r="G23" s="231">
        <v>0</v>
      </c>
      <c r="H23" s="231">
        <v>829</v>
      </c>
      <c r="I23" s="231">
        <v>0</v>
      </c>
      <c r="J23" s="231">
        <v>8330</v>
      </c>
    </row>
    <row r="24" spans="1:10" ht="14.25" customHeight="1">
      <c r="A24" s="202" t="s">
        <v>348</v>
      </c>
      <c r="B24" s="231">
        <v>6132</v>
      </c>
      <c r="C24" s="231">
        <v>2440</v>
      </c>
      <c r="D24" s="231">
        <v>11097</v>
      </c>
      <c r="E24" s="231">
        <v>825</v>
      </c>
      <c r="F24" s="231">
        <v>6260</v>
      </c>
      <c r="G24" s="231">
        <v>0</v>
      </c>
      <c r="H24" s="231">
        <v>1439</v>
      </c>
      <c r="I24" s="231">
        <v>0</v>
      </c>
      <c r="J24" s="231">
        <v>11385</v>
      </c>
    </row>
    <row r="25" spans="1:10" ht="14.25" customHeight="1">
      <c r="A25" s="202" t="s">
        <v>158</v>
      </c>
      <c r="B25" s="231">
        <v>63</v>
      </c>
      <c r="C25" s="231">
        <v>25</v>
      </c>
      <c r="D25" s="231">
        <v>1281</v>
      </c>
      <c r="E25" s="231">
        <v>20</v>
      </c>
      <c r="F25" s="231">
        <v>425</v>
      </c>
      <c r="G25" s="231">
        <v>0</v>
      </c>
      <c r="H25" s="231">
        <v>315</v>
      </c>
      <c r="I25" s="231">
        <v>0</v>
      </c>
      <c r="J25" s="231">
        <v>2531</v>
      </c>
    </row>
    <row r="26" spans="1:10" ht="14.25" customHeight="1">
      <c r="A26" s="202" t="s">
        <v>160</v>
      </c>
      <c r="B26" s="231">
        <v>199</v>
      </c>
      <c r="C26" s="231">
        <v>255</v>
      </c>
      <c r="D26" s="231">
        <v>7514</v>
      </c>
      <c r="E26" s="231">
        <v>0</v>
      </c>
      <c r="F26" s="231">
        <v>2393</v>
      </c>
      <c r="G26" s="231">
        <v>0</v>
      </c>
      <c r="H26" s="231">
        <v>2272</v>
      </c>
      <c r="I26" s="231">
        <v>593</v>
      </c>
      <c r="J26" s="231">
        <v>36922</v>
      </c>
    </row>
    <row r="27" spans="1:10" ht="14.25" customHeight="1">
      <c r="A27" s="202" t="s">
        <v>165</v>
      </c>
      <c r="B27" s="231">
        <v>2247</v>
      </c>
      <c r="C27" s="231">
        <v>4823</v>
      </c>
      <c r="D27" s="231">
        <v>11300</v>
      </c>
      <c r="E27" s="231">
        <v>1485</v>
      </c>
      <c r="F27" s="231">
        <v>7668</v>
      </c>
      <c r="G27" s="231">
        <v>0</v>
      </c>
      <c r="H27" s="231">
        <v>10146</v>
      </c>
      <c r="I27" s="231">
        <v>27199</v>
      </c>
      <c r="J27" s="231">
        <v>43665</v>
      </c>
    </row>
    <row r="28" spans="1:10" ht="14.25" customHeight="1">
      <c r="A28" s="202" t="s">
        <v>168</v>
      </c>
      <c r="B28" s="231">
        <v>247</v>
      </c>
      <c r="C28" s="231">
        <v>0</v>
      </c>
      <c r="D28" s="231">
        <v>1889</v>
      </c>
      <c r="E28" s="231">
        <v>20</v>
      </c>
      <c r="F28" s="231">
        <v>1070</v>
      </c>
      <c r="G28" s="231">
        <v>0</v>
      </c>
      <c r="H28" s="231">
        <v>283</v>
      </c>
      <c r="I28" s="231">
        <v>0</v>
      </c>
      <c r="J28" s="231">
        <v>2603</v>
      </c>
    </row>
    <row r="29" spans="1:10" ht="14.25" customHeight="1">
      <c r="A29" s="202" t="s">
        <v>169</v>
      </c>
      <c r="B29" s="231">
        <v>195</v>
      </c>
      <c r="C29" s="231">
        <v>0</v>
      </c>
      <c r="D29" s="231">
        <v>6242</v>
      </c>
      <c r="E29" s="231">
        <v>0</v>
      </c>
      <c r="F29" s="231">
        <v>1790</v>
      </c>
      <c r="G29" s="231">
        <v>0</v>
      </c>
      <c r="H29" s="231">
        <v>546</v>
      </c>
      <c r="I29" s="231">
        <v>0</v>
      </c>
      <c r="J29" s="231">
        <v>19589</v>
      </c>
    </row>
    <row r="30" spans="1:10" ht="14.25" customHeight="1">
      <c r="A30" s="202" t="s">
        <v>170</v>
      </c>
      <c r="B30" s="231">
        <v>137</v>
      </c>
      <c r="C30" s="231">
        <v>3535</v>
      </c>
      <c r="D30" s="231">
        <v>3101</v>
      </c>
      <c r="E30" s="231">
        <v>0</v>
      </c>
      <c r="F30" s="231">
        <v>12644</v>
      </c>
      <c r="G30" s="231">
        <v>0</v>
      </c>
      <c r="H30" s="231">
        <v>10770</v>
      </c>
      <c r="I30" s="231">
        <v>25473</v>
      </c>
      <c r="J30" s="231">
        <v>59490</v>
      </c>
    </row>
    <row r="31" spans="1:10" ht="14.25" customHeight="1">
      <c r="A31" s="202" t="s">
        <v>173</v>
      </c>
      <c r="B31" s="231">
        <v>846</v>
      </c>
      <c r="C31" s="231">
        <v>2052</v>
      </c>
      <c r="D31" s="231">
        <v>5156</v>
      </c>
      <c r="E31" s="231">
        <v>0</v>
      </c>
      <c r="F31" s="231">
        <v>20322</v>
      </c>
      <c r="G31" s="231">
        <v>0</v>
      </c>
      <c r="H31" s="231">
        <v>5903</v>
      </c>
      <c r="I31" s="231">
        <v>18137</v>
      </c>
      <c r="J31" s="231">
        <v>62809</v>
      </c>
    </row>
    <row r="32" spans="1:10" ht="14.25" customHeight="1">
      <c r="A32" s="202" t="s">
        <v>280</v>
      </c>
      <c r="B32" s="231">
        <v>350</v>
      </c>
      <c r="C32" s="231">
        <v>13</v>
      </c>
      <c r="D32" s="231">
        <v>2850</v>
      </c>
      <c r="E32" s="231">
        <v>0</v>
      </c>
      <c r="F32" s="231">
        <v>200</v>
      </c>
      <c r="G32" s="231">
        <v>0</v>
      </c>
      <c r="H32" s="231">
        <v>352</v>
      </c>
      <c r="I32" s="231">
        <v>13</v>
      </c>
      <c r="J32" s="231">
        <v>12631</v>
      </c>
    </row>
    <row r="33" spans="1:10" ht="14.25" customHeight="1">
      <c r="A33" s="202" t="s">
        <v>176</v>
      </c>
      <c r="B33" s="231">
        <v>163</v>
      </c>
      <c r="C33" s="231">
        <v>0</v>
      </c>
      <c r="D33" s="231">
        <v>4885</v>
      </c>
      <c r="E33" s="231">
        <v>0</v>
      </c>
      <c r="F33" s="231">
        <v>4369</v>
      </c>
      <c r="G33" s="231">
        <v>51</v>
      </c>
      <c r="H33" s="231">
        <v>993</v>
      </c>
      <c r="I33" s="231">
        <v>0</v>
      </c>
      <c r="J33" s="231">
        <v>3728</v>
      </c>
    </row>
    <row r="34" spans="1:10" ht="14.25" customHeight="1">
      <c r="A34" s="202" t="s">
        <v>316</v>
      </c>
      <c r="B34" s="231">
        <v>125</v>
      </c>
      <c r="C34" s="231">
        <v>0</v>
      </c>
      <c r="D34" s="231">
        <v>1059</v>
      </c>
      <c r="E34" s="231">
        <v>215</v>
      </c>
      <c r="F34" s="231">
        <v>440</v>
      </c>
      <c r="G34" s="231">
        <v>0</v>
      </c>
      <c r="H34" s="231">
        <v>0</v>
      </c>
      <c r="I34" s="231">
        <v>0</v>
      </c>
      <c r="J34" s="231">
        <v>2779</v>
      </c>
    </row>
    <row r="35" spans="1:10" ht="14.25" customHeight="1">
      <c r="A35" s="202" t="s">
        <v>179</v>
      </c>
      <c r="B35" s="231">
        <v>0</v>
      </c>
      <c r="C35" s="231">
        <v>0</v>
      </c>
      <c r="D35" s="231">
        <v>1332</v>
      </c>
      <c r="E35" s="231">
        <v>0</v>
      </c>
      <c r="F35" s="231">
        <v>373</v>
      </c>
      <c r="G35" s="231">
        <v>0</v>
      </c>
      <c r="H35" s="231">
        <v>186</v>
      </c>
      <c r="I35" s="231">
        <v>139</v>
      </c>
      <c r="J35" s="231">
        <v>13172</v>
      </c>
    </row>
    <row r="36" spans="1:10" ht="14.25" customHeight="1">
      <c r="A36" s="202" t="s">
        <v>182</v>
      </c>
      <c r="B36" s="231">
        <v>1268</v>
      </c>
      <c r="C36" s="231">
        <v>3665</v>
      </c>
      <c r="D36" s="231">
        <v>5599</v>
      </c>
      <c r="E36" s="231">
        <v>0</v>
      </c>
      <c r="F36" s="231">
        <v>15138</v>
      </c>
      <c r="G36" s="231">
        <v>1099</v>
      </c>
      <c r="H36" s="231">
        <v>1318</v>
      </c>
      <c r="I36" s="231">
        <v>0</v>
      </c>
      <c r="J36" s="231">
        <v>16938</v>
      </c>
    </row>
    <row r="37" spans="1:10" ht="14.25" customHeight="1">
      <c r="A37" s="202" t="s">
        <v>317</v>
      </c>
      <c r="B37" s="231">
        <v>1032</v>
      </c>
      <c r="C37" s="231">
        <v>612</v>
      </c>
      <c r="D37" s="231">
        <v>2587</v>
      </c>
      <c r="E37" s="231">
        <v>0</v>
      </c>
      <c r="F37" s="231">
        <v>7394</v>
      </c>
      <c r="G37" s="231">
        <v>0</v>
      </c>
      <c r="H37" s="231">
        <v>2110</v>
      </c>
      <c r="I37" s="231">
        <v>4851</v>
      </c>
      <c r="J37" s="231">
        <v>57855</v>
      </c>
    </row>
    <row r="38" spans="1:10" ht="14.25" customHeight="1">
      <c r="A38" s="202" t="s">
        <v>185</v>
      </c>
      <c r="B38" s="231">
        <v>292</v>
      </c>
      <c r="C38" s="231">
        <v>12</v>
      </c>
      <c r="D38" s="231">
        <v>3424</v>
      </c>
      <c r="E38" s="231">
        <v>0</v>
      </c>
      <c r="F38" s="231">
        <v>26</v>
      </c>
      <c r="G38" s="231">
        <v>0</v>
      </c>
      <c r="H38" s="231">
        <v>0</v>
      </c>
      <c r="I38" s="231">
        <v>0</v>
      </c>
      <c r="J38" s="231">
        <v>7839</v>
      </c>
    </row>
    <row r="39" spans="1:10" ht="14.25" customHeight="1">
      <c r="A39" s="202" t="s">
        <v>186</v>
      </c>
      <c r="B39" s="231">
        <v>8785</v>
      </c>
      <c r="C39" s="231">
        <v>1218</v>
      </c>
      <c r="D39" s="231">
        <v>4690</v>
      </c>
      <c r="E39" s="231">
        <v>519</v>
      </c>
      <c r="F39" s="231">
        <v>5171</v>
      </c>
      <c r="G39" s="231">
        <v>41</v>
      </c>
      <c r="H39" s="231">
        <v>3822</v>
      </c>
      <c r="I39" s="231">
        <v>5447</v>
      </c>
      <c r="J39" s="231">
        <v>54227</v>
      </c>
    </row>
    <row r="40" spans="1:10" ht="14.25" customHeight="1">
      <c r="A40" s="202" t="s">
        <v>282</v>
      </c>
      <c r="B40" s="231">
        <v>0</v>
      </c>
      <c r="C40" s="231">
        <v>1434</v>
      </c>
      <c r="D40" s="231">
        <v>5755</v>
      </c>
      <c r="E40" s="231">
        <v>0</v>
      </c>
      <c r="F40" s="231">
        <v>24490</v>
      </c>
      <c r="G40" s="231">
        <v>0</v>
      </c>
      <c r="H40" s="231">
        <v>10490</v>
      </c>
      <c r="I40" s="231">
        <v>15738</v>
      </c>
      <c r="J40" s="231">
        <v>33444</v>
      </c>
    </row>
    <row r="41" spans="1:10" ht="14.25" customHeight="1">
      <c r="A41" s="202" t="s">
        <v>190</v>
      </c>
      <c r="B41" s="231">
        <v>369</v>
      </c>
      <c r="C41" s="231">
        <v>2464</v>
      </c>
      <c r="D41" s="231">
        <v>3832</v>
      </c>
      <c r="E41" s="231">
        <v>0</v>
      </c>
      <c r="F41" s="231">
        <v>4815</v>
      </c>
      <c r="G41" s="231">
        <v>0</v>
      </c>
      <c r="H41" s="231">
        <v>1690</v>
      </c>
      <c r="I41" s="231">
        <v>0</v>
      </c>
      <c r="J41" s="231">
        <v>35772</v>
      </c>
    </row>
    <row r="42" spans="1:10" ht="14.25" customHeight="1">
      <c r="A42" s="202" t="s">
        <v>192</v>
      </c>
      <c r="B42" s="231">
        <v>240</v>
      </c>
      <c r="C42" s="231">
        <v>29</v>
      </c>
      <c r="D42" s="231">
        <v>4336</v>
      </c>
      <c r="E42" s="231">
        <v>193</v>
      </c>
      <c r="F42" s="231">
        <v>1052</v>
      </c>
      <c r="G42" s="231">
        <v>0</v>
      </c>
      <c r="H42" s="231">
        <v>935</v>
      </c>
      <c r="I42" s="231">
        <v>0</v>
      </c>
      <c r="J42" s="231">
        <v>17843</v>
      </c>
    </row>
    <row r="43" spans="1:10" ht="14.25" customHeight="1">
      <c r="A43" s="202" t="s">
        <v>193</v>
      </c>
      <c r="B43" s="231">
        <v>428</v>
      </c>
      <c r="C43" s="231">
        <v>156</v>
      </c>
      <c r="D43" s="231">
        <v>4230</v>
      </c>
      <c r="E43" s="231">
        <v>377</v>
      </c>
      <c r="F43" s="231">
        <v>1143</v>
      </c>
      <c r="G43" s="231">
        <v>76</v>
      </c>
      <c r="H43" s="231">
        <v>435</v>
      </c>
      <c r="I43" s="231">
        <v>0</v>
      </c>
      <c r="J43" s="231">
        <v>24115</v>
      </c>
    </row>
    <row r="44" spans="1:10" ht="14.25" customHeight="1">
      <c r="A44" s="202" t="s">
        <v>318</v>
      </c>
      <c r="B44" s="231">
        <v>4540</v>
      </c>
      <c r="C44" s="231">
        <v>470</v>
      </c>
      <c r="D44" s="231">
        <v>5337</v>
      </c>
      <c r="E44" s="231">
        <v>849</v>
      </c>
      <c r="F44" s="231">
        <v>20583</v>
      </c>
      <c r="G44" s="231">
        <v>1880</v>
      </c>
      <c r="H44" s="231">
        <v>6351</v>
      </c>
      <c r="I44" s="231">
        <v>2430</v>
      </c>
      <c r="J44" s="231">
        <v>46117</v>
      </c>
    </row>
    <row r="45" spans="1:10" ht="14.25" customHeight="1">
      <c r="A45" s="202" t="s">
        <v>196</v>
      </c>
      <c r="B45" s="231">
        <v>226</v>
      </c>
      <c r="C45" s="231">
        <v>1</v>
      </c>
      <c r="D45" s="231">
        <v>2391</v>
      </c>
      <c r="E45" s="231">
        <v>0</v>
      </c>
      <c r="F45" s="231">
        <v>607</v>
      </c>
      <c r="G45" s="231">
        <v>0</v>
      </c>
      <c r="H45" s="231">
        <v>137</v>
      </c>
      <c r="I45" s="231">
        <v>20</v>
      </c>
      <c r="J45" s="231">
        <v>4406</v>
      </c>
    </row>
    <row r="46" spans="1:10" ht="14.25" customHeight="1">
      <c r="A46" s="202" t="s">
        <v>198</v>
      </c>
      <c r="B46" s="231">
        <v>1297</v>
      </c>
      <c r="C46" s="231">
        <v>0</v>
      </c>
      <c r="D46" s="231">
        <v>10875</v>
      </c>
      <c r="E46" s="231">
        <v>1326</v>
      </c>
      <c r="F46" s="231">
        <v>4761</v>
      </c>
      <c r="G46" s="231">
        <v>13274</v>
      </c>
      <c r="H46" s="231">
        <v>2143</v>
      </c>
      <c r="I46" s="231">
        <v>0</v>
      </c>
      <c r="J46" s="231">
        <v>25412</v>
      </c>
    </row>
    <row r="47" spans="1:10" ht="14.25" customHeight="1">
      <c r="A47" s="202" t="s">
        <v>199</v>
      </c>
      <c r="B47" s="231">
        <v>256</v>
      </c>
      <c r="C47" s="231">
        <v>1208</v>
      </c>
      <c r="D47" s="231">
        <v>4450</v>
      </c>
      <c r="E47" s="231">
        <v>675</v>
      </c>
      <c r="F47" s="231">
        <v>13392</v>
      </c>
      <c r="G47" s="231">
        <v>0</v>
      </c>
      <c r="H47" s="231">
        <v>3546</v>
      </c>
      <c r="I47" s="231">
        <v>2555</v>
      </c>
      <c r="J47" s="231">
        <v>15102</v>
      </c>
    </row>
    <row r="48" spans="1:10" ht="14.25" customHeight="1">
      <c r="A48" s="202" t="s">
        <v>202</v>
      </c>
      <c r="B48" s="231">
        <v>1884</v>
      </c>
      <c r="C48" s="231">
        <v>591</v>
      </c>
      <c r="D48" s="231">
        <v>2648</v>
      </c>
      <c r="E48" s="231">
        <v>105</v>
      </c>
      <c r="F48" s="231">
        <v>2250</v>
      </c>
      <c r="G48" s="231">
        <v>0</v>
      </c>
      <c r="H48" s="231">
        <v>1045</v>
      </c>
      <c r="I48" s="231">
        <v>0</v>
      </c>
      <c r="J48" s="231">
        <v>7139</v>
      </c>
    </row>
    <row r="49" spans="1:10" ht="14.25" customHeight="1">
      <c r="A49" s="202" t="s">
        <v>203</v>
      </c>
      <c r="B49" s="231">
        <v>1949</v>
      </c>
      <c r="C49" s="231">
        <v>4059</v>
      </c>
      <c r="D49" s="231">
        <v>7280</v>
      </c>
      <c r="E49" s="231">
        <v>3648</v>
      </c>
      <c r="F49" s="231">
        <v>6468</v>
      </c>
      <c r="G49" s="231">
        <v>163</v>
      </c>
      <c r="H49" s="231">
        <v>12455</v>
      </c>
      <c r="I49" s="231">
        <v>19299</v>
      </c>
      <c r="J49" s="231">
        <v>52949</v>
      </c>
    </row>
    <row r="50" spans="1:10" ht="14.25" customHeight="1">
      <c r="A50" s="2" t="s">
        <v>319</v>
      </c>
      <c r="B50" s="231">
        <v>894</v>
      </c>
      <c r="C50" s="231">
        <v>21</v>
      </c>
      <c r="D50" s="231">
        <v>10978</v>
      </c>
      <c r="E50" s="231">
        <v>87</v>
      </c>
      <c r="F50" s="231">
        <v>3951</v>
      </c>
      <c r="G50" s="231">
        <v>0</v>
      </c>
      <c r="H50" s="231">
        <v>2295</v>
      </c>
      <c r="I50" s="231">
        <v>0</v>
      </c>
      <c r="J50" s="231">
        <v>19016</v>
      </c>
    </row>
    <row r="51" spans="1:10" ht="14.25" customHeight="1">
      <c r="A51" s="2" t="s">
        <v>206</v>
      </c>
      <c r="B51" s="33">
        <v>40</v>
      </c>
      <c r="C51" s="33">
        <v>235</v>
      </c>
      <c r="D51" s="33">
        <v>4538</v>
      </c>
      <c r="E51" s="33">
        <v>0</v>
      </c>
      <c r="F51" s="33">
        <v>8100</v>
      </c>
      <c r="G51" s="33">
        <v>0</v>
      </c>
      <c r="H51" s="33">
        <v>2311</v>
      </c>
      <c r="I51" s="33">
        <v>74</v>
      </c>
      <c r="J51" s="33">
        <v>26509</v>
      </c>
    </row>
    <row r="52" spans="1:10" ht="14.25" customHeight="1">
      <c r="A52" s="2" t="s">
        <v>207</v>
      </c>
      <c r="B52" s="33">
        <v>1506</v>
      </c>
      <c r="C52" s="33">
        <v>1250</v>
      </c>
      <c r="D52" s="33">
        <v>15182</v>
      </c>
      <c r="E52" s="33">
        <v>1659</v>
      </c>
      <c r="F52" s="33">
        <v>1575</v>
      </c>
      <c r="G52" s="33">
        <v>0</v>
      </c>
      <c r="H52" s="33">
        <v>2823</v>
      </c>
      <c r="I52" s="33">
        <v>0</v>
      </c>
      <c r="J52" s="33">
        <v>18248</v>
      </c>
    </row>
    <row r="53" spans="1:10" ht="14.25" customHeight="1">
      <c r="A53" s="2" t="s">
        <v>208</v>
      </c>
      <c r="B53" s="33">
        <v>14</v>
      </c>
      <c r="C53" s="33">
        <v>265</v>
      </c>
      <c r="D53" s="33">
        <v>5318</v>
      </c>
      <c r="E53" s="33">
        <v>1475</v>
      </c>
      <c r="F53" s="33">
        <v>2635</v>
      </c>
      <c r="G53" s="33">
        <v>0</v>
      </c>
      <c r="H53" s="33">
        <v>1312</v>
      </c>
      <c r="I53" s="33">
        <v>30</v>
      </c>
      <c r="J53" s="33">
        <v>5120</v>
      </c>
    </row>
    <row r="54" spans="1:10" ht="14.25" customHeight="1">
      <c r="A54" s="2" t="s">
        <v>210</v>
      </c>
      <c r="B54" s="33">
        <v>521</v>
      </c>
      <c r="C54" s="33">
        <v>243</v>
      </c>
      <c r="D54" s="33">
        <v>2244</v>
      </c>
      <c r="E54" s="33">
        <v>0</v>
      </c>
      <c r="F54" s="33">
        <v>4588</v>
      </c>
      <c r="G54" s="33">
        <v>0</v>
      </c>
      <c r="H54" s="33">
        <v>3017</v>
      </c>
      <c r="I54" s="33">
        <v>0</v>
      </c>
      <c r="J54" s="33">
        <v>14959</v>
      </c>
    </row>
    <row r="55" spans="1:10" ht="14.25" customHeight="1">
      <c r="A55" s="2" t="s">
        <v>349</v>
      </c>
      <c r="B55" s="33">
        <v>100</v>
      </c>
      <c r="C55" s="33">
        <v>0</v>
      </c>
      <c r="D55" s="33">
        <v>1737</v>
      </c>
      <c r="E55" s="33">
        <v>0</v>
      </c>
      <c r="F55" s="33">
        <v>14</v>
      </c>
      <c r="G55" s="33">
        <v>0</v>
      </c>
      <c r="H55" s="33">
        <v>223</v>
      </c>
      <c r="I55" s="33">
        <v>602</v>
      </c>
      <c r="J55" s="33">
        <v>5087</v>
      </c>
    </row>
    <row r="56" spans="1:10" ht="14.25" customHeight="1">
      <c r="A56" s="2" t="s">
        <v>213</v>
      </c>
      <c r="B56" s="33">
        <v>2601</v>
      </c>
      <c r="C56" s="33">
        <v>683</v>
      </c>
      <c r="D56" s="33">
        <v>2585</v>
      </c>
      <c r="E56" s="33">
        <v>0</v>
      </c>
      <c r="F56" s="33">
        <v>303</v>
      </c>
      <c r="G56" s="33">
        <v>0</v>
      </c>
      <c r="H56" s="33">
        <v>533</v>
      </c>
      <c r="I56" s="33">
        <v>0</v>
      </c>
      <c r="J56" s="33">
        <v>7667</v>
      </c>
    </row>
    <row r="57" spans="1:10" ht="14.25" customHeight="1">
      <c r="A57" s="2" t="s">
        <v>357</v>
      </c>
      <c r="B57" s="33">
        <v>331</v>
      </c>
      <c r="C57" s="33">
        <v>0</v>
      </c>
      <c r="D57" s="33">
        <v>3808</v>
      </c>
      <c r="E57" s="33">
        <v>75</v>
      </c>
      <c r="F57" s="33">
        <v>405</v>
      </c>
      <c r="G57" s="33">
        <v>0</v>
      </c>
      <c r="H57" s="33">
        <v>689</v>
      </c>
      <c r="I57" s="33">
        <v>0</v>
      </c>
      <c r="J57" s="33">
        <v>7587</v>
      </c>
    </row>
    <row r="58" spans="1:10" ht="14.25" customHeight="1">
      <c r="A58" s="2" t="s">
        <v>218</v>
      </c>
      <c r="B58" s="33">
        <v>80117</v>
      </c>
      <c r="C58" s="33">
        <v>483</v>
      </c>
      <c r="D58" s="33">
        <v>15111</v>
      </c>
      <c r="E58" s="33">
        <v>584</v>
      </c>
      <c r="F58" s="33">
        <v>61074</v>
      </c>
      <c r="G58" s="33">
        <v>0</v>
      </c>
      <c r="H58" s="33">
        <v>4380</v>
      </c>
      <c r="I58" s="33">
        <v>0</v>
      </c>
      <c r="J58" s="33">
        <v>196737</v>
      </c>
    </row>
    <row r="59" spans="1:10" ht="14.25" customHeight="1">
      <c r="A59" s="2" t="s">
        <v>219</v>
      </c>
      <c r="B59" s="33">
        <v>1310</v>
      </c>
      <c r="C59" s="33">
        <v>1517</v>
      </c>
      <c r="D59" s="33">
        <v>2516</v>
      </c>
      <c r="E59" s="33">
        <v>0</v>
      </c>
      <c r="F59" s="33">
        <v>9374</v>
      </c>
      <c r="G59" s="33">
        <v>0</v>
      </c>
      <c r="H59" s="33">
        <v>3116</v>
      </c>
      <c r="I59" s="33">
        <v>394</v>
      </c>
      <c r="J59" s="33">
        <v>54534</v>
      </c>
    </row>
    <row r="60" spans="1:10" ht="14.25" customHeight="1">
      <c r="A60" s="2" t="s">
        <v>320</v>
      </c>
      <c r="B60" s="33">
        <v>11</v>
      </c>
      <c r="C60" s="33">
        <v>0</v>
      </c>
      <c r="D60" s="33">
        <v>2715</v>
      </c>
      <c r="E60" s="33">
        <v>0</v>
      </c>
      <c r="F60" s="33">
        <v>822</v>
      </c>
      <c r="G60" s="33">
        <v>0</v>
      </c>
      <c r="H60" s="33">
        <v>639</v>
      </c>
      <c r="I60" s="33">
        <v>0</v>
      </c>
      <c r="J60" s="33">
        <v>73246</v>
      </c>
    </row>
    <row r="61" spans="1:10" ht="14.25" customHeight="1">
      <c r="A61" s="2" t="s">
        <v>220</v>
      </c>
      <c r="B61" s="33">
        <v>43699</v>
      </c>
      <c r="C61" s="33">
        <v>239</v>
      </c>
      <c r="D61" s="33">
        <v>3742</v>
      </c>
      <c r="E61" s="33">
        <v>1387</v>
      </c>
      <c r="F61" s="33">
        <v>42229</v>
      </c>
      <c r="G61" s="33">
        <v>135</v>
      </c>
      <c r="H61" s="33">
        <v>6556</v>
      </c>
      <c r="I61" s="33">
        <v>0</v>
      </c>
      <c r="J61" s="33">
        <v>34470</v>
      </c>
    </row>
    <row r="62" spans="1:10" ht="14.25" customHeight="1">
      <c r="A62" s="2" t="s">
        <v>283</v>
      </c>
      <c r="B62" s="33">
        <v>33</v>
      </c>
      <c r="C62" s="33">
        <v>0</v>
      </c>
      <c r="D62" s="33">
        <v>375</v>
      </c>
      <c r="E62" s="33">
        <v>0</v>
      </c>
      <c r="F62" s="33">
        <v>276</v>
      </c>
      <c r="G62" s="33">
        <v>0</v>
      </c>
      <c r="H62" s="33">
        <v>255</v>
      </c>
      <c r="I62" s="33">
        <v>0</v>
      </c>
      <c r="J62" s="33">
        <v>4694</v>
      </c>
    </row>
    <row r="63" spans="1:10" ht="14.25" customHeight="1">
      <c r="A63" s="2" t="s">
        <v>223</v>
      </c>
      <c r="B63" s="33">
        <v>126</v>
      </c>
      <c r="C63" s="33">
        <v>489</v>
      </c>
      <c r="D63" s="33">
        <v>3837</v>
      </c>
      <c r="E63" s="33">
        <v>255</v>
      </c>
      <c r="F63" s="33">
        <v>755</v>
      </c>
      <c r="G63" s="33">
        <v>0</v>
      </c>
      <c r="H63" s="33">
        <v>1059</v>
      </c>
      <c r="I63" s="33">
        <v>0</v>
      </c>
      <c r="J63" s="33">
        <v>2341</v>
      </c>
    </row>
    <row r="64" spans="1:10" ht="14.25" customHeight="1">
      <c r="A64" s="2" t="s">
        <v>224</v>
      </c>
      <c r="B64" s="33">
        <v>0</v>
      </c>
      <c r="C64" s="33">
        <v>2197</v>
      </c>
      <c r="D64" s="33">
        <v>3545</v>
      </c>
      <c r="E64" s="33">
        <v>305</v>
      </c>
      <c r="F64" s="33">
        <v>2839</v>
      </c>
      <c r="G64" s="33">
        <v>0</v>
      </c>
      <c r="H64" s="33">
        <v>14835</v>
      </c>
      <c r="I64" s="33">
        <v>22426</v>
      </c>
      <c r="J64" s="33">
        <v>39956</v>
      </c>
    </row>
    <row r="65" spans="1:10" ht="14.25" customHeight="1">
      <c r="A65" s="2" t="s">
        <v>225</v>
      </c>
      <c r="B65" s="33">
        <v>3077</v>
      </c>
      <c r="C65" s="33">
        <v>1853</v>
      </c>
      <c r="D65" s="33">
        <v>10028</v>
      </c>
      <c r="E65" s="33">
        <v>0</v>
      </c>
      <c r="F65" s="33">
        <v>37320</v>
      </c>
      <c r="G65" s="33">
        <v>0</v>
      </c>
      <c r="H65" s="33">
        <v>7779</v>
      </c>
      <c r="I65" s="33">
        <v>2040</v>
      </c>
      <c r="J65" s="33">
        <v>85824</v>
      </c>
    </row>
    <row r="66" spans="1:10" ht="14.25" customHeight="1">
      <c r="A66" s="2" t="s">
        <v>226</v>
      </c>
      <c r="B66" s="33">
        <v>171</v>
      </c>
      <c r="C66" s="33">
        <v>408</v>
      </c>
      <c r="D66" s="33">
        <v>15856</v>
      </c>
      <c r="E66" s="33">
        <v>2141</v>
      </c>
      <c r="F66" s="33">
        <v>3681</v>
      </c>
      <c r="G66" s="33">
        <v>995</v>
      </c>
      <c r="H66" s="33">
        <v>3315</v>
      </c>
      <c r="I66" s="33">
        <v>0</v>
      </c>
      <c r="J66" s="33">
        <v>12830</v>
      </c>
    </row>
    <row r="67" spans="1:10" ht="14.25" customHeight="1">
      <c r="A67" s="2" t="s">
        <v>228</v>
      </c>
      <c r="B67" s="33">
        <v>113</v>
      </c>
      <c r="C67" s="33">
        <v>30</v>
      </c>
      <c r="D67" s="33">
        <v>3069</v>
      </c>
      <c r="E67" s="33">
        <v>0</v>
      </c>
      <c r="F67" s="33">
        <v>2458</v>
      </c>
      <c r="G67" s="33">
        <v>0</v>
      </c>
      <c r="H67" s="33">
        <v>1873</v>
      </c>
      <c r="I67" s="33">
        <v>287</v>
      </c>
      <c r="J67" s="33">
        <v>3615</v>
      </c>
    </row>
    <row r="68" spans="1:10" ht="14.25" customHeight="1">
      <c r="A68" s="2" t="s">
        <v>229</v>
      </c>
      <c r="B68" s="33">
        <v>172</v>
      </c>
      <c r="C68" s="33">
        <v>2470</v>
      </c>
      <c r="D68" s="33">
        <v>4228</v>
      </c>
      <c r="E68" s="33">
        <v>627</v>
      </c>
      <c r="F68" s="33">
        <v>17296</v>
      </c>
      <c r="G68" s="33">
        <v>391</v>
      </c>
      <c r="H68" s="33">
        <v>2656</v>
      </c>
      <c r="I68" s="33">
        <v>11532</v>
      </c>
      <c r="J68" s="33">
        <v>31261</v>
      </c>
    </row>
    <row r="69" spans="1:10" ht="14.25" customHeight="1">
      <c r="A69" s="2" t="s">
        <v>322</v>
      </c>
      <c r="B69" s="33">
        <v>811</v>
      </c>
      <c r="C69" s="33">
        <v>307</v>
      </c>
      <c r="D69" s="33">
        <v>16138</v>
      </c>
      <c r="E69" s="33">
        <v>2189</v>
      </c>
      <c r="F69" s="33">
        <v>17755</v>
      </c>
      <c r="G69" s="33">
        <v>0</v>
      </c>
      <c r="H69" s="33">
        <v>9443</v>
      </c>
      <c r="I69" s="33">
        <v>0</v>
      </c>
      <c r="J69" s="33">
        <v>177172</v>
      </c>
    </row>
    <row r="70" spans="1:10" ht="14.25" customHeight="1">
      <c r="A70" s="2" t="s">
        <v>323</v>
      </c>
      <c r="B70" s="33">
        <v>194</v>
      </c>
      <c r="C70" s="33">
        <v>11</v>
      </c>
      <c r="D70" s="33">
        <v>2408</v>
      </c>
      <c r="E70" s="33">
        <v>0</v>
      </c>
      <c r="F70" s="33">
        <v>931</v>
      </c>
      <c r="G70" s="33">
        <v>0</v>
      </c>
      <c r="H70" s="33">
        <v>1107</v>
      </c>
      <c r="I70" s="33">
        <v>24</v>
      </c>
      <c r="J70" s="33">
        <v>4939</v>
      </c>
    </row>
    <row r="71" spans="1:10" ht="14.25" customHeight="1">
      <c r="A71" s="2" t="s">
        <v>350</v>
      </c>
      <c r="B71" s="33">
        <v>867</v>
      </c>
      <c r="C71" s="33">
        <v>397</v>
      </c>
      <c r="D71" s="33">
        <v>17686</v>
      </c>
      <c r="E71" s="33">
        <v>53</v>
      </c>
      <c r="F71" s="33">
        <v>5159</v>
      </c>
      <c r="G71" s="33">
        <v>0</v>
      </c>
      <c r="H71" s="33">
        <v>582</v>
      </c>
      <c r="I71" s="33">
        <v>0</v>
      </c>
      <c r="J71" s="33">
        <v>7805</v>
      </c>
    </row>
    <row r="72" spans="1:10" ht="14.25" customHeight="1">
      <c r="A72" s="2" t="s">
        <v>284</v>
      </c>
      <c r="B72" s="33">
        <v>2648</v>
      </c>
      <c r="C72" s="33">
        <v>1407</v>
      </c>
      <c r="D72" s="33">
        <v>4723</v>
      </c>
      <c r="E72" s="33">
        <v>1145</v>
      </c>
      <c r="F72" s="33">
        <v>9272</v>
      </c>
      <c r="G72" s="33">
        <v>1366</v>
      </c>
      <c r="H72" s="33">
        <v>6728</v>
      </c>
      <c r="I72" s="33">
        <v>15808</v>
      </c>
      <c r="J72" s="33">
        <v>58553</v>
      </c>
    </row>
    <row r="73" spans="1:10" ht="14.25" customHeight="1">
      <c r="A73" s="2" t="s">
        <v>232</v>
      </c>
      <c r="B73" s="33">
        <v>0</v>
      </c>
      <c r="C73" s="33">
        <v>0</v>
      </c>
      <c r="D73" s="33">
        <v>5301</v>
      </c>
      <c r="E73" s="33">
        <v>302</v>
      </c>
      <c r="F73" s="33">
        <v>1252</v>
      </c>
      <c r="G73" s="33">
        <v>0</v>
      </c>
      <c r="H73" s="33">
        <v>3573</v>
      </c>
      <c r="I73" s="33">
        <v>0</v>
      </c>
      <c r="J73" s="33">
        <v>27827</v>
      </c>
    </row>
    <row r="74" spans="1:10" ht="14.25" customHeight="1">
      <c r="A74" s="2" t="s">
        <v>233</v>
      </c>
      <c r="B74" s="33">
        <v>489</v>
      </c>
      <c r="C74" s="33">
        <v>0</v>
      </c>
      <c r="D74" s="33">
        <v>9751</v>
      </c>
      <c r="E74" s="33">
        <v>0</v>
      </c>
      <c r="F74" s="33">
        <v>4206</v>
      </c>
      <c r="G74" s="33">
        <v>1376</v>
      </c>
      <c r="H74" s="33">
        <v>2855</v>
      </c>
      <c r="I74" s="33">
        <v>0</v>
      </c>
      <c r="J74" s="33">
        <v>3802</v>
      </c>
    </row>
    <row r="75" spans="1:10" ht="14.25" customHeight="1">
      <c r="A75" s="2" t="s">
        <v>234</v>
      </c>
      <c r="B75" s="33">
        <v>38</v>
      </c>
      <c r="C75" s="33">
        <v>0</v>
      </c>
      <c r="D75" s="33">
        <v>1893</v>
      </c>
      <c r="E75" s="33">
        <v>211</v>
      </c>
      <c r="F75" s="33">
        <v>4164</v>
      </c>
      <c r="G75" s="33">
        <v>832</v>
      </c>
      <c r="H75" s="33">
        <v>1505</v>
      </c>
      <c r="I75" s="33">
        <v>0</v>
      </c>
      <c r="J75" s="33">
        <v>21747</v>
      </c>
    </row>
    <row r="76" spans="1:10" ht="14.25" customHeight="1">
      <c r="A76" s="2" t="s">
        <v>236</v>
      </c>
      <c r="B76" s="33">
        <v>108</v>
      </c>
      <c r="C76" s="33">
        <v>36</v>
      </c>
      <c r="D76" s="33">
        <v>2244</v>
      </c>
      <c r="E76" s="33">
        <v>389</v>
      </c>
      <c r="F76" s="33">
        <v>2127</v>
      </c>
      <c r="G76" s="33">
        <v>0</v>
      </c>
      <c r="H76" s="33">
        <v>1543</v>
      </c>
      <c r="I76" s="33">
        <v>20</v>
      </c>
      <c r="J76" s="33">
        <v>12431</v>
      </c>
    </row>
    <row r="77" spans="1:10" ht="14.25" customHeight="1">
      <c r="A77" s="2" t="s">
        <v>238</v>
      </c>
      <c r="B77" s="33">
        <v>180</v>
      </c>
      <c r="C77" s="33">
        <v>542</v>
      </c>
      <c r="D77" s="33">
        <v>3332</v>
      </c>
      <c r="E77" s="33">
        <v>0</v>
      </c>
      <c r="F77" s="33">
        <v>2271</v>
      </c>
      <c r="G77" s="33">
        <v>0</v>
      </c>
      <c r="H77" s="33">
        <v>2547</v>
      </c>
      <c r="I77" s="33">
        <v>5269</v>
      </c>
      <c r="J77" s="33">
        <v>12620</v>
      </c>
    </row>
    <row r="78" spans="1:10" ht="14.25" customHeight="1">
      <c r="A78" s="2" t="s">
        <v>239</v>
      </c>
      <c r="B78" s="33">
        <v>1646</v>
      </c>
      <c r="C78" s="33">
        <v>394</v>
      </c>
      <c r="D78" s="33">
        <v>13102</v>
      </c>
      <c r="E78" s="33">
        <v>697</v>
      </c>
      <c r="F78" s="33">
        <v>8241</v>
      </c>
      <c r="G78" s="33">
        <v>9809</v>
      </c>
      <c r="H78" s="33">
        <v>6086</v>
      </c>
      <c r="I78" s="33">
        <v>3980</v>
      </c>
      <c r="J78" s="33">
        <v>46278</v>
      </c>
    </row>
    <row r="79" spans="1:10" ht="14.25" customHeight="1">
      <c r="A79" s="2" t="s">
        <v>351</v>
      </c>
      <c r="B79" s="33">
        <v>1953</v>
      </c>
      <c r="C79" s="33">
        <v>3945</v>
      </c>
      <c r="D79" s="33">
        <v>4398</v>
      </c>
      <c r="E79" s="33">
        <v>0</v>
      </c>
      <c r="F79" s="33">
        <v>2186</v>
      </c>
      <c r="G79" s="33">
        <v>0</v>
      </c>
      <c r="H79" s="33">
        <v>13131</v>
      </c>
      <c r="I79" s="33">
        <v>31344</v>
      </c>
      <c r="J79" s="33">
        <v>73414</v>
      </c>
    </row>
    <row r="80" spans="1:10" ht="14.25" customHeight="1">
      <c r="A80" s="2" t="s">
        <v>244</v>
      </c>
      <c r="B80" s="33">
        <v>247</v>
      </c>
      <c r="C80" s="33">
        <v>0</v>
      </c>
      <c r="D80" s="33">
        <v>1082</v>
      </c>
      <c r="E80" s="33">
        <v>79</v>
      </c>
      <c r="F80" s="33">
        <v>90</v>
      </c>
      <c r="G80" s="33">
        <v>0</v>
      </c>
      <c r="H80" s="33">
        <v>318</v>
      </c>
      <c r="I80" s="33">
        <v>0</v>
      </c>
      <c r="J80" s="33">
        <v>21702</v>
      </c>
    </row>
    <row r="81" spans="1:10" ht="14.25" customHeight="1">
      <c r="A81" s="2" t="s">
        <v>326</v>
      </c>
      <c r="B81" s="33">
        <v>958</v>
      </c>
      <c r="C81" s="33">
        <v>655</v>
      </c>
      <c r="D81" s="33">
        <v>2442</v>
      </c>
      <c r="E81" s="33">
        <v>4</v>
      </c>
      <c r="F81" s="33">
        <v>116</v>
      </c>
      <c r="G81" s="33">
        <v>0</v>
      </c>
      <c r="H81" s="33">
        <v>279</v>
      </c>
      <c r="I81" s="33">
        <v>12</v>
      </c>
      <c r="J81" s="33">
        <v>8717</v>
      </c>
    </row>
    <row r="82" spans="1:10" ht="14.25" customHeight="1">
      <c r="A82" s="2" t="s">
        <v>247</v>
      </c>
      <c r="B82" s="33">
        <v>118</v>
      </c>
      <c r="C82" s="33">
        <v>0</v>
      </c>
      <c r="D82" s="33">
        <v>1917</v>
      </c>
      <c r="E82" s="33">
        <v>0</v>
      </c>
      <c r="F82" s="33">
        <v>173</v>
      </c>
      <c r="G82" s="33">
        <v>0</v>
      </c>
      <c r="H82" s="33">
        <v>292</v>
      </c>
      <c r="I82" s="33">
        <v>0</v>
      </c>
      <c r="J82" s="33">
        <v>17858</v>
      </c>
    </row>
    <row r="83" spans="1:10" ht="14.25" customHeight="1">
      <c r="A83" s="2" t="s">
        <v>249</v>
      </c>
      <c r="B83" s="33">
        <v>179</v>
      </c>
      <c r="C83" s="33">
        <v>793</v>
      </c>
      <c r="D83" s="33">
        <v>4964</v>
      </c>
      <c r="E83" s="33">
        <v>475</v>
      </c>
      <c r="F83" s="33">
        <v>8018</v>
      </c>
      <c r="G83" s="33">
        <v>5</v>
      </c>
      <c r="H83" s="33">
        <v>3445</v>
      </c>
      <c r="I83" s="33">
        <v>651</v>
      </c>
      <c r="J83" s="33">
        <v>6549</v>
      </c>
    </row>
    <row r="84" spans="1:10" ht="14.25" customHeight="1">
      <c r="A84" s="2" t="s">
        <v>254</v>
      </c>
      <c r="B84" s="33">
        <v>116</v>
      </c>
      <c r="C84" s="33">
        <v>32</v>
      </c>
      <c r="D84" s="33">
        <v>3778</v>
      </c>
      <c r="E84" s="33">
        <v>79</v>
      </c>
      <c r="F84" s="33">
        <v>5582</v>
      </c>
      <c r="G84" s="33">
        <v>0</v>
      </c>
      <c r="H84" s="33">
        <v>2890</v>
      </c>
      <c r="I84" s="33">
        <v>5209</v>
      </c>
      <c r="J84" s="33">
        <v>21269</v>
      </c>
    </row>
    <row r="85" spans="1:10" ht="14.25" customHeight="1">
      <c r="A85" s="2" t="s">
        <v>256</v>
      </c>
      <c r="B85" s="33">
        <v>425</v>
      </c>
      <c r="C85" s="33">
        <v>0</v>
      </c>
      <c r="D85" s="33">
        <v>1389</v>
      </c>
      <c r="E85" s="33">
        <v>118</v>
      </c>
      <c r="F85" s="33">
        <v>115</v>
      </c>
      <c r="G85" s="33">
        <v>0</v>
      </c>
      <c r="H85" s="33">
        <v>0</v>
      </c>
      <c r="I85" s="33">
        <v>0</v>
      </c>
      <c r="J85" s="33">
        <v>2746</v>
      </c>
    </row>
    <row r="86" spans="1:10" ht="14.25" customHeight="1">
      <c r="A86" s="2" t="s">
        <v>327</v>
      </c>
      <c r="B86" s="33">
        <v>313</v>
      </c>
      <c r="C86" s="33">
        <v>0</v>
      </c>
      <c r="D86" s="33">
        <v>11274</v>
      </c>
      <c r="E86" s="33">
        <v>0</v>
      </c>
      <c r="F86" s="33">
        <v>2941</v>
      </c>
      <c r="G86" s="33">
        <v>0</v>
      </c>
      <c r="H86" s="33">
        <v>332</v>
      </c>
      <c r="I86" s="33">
        <v>629</v>
      </c>
      <c r="J86" s="33">
        <v>3203</v>
      </c>
    </row>
    <row r="87" spans="1:10" ht="14.25" customHeight="1">
      <c r="A87" s="2" t="s">
        <v>257</v>
      </c>
      <c r="B87" s="33">
        <v>757</v>
      </c>
      <c r="C87" s="33">
        <v>1640</v>
      </c>
      <c r="D87" s="33">
        <v>3670</v>
      </c>
      <c r="E87" s="33">
        <v>0</v>
      </c>
      <c r="F87" s="33">
        <v>6139</v>
      </c>
      <c r="G87" s="33">
        <v>0</v>
      </c>
      <c r="H87" s="33">
        <v>7221</v>
      </c>
      <c r="I87" s="33">
        <v>29408</v>
      </c>
      <c r="J87" s="33">
        <v>11989</v>
      </c>
    </row>
    <row r="88" spans="1:10" ht="14.25" customHeight="1">
      <c r="A88" s="2" t="s">
        <v>258</v>
      </c>
      <c r="B88" s="33">
        <v>206</v>
      </c>
      <c r="C88" s="33">
        <v>0</v>
      </c>
      <c r="D88" s="33">
        <v>5151</v>
      </c>
      <c r="E88" s="33">
        <v>34</v>
      </c>
      <c r="F88" s="33">
        <v>2732</v>
      </c>
      <c r="G88" s="33">
        <v>0</v>
      </c>
      <c r="H88" s="33">
        <v>1483</v>
      </c>
      <c r="I88" s="33">
        <v>0</v>
      </c>
      <c r="J88" s="33">
        <v>13777</v>
      </c>
    </row>
    <row r="89" spans="1:10" ht="14.25" customHeight="1">
      <c r="A89" s="2" t="s">
        <v>285</v>
      </c>
      <c r="B89" s="33">
        <v>141</v>
      </c>
      <c r="C89" s="33">
        <v>70</v>
      </c>
      <c r="D89" s="33">
        <v>1481</v>
      </c>
      <c r="E89" s="33">
        <v>0</v>
      </c>
      <c r="F89" s="33">
        <v>737</v>
      </c>
      <c r="G89" s="33">
        <v>0</v>
      </c>
      <c r="H89" s="33">
        <v>1260</v>
      </c>
      <c r="I89" s="33">
        <v>0</v>
      </c>
      <c r="J89" s="33">
        <v>18101</v>
      </c>
    </row>
    <row r="90" spans="1:10" ht="14.25" customHeight="1">
      <c r="A90" s="2" t="s">
        <v>260</v>
      </c>
      <c r="B90" s="33">
        <v>5104</v>
      </c>
      <c r="C90" s="33">
        <v>1140</v>
      </c>
      <c r="D90" s="33">
        <v>15642</v>
      </c>
      <c r="E90" s="33">
        <v>385</v>
      </c>
      <c r="F90" s="33">
        <v>17002</v>
      </c>
      <c r="G90" s="33">
        <v>430</v>
      </c>
      <c r="H90" s="33">
        <v>13750</v>
      </c>
      <c r="I90" s="33">
        <v>3462</v>
      </c>
      <c r="J90" s="33">
        <v>132865</v>
      </c>
    </row>
    <row r="91" spans="1:10" ht="14.25" customHeight="1">
      <c r="A91" s="2" t="s">
        <v>261</v>
      </c>
      <c r="B91" s="33">
        <v>564</v>
      </c>
      <c r="C91" s="33">
        <v>0</v>
      </c>
      <c r="D91" s="33">
        <v>1529</v>
      </c>
      <c r="E91" s="33">
        <v>0</v>
      </c>
      <c r="F91" s="33">
        <v>3504</v>
      </c>
      <c r="G91" s="33">
        <v>0</v>
      </c>
      <c r="H91" s="33">
        <v>2152</v>
      </c>
      <c r="I91" s="33">
        <v>0</v>
      </c>
      <c r="J91" s="33">
        <v>85176</v>
      </c>
    </row>
    <row r="92" spans="1:10" ht="14.25" customHeight="1">
      <c r="A92" s="2" t="s">
        <v>286</v>
      </c>
      <c r="B92" s="33">
        <v>203</v>
      </c>
      <c r="C92" s="33">
        <v>195</v>
      </c>
      <c r="D92" s="33">
        <v>2542</v>
      </c>
      <c r="E92" s="33">
        <v>0</v>
      </c>
      <c r="F92" s="33">
        <v>147</v>
      </c>
      <c r="G92" s="33">
        <v>0</v>
      </c>
      <c r="H92" s="33">
        <v>634</v>
      </c>
      <c r="I92" s="33">
        <v>0</v>
      </c>
      <c r="J92" s="33">
        <v>19026</v>
      </c>
    </row>
    <row r="93" spans="1:10" ht="14.25" customHeight="1">
      <c r="A93" s="2"/>
      <c r="B93" s="33"/>
      <c r="C93" s="33"/>
      <c r="D93" s="33"/>
      <c r="E93" s="33"/>
      <c r="F93" s="33"/>
      <c r="G93" s="33"/>
      <c r="H93" s="33"/>
      <c r="I93" s="33"/>
      <c r="J93" s="33"/>
    </row>
    <row r="94" spans="1:10" ht="14.25" customHeight="1">
      <c r="A94" s="7" t="s">
        <v>105</v>
      </c>
      <c r="B94" s="68">
        <v>313</v>
      </c>
      <c r="C94" s="68">
        <v>265</v>
      </c>
      <c r="D94" s="68">
        <v>4230</v>
      </c>
      <c r="E94" s="68">
        <v>34</v>
      </c>
      <c r="F94" s="68">
        <v>3230</v>
      </c>
      <c r="G94" s="22">
        <v>0</v>
      </c>
      <c r="H94" s="68">
        <v>2110</v>
      </c>
      <c r="I94" s="22">
        <v>0</v>
      </c>
      <c r="J94" s="68">
        <v>18101</v>
      </c>
    </row>
    <row r="95" spans="1:10" ht="14.25" customHeight="1">
      <c r="A95" s="7" t="s">
        <v>104</v>
      </c>
      <c r="B95" s="66">
        <v>2406.7865168539324</v>
      </c>
      <c r="C95" s="66">
        <v>753.22471910112358</v>
      </c>
      <c r="D95" s="66">
        <v>5533.8202247191011</v>
      </c>
      <c r="E95" s="66">
        <v>433.4831460674157</v>
      </c>
      <c r="F95" s="66">
        <v>6308.1348314606739</v>
      </c>
      <c r="G95" s="66">
        <v>379.85393258426967</v>
      </c>
      <c r="H95" s="66">
        <v>3346.0786516853932</v>
      </c>
      <c r="I95" s="66">
        <v>3686.0561797752807</v>
      </c>
      <c r="J95" s="66">
        <v>29399.73033707865</v>
      </c>
    </row>
    <row r="96" spans="1:10" ht="14.25" customHeight="1">
      <c r="A96" s="7" t="s">
        <v>329</v>
      </c>
      <c r="B96" s="66">
        <v>214204</v>
      </c>
      <c r="C96" s="66">
        <v>67037</v>
      </c>
      <c r="D96" s="66">
        <v>492510</v>
      </c>
      <c r="E96" s="66">
        <v>38580</v>
      </c>
      <c r="F96" s="66">
        <v>561424</v>
      </c>
      <c r="G96" s="66">
        <v>33807</v>
      </c>
      <c r="H96" s="66">
        <v>297801</v>
      </c>
      <c r="I96" s="66">
        <v>328059</v>
      </c>
      <c r="J96" s="66">
        <v>2616576</v>
      </c>
    </row>
    <row r="97" spans="1:10" ht="14.25" customHeight="1">
      <c r="A97" s="7"/>
      <c r="B97" s="66"/>
      <c r="C97" s="66"/>
      <c r="D97" s="66"/>
      <c r="E97" s="66"/>
      <c r="F97" s="66"/>
      <c r="G97" s="66"/>
      <c r="H97" s="66"/>
      <c r="I97" s="66"/>
      <c r="J97" s="66"/>
    </row>
    <row r="98" spans="1:10" ht="14.25" customHeight="1">
      <c r="A98" s="2" t="s">
        <v>430</v>
      </c>
    </row>
    <row r="99" spans="1:10" ht="14.25" customHeight="1">
      <c r="A99" s="2"/>
    </row>
    <row r="100" spans="1:10" ht="14.25" customHeight="1">
      <c r="A100" s="2"/>
    </row>
  </sheetData>
  <sortState xmlns:xlrd2="http://schemas.microsoft.com/office/spreadsheetml/2017/richdata2" ref="A4:J50">
    <sortCondition ref="A4"/>
  </sortState>
  <phoneticPr fontId="51" type="noConversion"/>
  <conditionalFormatting sqref="B4:J50">
    <cfRule type="cellIs" dxfId="60" priority="2" operator="lessThan">
      <formula>0</formula>
    </cfRule>
    <cfRule type="cellIs" dxfId="59" priority="3" operator="lessThan">
      <formula>0</formula>
    </cfRule>
  </conditionalFormatting>
  <conditionalFormatting sqref="B4:J93 B95:J97">
    <cfRule type="cellIs" dxfId="58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5" orientation="portrait" r:id="rId1"/>
  <headerFooter alignWithMargins="0">
    <oddFooter>&amp;L&amp;9Public Library Statistics 2022–23&amp;C&amp;9&amp;P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1:E97"/>
  <sheetViews>
    <sheetView zoomScaleNormal="100" workbookViewId="0">
      <pane ySplit="3" topLeftCell="A66" activePane="bottomLeft" state="frozen"/>
      <selection pane="bottomLeft" activeCell="E99" sqref="E99"/>
      <selection activeCell="G34" sqref="G34"/>
    </sheetView>
  </sheetViews>
  <sheetFormatPr defaultColWidth="20.140625" defaultRowHeight="14.25" customHeight="1"/>
  <cols>
    <col min="2" max="5" width="20.140625" style="20"/>
  </cols>
  <sheetData>
    <row r="1" spans="1:5" ht="16.5" customHeight="1">
      <c r="A1" s="9" t="s">
        <v>431</v>
      </c>
    </row>
    <row r="2" spans="1:5" ht="15">
      <c r="A2" s="9"/>
    </row>
    <row r="3" spans="1:5" s="38" customFormat="1" ht="26.45" customHeight="1">
      <c r="A3" s="31"/>
      <c r="B3" s="129" t="s">
        <v>432</v>
      </c>
      <c r="C3" s="129" t="s">
        <v>433</v>
      </c>
      <c r="D3" s="105" t="s">
        <v>434</v>
      </c>
      <c r="E3" s="105" t="s">
        <v>435</v>
      </c>
    </row>
    <row r="4" spans="1:5" ht="14.25" customHeight="1">
      <c r="A4" s="202" t="s">
        <v>346</v>
      </c>
      <c r="B4" s="203">
        <v>8404</v>
      </c>
      <c r="C4" s="203">
        <v>1332</v>
      </c>
      <c r="D4" s="203">
        <v>9736</v>
      </c>
      <c r="E4" s="203">
        <v>8639</v>
      </c>
    </row>
    <row r="5" spans="1:5" ht="14.25" customHeight="1">
      <c r="A5" s="202" t="s">
        <v>278</v>
      </c>
      <c r="B5" s="203">
        <v>4501</v>
      </c>
      <c r="C5" s="203">
        <v>462</v>
      </c>
      <c r="D5" s="203">
        <v>4963</v>
      </c>
      <c r="E5" s="203">
        <v>5193</v>
      </c>
    </row>
    <row r="6" spans="1:5" ht="14.25" customHeight="1">
      <c r="A6" s="202" t="s">
        <v>123</v>
      </c>
      <c r="B6" s="203">
        <v>987</v>
      </c>
      <c r="C6" s="203">
        <v>372</v>
      </c>
      <c r="D6" s="203">
        <v>1359</v>
      </c>
      <c r="E6" s="203">
        <v>398</v>
      </c>
    </row>
    <row r="7" spans="1:5" ht="14.25" customHeight="1">
      <c r="A7" s="202" t="s">
        <v>124</v>
      </c>
      <c r="B7" s="203">
        <v>6428</v>
      </c>
      <c r="C7" s="203">
        <v>1028</v>
      </c>
      <c r="D7" s="203">
        <v>7456</v>
      </c>
      <c r="E7" s="203">
        <v>8283</v>
      </c>
    </row>
    <row r="8" spans="1:5" ht="14.25" customHeight="1">
      <c r="A8" s="202" t="s">
        <v>126</v>
      </c>
      <c r="B8" s="203">
        <v>15036</v>
      </c>
      <c r="C8" s="203">
        <v>0</v>
      </c>
      <c r="D8" s="203">
        <v>15036</v>
      </c>
      <c r="E8" s="203">
        <v>22919</v>
      </c>
    </row>
    <row r="9" spans="1:5" ht="14.25" customHeight="1">
      <c r="A9" s="202" t="s">
        <v>127</v>
      </c>
      <c r="B9" s="203">
        <v>4503</v>
      </c>
      <c r="C9" s="203">
        <v>693</v>
      </c>
      <c r="D9" s="203">
        <v>5196</v>
      </c>
      <c r="E9" s="203">
        <v>6639</v>
      </c>
    </row>
    <row r="10" spans="1:5" ht="14.25" customHeight="1">
      <c r="A10" s="202" t="s">
        <v>305</v>
      </c>
      <c r="B10" s="203">
        <v>2539</v>
      </c>
      <c r="C10" s="203">
        <v>35</v>
      </c>
      <c r="D10" s="203">
        <v>2574</v>
      </c>
      <c r="E10" s="203">
        <v>1803</v>
      </c>
    </row>
    <row r="11" spans="1:5" ht="14.25" customHeight="1">
      <c r="A11" s="202" t="s">
        <v>133</v>
      </c>
      <c r="B11" s="203">
        <v>23579</v>
      </c>
      <c r="C11" s="203">
        <v>2140</v>
      </c>
      <c r="D11" s="203">
        <v>25719</v>
      </c>
      <c r="E11" s="203">
        <v>39977</v>
      </c>
    </row>
    <row r="12" spans="1:5" ht="14.25" customHeight="1">
      <c r="A12" s="202" t="s">
        <v>137</v>
      </c>
      <c r="B12" s="203">
        <v>11680</v>
      </c>
      <c r="C12" s="203">
        <v>1306</v>
      </c>
      <c r="D12" s="203">
        <v>12986</v>
      </c>
      <c r="E12" s="203">
        <v>4993</v>
      </c>
    </row>
    <row r="13" spans="1:5" ht="14.25" customHeight="1">
      <c r="A13" s="202" t="s">
        <v>139</v>
      </c>
      <c r="B13" s="203">
        <v>942</v>
      </c>
      <c r="C13" s="203">
        <v>2</v>
      </c>
      <c r="D13" s="203">
        <v>944</v>
      </c>
      <c r="E13" s="203">
        <v>1342</v>
      </c>
    </row>
    <row r="14" spans="1:5" ht="14.25" customHeight="1">
      <c r="A14" s="202" t="s">
        <v>142</v>
      </c>
      <c r="B14" s="203">
        <v>2802</v>
      </c>
      <c r="C14" s="203">
        <v>80</v>
      </c>
      <c r="D14" s="203">
        <v>2882</v>
      </c>
      <c r="E14" s="203">
        <v>2320</v>
      </c>
    </row>
    <row r="15" spans="1:5" ht="14.25" customHeight="1">
      <c r="A15" s="202" t="s">
        <v>144</v>
      </c>
      <c r="B15" s="231">
        <v>7796</v>
      </c>
      <c r="C15" s="231">
        <v>0</v>
      </c>
      <c r="D15" s="231">
        <v>7796</v>
      </c>
      <c r="E15" s="231">
        <v>6240</v>
      </c>
    </row>
    <row r="16" spans="1:5" ht="14.25" customHeight="1">
      <c r="A16" s="202" t="s">
        <v>148</v>
      </c>
      <c r="B16" s="231">
        <v>12459</v>
      </c>
      <c r="C16" s="231">
        <v>0</v>
      </c>
      <c r="D16" s="231">
        <v>12459</v>
      </c>
      <c r="E16" s="231">
        <v>13427</v>
      </c>
    </row>
    <row r="17" spans="1:5" ht="14.25" customHeight="1">
      <c r="A17" s="202" t="s">
        <v>149</v>
      </c>
      <c r="B17" s="231">
        <v>16542</v>
      </c>
      <c r="C17" s="231">
        <v>358</v>
      </c>
      <c r="D17" s="231">
        <v>16900</v>
      </c>
      <c r="E17" s="231">
        <v>17647</v>
      </c>
    </row>
    <row r="18" spans="1:5" ht="14.25" customHeight="1">
      <c r="A18" s="202" t="s">
        <v>151</v>
      </c>
      <c r="B18" s="231">
        <v>55163</v>
      </c>
      <c r="C18" s="231">
        <v>60</v>
      </c>
      <c r="D18" s="231">
        <v>55223</v>
      </c>
      <c r="E18" s="231">
        <v>14884</v>
      </c>
    </row>
    <row r="19" spans="1:5" ht="14.25" customHeight="1">
      <c r="A19" s="202" t="s">
        <v>152</v>
      </c>
      <c r="B19" s="231">
        <v>41770</v>
      </c>
      <c r="C19" s="231">
        <v>1000</v>
      </c>
      <c r="D19" s="231">
        <v>42770</v>
      </c>
      <c r="E19" s="231">
        <v>29705</v>
      </c>
    </row>
    <row r="20" spans="1:5" ht="14.25" customHeight="1">
      <c r="A20" s="202" t="s">
        <v>154</v>
      </c>
      <c r="B20" s="231">
        <v>38805</v>
      </c>
      <c r="C20" s="231">
        <v>1622</v>
      </c>
      <c r="D20" s="231">
        <v>40427</v>
      </c>
      <c r="E20" s="231">
        <v>47345</v>
      </c>
    </row>
    <row r="21" spans="1:5" ht="14.25" customHeight="1">
      <c r="A21" s="202" t="s">
        <v>347</v>
      </c>
      <c r="B21" s="231">
        <v>16352</v>
      </c>
      <c r="C21" s="231">
        <v>476</v>
      </c>
      <c r="D21" s="231">
        <v>16828</v>
      </c>
      <c r="E21" s="231">
        <v>10045</v>
      </c>
    </row>
    <row r="22" spans="1:5" ht="14.25" customHeight="1">
      <c r="A22" s="202" t="s">
        <v>312</v>
      </c>
      <c r="B22" s="231">
        <v>15981</v>
      </c>
      <c r="C22" s="231">
        <v>0</v>
      </c>
      <c r="D22" s="231">
        <v>15981</v>
      </c>
      <c r="E22" s="231">
        <v>19832</v>
      </c>
    </row>
    <row r="23" spans="1:5" ht="14.25" customHeight="1">
      <c r="A23" s="202" t="s">
        <v>155</v>
      </c>
      <c r="B23" s="231">
        <v>8285</v>
      </c>
      <c r="C23" s="231">
        <v>0</v>
      </c>
      <c r="D23" s="231">
        <v>8285</v>
      </c>
      <c r="E23" s="231">
        <v>8188</v>
      </c>
    </row>
    <row r="24" spans="1:5" ht="14.25" customHeight="1">
      <c r="A24" s="202" t="s">
        <v>348</v>
      </c>
      <c r="B24" s="231">
        <v>18321</v>
      </c>
      <c r="C24" s="231">
        <v>657</v>
      </c>
      <c r="D24" s="231">
        <v>18978</v>
      </c>
      <c r="E24" s="231">
        <v>13545</v>
      </c>
    </row>
    <row r="25" spans="1:5" ht="14.25" customHeight="1">
      <c r="A25" s="202" t="s">
        <v>158</v>
      </c>
      <c r="B25" s="231">
        <v>1245</v>
      </c>
      <c r="C25" s="231">
        <v>469</v>
      </c>
      <c r="D25" s="231">
        <v>1714</v>
      </c>
      <c r="E25" s="231">
        <v>2251</v>
      </c>
    </row>
    <row r="26" spans="1:5" ht="14.25" customHeight="1">
      <c r="A26" s="202" t="s">
        <v>160</v>
      </c>
      <c r="B26" s="231">
        <v>11213</v>
      </c>
      <c r="C26" s="231">
        <v>1437</v>
      </c>
      <c r="D26" s="231">
        <v>12650</v>
      </c>
      <c r="E26" s="231">
        <v>10541</v>
      </c>
    </row>
    <row r="27" spans="1:5" ht="14.25" customHeight="1">
      <c r="A27" s="202" t="s">
        <v>165</v>
      </c>
      <c r="B27" s="231">
        <v>49150</v>
      </c>
      <c r="C27" s="231">
        <v>445</v>
      </c>
      <c r="D27" s="231">
        <v>49595</v>
      </c>
      <c r="E27" s="231">
        <v>15119</v>
      </c>
    </row>
    <row r="28" spans="1:5" ht="14.25" customHeight="1">
      <c r="A28" s="202" t="s">
        <v>168</v>
      </c>
      <c r="B28" s="231">
        <v>2257</v>
      </c>
      <c r="C28" s="231">
        <v>123</v>
      </c>
      <c r="D28" s="231">
        <v>2380</v>
      </c>
      <c r="E28" s="231">
        <v>2308</v>
      </c>
    </row>
    <row r="29" spans="1:5" ht="14.25" customHeight="1">
      <c r="A29" s="202" t="s">
        <v>169</v>
      </c>
      <c r="B29" s="231">
        <v>6818</v>
      </c>
      <c r="C29" s="231">
        <v>449</v>
      </c>
      <c r="D29" s="231">
        <v>7267</v>
      </c>
      <c r="E29" s="231">
        <v>8744</v>
      </c>
    </row>
    <row r="30" spans="1:5" ht="14.25" customHeight="1">
      <c r="A30" s="202" t="s">
        <v>170</v>
      </c>
      <c r="B30" s="231">
        <v>20421</v>
      </c>
      <c r="C30" s="231">
        <v>0</v>
      </c>
      <c r="D30" s="231">
        <v>20421</v>
      </c>
      <c r="E30" s="231">
        <v>7077</v>
      </c>
    </row>
    <row r="31" spans="1:5" ht="14.25" customHeight="1">
      <c r="A31" s="202" t="s">
        <v>173</v>
      </c>
      <c r="B31" s="231">
        <v>34659</v>
      </c>
      <c r="C31" s="231">
        <v>0</v>
      </c>
      <c r="D31" s="231">
        <v>34659</v>
      </c>
      <c r="E31" s="231">
        <v>18753</v>
      </c>
    </row>
    <row r="32" spans="1:5" ht="14.25" customHeight="1">
      <c r="A32" s="202" t="s">
        <v>280</v>
      </c>
      <c r="B32" s="231">
        <v>1242</v>
      </c>
      <c r="C32" s="231">
        <v>0</v>
      </c>
      <c r="D32" s="231">
        <v>1242</v>
      </c>
      <c r="E32" s="231">
        <v>1109</v>
      </c>
    </row>
    <row r="33" spans="1:5" ht="14.25" customHeight="1">
      <c r="A33" s="202" t="s">
        <v>176</v>
      </c>
      <c r="B33" s="231">
        <v>4616</v>
      </c>
      <c r="C33" s="231">
        <v>187</v>
      </c>
      <c r="D33" s="231">
        <v>4803</v>
      </c>
      <c r="E33" s="231">
        <v>3905</v>
      </c>
    </row>
    <row r="34" spans="1:5" ht="14.25" customHeight="1">
      <c r="A34" s="202" t="s">
        <v>316</v>
      </c>
      <c r="B34" s="231">
        <v>730</v>
      </c>
      <c r="C34" s="231">
        <v>112</v>
      </c>
      <c r="D34" s="231">
        <v>842</v>
      </c>
      <c r="E34" s="231">
        <v>347</v>
      </c>
    </row>
    <row r="35" spans="1:5" ht="14.25" customHeight="1">
      <c r="A35" s="202" t="s">
        <v>179</v>
      </c>
      <c r="B35" s="231">
        <v>1311</v>
      </c>
      <c r="C35" s="231">
        <v>116</v>
      </c>
      <c r="D35" s="231">
        <v>1427</v>
      </c>
      <c r="E35" s="231">
        <v>1263</v>
      </c>
    </row>
    <row r="36" spans="1:5" ht="14.25" customHeight="1">
      <c r="A36" s="202" t="s">
        <v>182</v>
      </c>
      <c r="B36" s="231">
        <v>9516</v>
      </c>
      <c r="C36" s="231">
        <v>2300</v>
      </c>
      <c r="D36" s="231">
        <v>11816</v>
      </c>
      <c r="E36" s="231">
        <v>9102</v>
      </c>
    </row>
    <row r="37" spans="1:5" ht="14.25" customHeight="1">
      <c r="A37" s="202" t="s">
        <v>317</v>
      </c>
      <c r="B37" s="231">
        <v>27311</v>
      </c>
      <c r="C37" s="231">
        <v>8</v>
      </c>
      <c r="D37" s="231">
        <v>27319</v>
      </c>
      <c r="E37" s="231">
        <v>27506</v>
      </c>
    </row>
    <row r="38" spans="1:5" ht="14.25" customHeight="1">
      <c r="A38" s="202" t="s">
        <v>185</v>
      </c>
      <c r="B38" s="231">
        <v>12500</v>
      </c>
      <c r="C38" s="231">
        <v>0</v>
      </c>
      <c r="D38" s="231">
        <v>12500</v>
      </c>
      <c r="E38" s="231">
        <v>3572</v>
      </c>
    </row>
    <row r="39" spans="1:5" ht="14.25" customHeight="1">
      <c r="A39" s="202" t="s">
        <v>186</v>
      </c>
      <c r="B39" s="231">
        <v>43483</v>
      </c>
      <c r="C39" s="231">
        <v>186</v>
      </c>
      <c r="D39" s="231">
        <v>43669</v>
      </c>
      <c r="E39" s="231">
        <v>54672</v>
      </c>
    </row>
    <row r="40" spans="1:5" ht="14.25" customHeight="1">
      <c r="A40" s="202" t="s">
        <v>282</v>
      </c>
      <c r="B40" s="231">
        <v>52656</v>
      </c>
      <c r="C40" s="231">
        <v>0</v>
      </c>
      <c r="D40" s="231">
        <v>52656</v>
      </c>
      <c r="E40" s="231">
        <v>51440</v>
      </c>
    </row>
    <row r="41" spans="1:5" ht="14.25" customHeight="1">
      <c r="A41" s="202" t="s">
        <v>190</v>
      </c>
      <c r="B41" s="231">
        <v>5016</v>
      </c>
      <c r="C41" s="231">
        <v>500</v>
      </c>
      <c r="D41" s="231">
        <v>5516</v>
      </c>
      <c r="E41" s="231">
        <v>8775</v>
      </c>
    </row>
    <row r="42" spans="1:5" ht="14.25" customHeight="1">
      <c r="A42" s="202" t="s">
        <v>192</v>
      </c>
      <c r="B42" s="231">
        <v>4885</v>
      </c>
      <c r="C42" s="231">
        <v>4515</v>
      </c>
      <c r="D42" s="231">
        <v>9400</v>
      </c>
      <c r="E42" s="231">
        <v>4366</v>
      </c>
    </row>
    <row r="43" spans="1:5" ht="14.25" customHeight="1">
      <c r="A43" s="202" t="s">
        <v>193</v>
      </c>
      <c r="B43" s="231">
        <v>4351</v>
      </c>
      <c r="C43" s="231">
        <v>415</v>
      </c>
      <c r="D43" s="231">
        <v>4766</v>
      </c>
      <c r="E43" s="231">
        <v>5691</v>
      </c>
    </row>
    <row r="44" spans="1:5" ht="14.25" customHeight="1">
      <c r="A44" s="202" t="s">
        <v>318</v>
      </c>
      <c r="B44" s="231">
        <v>44264</v>
      </c>
      <c r="C44" s="231">
        <v>568</v>
      </c>
      <c r="D44" s="231">
        <v>44832</v>
      </c>
      <c r="E44" s="231">
        <v>15037</v>
      </c>
    </row>
    <row r="45" spans="1:5" ht="14.25" customHeight="1">
      <c r="A45" s="202" t="s">
        <v>196</v>
      </c>
      <c r="B45" s="231">
        <v>1214</v>
      </c>
      <c r="C45" s="231">
        <v>308</v>
      </c>
      <c r="D45" s="231">
        <v>1522</v>
      </c>
      <c r="E45" s="231">
        <v>800</v>
      </c>
    </row>
    <row r="46" spans="1:5" ht="14.25" customHeight="1">
      <c r="A46" s="202" t="s">
        <v>198</v>
      </c>
      <c r="B46" s="231">
        <v>51938</v>
      </c>
      <c r="C46" s="231">
        <v>623</v>
      </c>
      <c r="D46" s="231">
        <v>52561</v>
      </c>
      <c r="E46" s="231">
        <v>40465</v>
      </c>
    </row>
    <row r="47" spans="1:5" ht="14.25" customHeight="1">
      <c r="A47" s="202" t="s">
        <v>199</v>
      </c>
      <c r="B47" s="231">
        <v>16170</v>
      </c>
      <c r="C47" s="231">
        <v>603</v>
      </c>
      <c r="D47" s="231">
        <v>16773</v>
      </c>
      <c r="E47" s="231">
        <v>19615</v>
      </c>
    </row>
    <row r="48" spans="1:5" ht="14.25" customHeight="1">
      <c r="A48" s="202" t="s">
        <v>202</v>
      </c>
      <c r="B48" s="231">
        <v>3311</v>
      </c>
      <c r="C48" s="231">
        <v>1567</v>
      </c>
      <c r="D48" s="231">
        <v>4878</v>
      </c>
      <c r="E48" s="231">
        <v>3753</v>
      </c>
    </row>
    <row r="49" spans="1:5" ht="14.25" customHeight="1">
      <c r="A49" s="2" t="s">
        <v>203</v>
      </c>
      <c r="B49" s="231">
        <v>32991</v>
      </c>
      <c r="C49" s="231">
        <v>0</v>
      </c>
      <c r="D49" s="231">
        <v>32991</v>
      </c>
      <c r="E49" s="231">
        <v>31955</v>
      </c>
    </row>
    <row r="50" spans="1:5" ht="14.25" customHeight="1">
      <c r="A50" s="2" t="s">
        <v>319</v>
      </c>
      <c r="B50" s="231">
        <v>8748</v>
      </c>
      <c r="C50" s="231">
        <v>597</v>
      </c>
      <c r="D50" s="231">
        <v>9345</v>
      </c>
      <c r="E50" s="231">
        <v>11672</v>
      </c>
    </row>
    <row r="51" spans="1:5" ht="14.25" customHeight="1">
      <c r="A51" s="2" t="s">
        <v>206</v>
      </c>
      <c r="B51" s="33">
        <v>11886</v>
      </c>
      <c r="C51" s="33">
        <v>490</v>
      </c>
      <c r="D51" s="33">
        <v>12376</v>
      </c>
      <c r="E51" s="33">
        <v>18244</v>
      </c>
    </row>
    <row r="52" spans="1:5" ht="14.25" customHeight="1">
      <c r="A52" s="2" t="s">
        <v>207</v>
      </c>
      <c r="B52" s="33">
        <v>16115</v>
      </c>
      <c r="C52" s="33">
        <v>933</v>
      </c>
      <c r="D52" s="33">
        <v>17048</v>
      </c>
      <c r="E52" s="33">
        <v>18115</v>
      </c>
    </row>
    <row r="53" spans="1:5" ht="14.25" customHeight="1">
      <c r="A53" s="2" t="s">
        <v>208</v>
      </c>
      <c r="B53" s="33">
        <v>73309</v>
      </c>
      <c r="C53" s="33">
        <v>0</v>
      </c>
      <c r="D53" s="33">
        <v>73309</v>
      </c>
      <c r="E53" s="33">
        <v>5726</v>
      </c>
    </row>
    <row r="54" spans="1:5" ht="14.25" customHeight="1">
      <c r="A54" s="2" t="s">
        <v>210</v>
      </c>
      <c r="B54" s="33">
        <v>9823</v>
      </c>
      <c r="C54" s="33">
        <v>12</v>
      </c>
      <c r="D54" s="33">
        <v>9835</v>
      </c>
      <c r="E54" s="33">
        <v>9103</v>
      </c>
    </row>
    <row r="55" spans="1:5" ht="14.25" customHeight="1">
      <c r="A55" s="2" t="s">
        <v>349</v>
      </c>
      <c r="B55" s="33">
        <v>1768</v>
      </c>
      <c r="C55" s="33">
        <v>385</v>
      </c>
      <c r="D55" s="33">
        <v>2153</v>
      </c>
      <c r="E55" s="33">
        <v>290</v>
      </c>
    </row>
    <row r="56" spans="1:5" ht="14.25" customHeight="1">
      <c r="A56" s="2" t="s">
        <v>213</v>
      </c>
      <c r="B56" s="33">
        <v>2636</v>
      </c>
      <c r="C56" s="33">
        <v>61</v>
      </c>
      <c r="D56" s="33">
        <v>2697</v>
      </c>
      <c r="E56" s="33">
        <v>3041</v>
      </c>
    </row>
    <row r="57" spans="1:5" ht="14.25" customHeight="1">
      <c r="A57" s="2" t="s">
        <v>357</v>
      </c>
      <c r="B57" s="33">
        <v>2074</v>
      </c>
      <c r="C57" s="33">
        <v>346</v>
      </c>
      <c r="D57" s="33">
        <v>2420</v>
      </c>
      <c r="E57" s="33">
        <v>1855</v>
      </c>
    </row>
    <row r="58" spans="1:5" ht="14.25" customHeight="1">
      <c r="A58" s="2" t="s">
        <v>218</v>
      </c>
      <c r="B58" s="33">
        <v>38298</v>
      </c>
      <c r="C58" s="33">
        <v>1525</v>
      </c>
      <c r="D58" s="33">
        <v>39823</v>
      </c>
      <c r="E58" s="33">
        <v>44378</v>
      </c>
    </row>
    <row r="59" spans="1:5" ht="14.25" customHeight="1">
      <c r="A59" s="2" t="s">
        <v>219</v>
      </c>
      <c r="B59" s="33">
        <v>9161</v>
      </c>
      <c r="C59" s="33">
        <v>248</v>
      </c>
      <c r="D59" s="33">
        <v>9409</v>
      </c>
      <c r="E59" s="33">
        <v>15218</v>
      </c>
    </row>
    <row r="60" spans="1:5" ht="14.25" customHeight="1">
      <c r="A60" s="2" t="s">
        <v>320</v>
      </c>
      <c r="B60" s="33">
        <v>6135</v>
      </c>
      <c r="C60" s="33">
        <v>547</v>
      </c>
      <c r="D60" s="33">
        <v>6682</v>
      </c>
      <c r="E60" s="33">
        <v>4538</v>
      </c>
    </row>
    <row r="61" spans="1:5" ht="14.25" customHeight="1">
      <c r="A61" s="2" t="s">
        <v>220</v>
      </c>
      <c r="B61" s="33">
        <v>64716</v>
      </c>
      <c r="C61" s="33">
        <v>0</v>
      </c>
      <c r="D61" s="33">
        <v>64716</v>
      </c>
      <c r="E61" s="33">
        <v>72000</v>
      </c>
    </row>
    <row r="62" spans="1:5" ht="14.25" customHeight="1">
      <c r="A62" s="2" t="s">
        <v>283</v>
      </c>
      <c r="B62" s="33">
        <v>707</v>
      </c>
      <c r="C62" s="33">
        <v>45</v>
      </c>
      <c r="D62" s="33">
        <v>752</v>
      </c>
      <c r="E62" s="33">
        <v>505</v>
      </c>
    </row>
    <row r="63" spans="1:5" ht="14.25" customHeight="1">
      <c r="A63" s="2" t="s">
        <v>223</v>
      </c>
      <c r="B63" s="33">
        <v>2886</v>
      </c>
      <c r="C63" s="33">
        <v>437</v>
      </c>
      <c r="D63" s="33">
        <v>3323</v>
      </c>
      <c r="E63" s="33">
        <v>2628</v>
      </c>
    </row>
    <row r="64" spans="1:5" ht="14.25" customHeight="1">
      <c r="A64" s="2" t="s">
        <v>224</v>
      </c>
      <c r="B64" s="33">
        <v>61415</v>
      </c>
      <c r="C64" s="33">
        <v>0</v>
      </c>
      <c r="D64" s="33">
        <v>61415</v>
      </c>
      <c r="E64" s="33">
        <v>84441</v>
      </c>
    </row>
    <row r="65" spans="1:5" ht="14.25" customHeight="1">
      <c r="A65" s="2" t="s">
        <v>225</v>
      </c>
      <c r="B65" s="33">
        <v>14250</v>
      </c>
      <c r="C65" s="33">
        <v>0</v>
      </c>
      <c r="D65" s="33">
        <v>14250</v>
      </c>
      <c r="E65" s="33">
        <v>21193</v>
      </c>
    </row>
    <row r="66" spans="1:5" ht="14.25" customHeight="1">
      <c r="A66" s="2" t="s">
        <v>226</v>
      </c>
      <c r="B66" s="33">
        <v>11383</v>
      </c>
      <c r="C66" s="33">
        <v>2211</v>
      </c>
      <c r="D66" s="33">
        <v>13594</v>
      </c>
      <c r="E66" s="33">
        <v>8878</v>
      </c>
    </row>
    <row r="67" spans="1:5" ht="14.25" customHeight="1">
      <c r="A67" s="2" t="s">
        <v>228</v>
      </c>
      <c r="B67" s="33">
        <v>8403</v>
      </c>
      <c r="C67" s="33">
        <v>581</v>
      </c>
      <c r="D67" s="33">
        <v>8984</v>
      </c>
      <c r="E67" s="33">
        <v>4220</v>
      </c>
    </row>
    <row r="68" spans="1:5" ht="14.25" customHeight="1">
      <c r="A68" s="2" t="s">
        <v>229</v>
      </c>
      <c r="B68" s="33">
        <v>13464</v>
      </c>
      <c r="C68" s="33">
        <v>199</v>
      </c>
      <c r="D68" s="33">
        <v>13663</v>
      </c>
      <c r="E68" s="33">
        <v>10597</v>
      </c>
    </row>
    <row r="69" spans="1:5" ht="14.25" customHeight="1">
      <c r="A69" s="2" t="s">
        <v>322</v>
      </c>
      <c r="B69" s="33">
        <v>51821</v>
      </c>
      <c r="C69" s="33">
        <v>29556</v>
      </c>
      <c r="D69" s="33">
        <v>81377</v>
      </c>
      <c r="E69" s="33">
        <v>35943</v>
      </c>
    </row>
    <row r="70" spans="1:5" ht="14.25" customHeight="1">
      <c r="A70" s="2" t="s">
        <v>323</v>
      </c>
      <c r="B70" s="33">
        <v>5025</v>
      </c>
      <c r="C70" s="33">
        <v>769</v>
      </c>
      <c r="D70" s="33">
        <v>5794</v>
      </c>
      <c r="E70" s="33">
        <v>8034</v>
      </c>
    </row>
    <row r="71" spans="1:5" ht="14.25" customHeight="1">
      <c r="A71" s="2" t="s">
        <v>350</v>
      </c>
      <c r="B71" s="33">
        <v>17397</v>
      </c>
      <c r="C71" s="33">
        <v>1407</v>
      </c>
      <c r="D71" s="33">
        <v>18804</v>
      </c>
      <c r="E71" s="33">
        <v>26114</v>
      </c>
    </row>
    <row r="72" spans="1:5" ht="14.25" customHeight="1">
      <c r="A72" s="2" t="s">
        <v>284</v>
      </c>
      <c r="B72" s="33">
        <v>32218</v>
      </c>
      <c r="C72" s="33">
        <v>40</v>
      </c>
      <c r="D72" s="33">
        <v>32258</v>
      </c>
      <c r="E72" s="33">
        <v>10569</v>
      </c>
    </row>
    <row r="73" spans="1:5" ht="14.25" customHeight="1">
      <c r="A73" s="2" t="s">
        <v>232</v>
      </c>
      <c r="B73" s="33">
        <v>15502</v>
      </c>
      <c r="C73" s="33">
        <v>0</v>
      </c>
      <c r="D73" s="33">
        <v>15502</v>
      </c>
      <c r="E73" s="33">
        <v>17301</v>
      </c>
    </row>
    <row r="74" spans="1:5" ht="14.25" customHeight="1">
      <c r="A74" s="2" t="s">
        <v>233</v>
      </c>
      <c r="B74" s="33">
        <v>17092</v>
      </c>
      <c r="C74" s="33">
        <v>425</v>
      </c>
      <c r="D74" s="33">
        <v>17517</v>
      </c>
      <c r="E74" s="33">
        <v>22530</v>
      </c>
    </row>
    <row r="75" spans="1:5" ht="14.25" customHeight="1">
      <c r="A75" s="2" t="s">
        <v>234</v>
      </c>
      <c r="B75" s="33">
        <v>3936</v>
      </c>
      <c r="C75" s="33">
        <v>12</v>
      </c>
      <c r="D75" s="33">
        <v>3948</v>
      </c>
      <c r="E75" s="33">
        <v>3745</v>
      </c>
    </row>
    <row r="76" spans="1:5" ht="14.25" customHeight="1">
      <c r="A76" s="2" t="s">
        <v>236</v>
      </c>
      <c r="B76" s="33">
        <v>7986</v>
      </c>
      <c r="C76" s="33">
        <v>1324</v>
      </c>
      <c r="D76" s="33">
        <v>9310</v>
      </c>
      <c r="E76" s="33">
        <v>4769</v>
      </c>
    </row>
    <row r="77" spans="1:5" ht="14.25" customHeight="1">
      <c r="A77" s="2" t="s">
        <v>238</v>
      </c>
      <c r="B77" s="33">
        <v>11994</v>
      </c>
      <c r="C77" s="33">
        <v>50</v>
      </c>
      <c r="D77" s="33">
        <v>12044</v>
      </c>
      <c r="E77" s="33">
        <v>7351</v>
      </c>
    </row>
    <row r="78" spans="1:5" ht="14.25" customHeight="1">
      <c r="A78" s="2" t="s">
        <v>239</v>
      </c>
      <c r="B78" s="33">
        <v>36434</v>
      </c>
      <c r="C78" s="33">
        <v>190</v>
      </c>
      <c r="D78" s="33">
        <v>36624</v>
      </c>
      <c r="E78" s="33">
        <v>34196</v>
      </c>
    </row>
    <row r="79" spans="1:5" ht="14.25" customHeight="1">
      <c r="A79" s="2" t="s">
        <v>351</v>
      </c>
      <c r="B79" s="33">
        <v>24959</v>
      </c>
      <c r="C79" s="33">
        <v>0</v>
      </c>
      <c r="D79" s="33">
        <v>24959</v>
      </c>
      <c r="E79" s="33">
        <v>33020</v>
      </c>
    </row>
    <row r="80" spans="1:5" ht="14.25" customHeight="1">
      <c r="A80" s="2" t="s">
        <v>244</v>
      </c>
      <c r="B80" s="33">
        <v>1719</v>
      </c>
      <c r="C80" s="33">
        <v>144</v>
      </c>
      <c r="D80" s="33">
        <v>1863</v>
      </c>
      <c r="E80" s="33">
        <v>838</v>
      </c>
    </row>
    <row r="81" spans="1:5" ht="14.25" customHeight="1">
      <c r="A81" s="2" t="s">
        <v>326</v>
      </c>
      <c r="B81" s="33">
        <v>4095</v>
      </c>
      <c r="C81" s="33">
        <v>248</v>
      </c>
      <c r="D81" s="33">
        <v>4343</v>
      </c>
      <c r="E81" s="33">
        <v>1929</v>
      </c>
    </row>
    <row r="82" spans="1:5" ht="14.25" customHeight="1">
      <c r="A82" s="2" t="s">
        <v>247</v>
      </c>
      <c r="B82" s="33">
        <v>1899</v>
      </c>
      <c r="C82" s="33">
        <v>172</v>
      </c>
      <c r="D82" s="33">
        <v>2071</v>
      </c>
      <c r="E82" s="33">
        <v>2105</v>
      </c>
    </row>
    <row r="83" spans="1:5" ht="14.25" customHeight="1">
      <c r="A83" s="2" t="s">
        <v>249</v>
      </c>
      <c r="B83" s="33">
        <v>7318</v>
      </c>
      <c r="C83" s="33">
        <v>341</v>
      </c>
      <c r="D83" s="33">
        <v>7659</v>
      </c>
      <c r="E83" s="33">
        <v>10879</v>
      </c>
    </row>
    <row r="84" spans="1:5" ht="14.25" customHeight="1">
      <c r="A84" s="2" t="s">
        <v>254</v>
      </c>
      <c r="B84" s="33">
        <v>8815</v>
      </c>
      <c r="C84" s="33">
        <v>452</v>
      </c>
      <c r="D84" s="33">
        <v>9267</v>
      </c>
      <c r="E84" s="33">
        <v>10843</v>
      </c>
    </row>
    <row r="85" spans="1:5" ht="14.25" customHeight="1">
      <c r="A85" s="2" t="s">
        <v>256</v>
      </c>
      <c r="B85" s="33">
        <v>16116</v>
      </c>
      <c r="C85" s="33">
        <v>14</v>
      </c>
      <c r="D85" s="33">
        <v>16130</v>
      </c>
      <c r="E85" s="33">
        <v>2988</v>
      </c>
    </row>
    <row r="86" spans="1:5" ht="14.25" customHeight="1">
      <c r="A86" s="2" t="s">
        <v>327</v>
      </c>
      <c r="B86" s="33">
        <v>15193</v>
      </c>
      <c r="C86" s="33">
        <v>0</v>
      </c>
      <c r="D86" s="33">
        <v>15193</v>
      </c>
      <c r="E86" s="33">
        <v>6533</v>
      </c>
    </row>
    <row r="87" spans="1:5" ht="14.25" customHeight="1">
      <c r="A87" s="2" t="s">
        <v>257</v>
      </c>
      <c r="B87" s="33">
        <v>14013</v>
      </c>
      <c r="C87" s="33">
        <v>153</v>
      </c>
      <c r="D87" s="33">
        <v>14166</v>
      </c>
      <c r="E87" s="33">
        <v>28259</v>
      </c>
    </row>
    <row r="88" spans="1:5" ht="14.25" customHeight="1">
      <c r="A88" s="2" t="s">
        <v>258</v>
      </c>
      <c r="B88" s="33">
        <v>6743</v>
      </c>
      <c r="C88" s="33">
        <v>26</v>
      </c>
      <c r="D88" s="33">
        <v>6769</v>
      </c>
      <c r="E88" s="33">
        <v>3189</v>
      </c>
    </row>
    <row r="89" spans="1:5" ht="14.25" customHeight="1">
      <c r="A89" s="2" t="s">
        <v>285</v>
      </c>
      <c r="B89" s="33">
        <v>3509</v>
      </c>
      <c r="C89" s="33">
        <v>104</v>
      </c>
      <c r="D89" s="33">
        <v>3613</v>
      </c>
      <c r="E89" s="33">
        <v>2978</v>
      </c>
    </row>
    <row r="90" spans="1:5" ht="14.25" customHeight="1">
      <c r="A90" s="2" t="s">
        <v>260</v>
      </c>
      <c r="B90" s="33">
        <v>79818</v>
      </c>
      <c r="C90" s="33">
        <v>563</v>
      </c>
      <c r="D90" s="33">
        <v>80381</v>
      </c>
      <c r="E90" s="33">
        <v>102016</v>
      </c>
    </row>
    <row r="91" spans="1:5" ht="14.25" customHeight="1">
      <c r="A91" s="2" t="s">
        <v>261</v>
      </c>
      <c r="B91" s="33">
        <v>44990</v>
      </c>
      <c r="C91" s="33">
        <v>270</v>
      </c>
      <c r="D91" s="33">
        <v>45260</v>
      </c>
      <c r="E91" s="33">
        <v>16930</v>
      </c>
    </row>
    <row r="92" spans="1:5" ht="14.25" customHeight="1">
      <c r="A92" s="2" t="s">
        <v>286</v>
      </c>
      <c r="B92" s="33">
        <v>2090</v>
      </c>
      <c r="C92" s="33">
        <v>460</v>
      </c>
      <c r="D92" s="33">
        <v>2550</v>
      </c>
      <c r="E92" s="33">
        <v>2120</v>
      </c>
    </row>
    <row r="93" spans="1:5" ht="14.25" customHeight="1">
      <c r="A93" s="2"/>
      <c r="B93" s="33"/>
      <c r="C93" s="33"/>
      <c r="D93" s="33"/>
      <c r="E93" s="33"/>
    </row>
    <row r="94" spans="1:5" ht="14.25" customHeight="1">
      <c r="A94" s="7" t="s">
        <v>105</v>
      </c>
      <c r="B94" s="66">
        <v>11213</v>
      </c>
      <c r="C94" s="66">
        <v>270</v>
      </c>
      <c r="D94" s="66">
        <v>12044</v>
      </c>
      <c r="E94" s="66">
        <v>8775</v>
      </c>
    </row>
    <row r="95" spans="1:5" ht="14.25" customHeight="1">
      <c r="A95" s="7" t="s">
        <v>104</v>
      </c>
      <c r="B95" s="66">
        <v>17348.337078651686</v>
      </c>
      <c r="C95" s="66">
        <v>807.76404494382018</v>
      </c>
      <c r="D95" s="66">
        <v>18156.101123595505</v>
      </c>
      <c r="E95" s="66">
        <v>15318.550561797752</v>
      </c>
    </row>
    <row r="96" spans="1:5" ht="14.25" customHeight="1">
      <c r="A96" s="7" t="s">
        <v>329</v>
      </c>
      <c r="B96" s="66">
        <v>1544002</v>
      </c>
      <c r="C96" s="66">
        <v>71891</v>
      </c>
      <c r="D96" s="66">
        <v>1615893</v>
      </c>
      <c r="E96" s="66">
        <v>1363351</v>
      </c>
    </row>
    <row r="97" spans="1:5" ht="14.25" customHeight="1">
      <c r="A97" s="7"/>
      <c r="B97" s="66"/>
      <c r="C97" s="66"/>
      <c r="D97" s="66"/>
      <c r="E97" s="66"/>
    </row>
  </sheetData>
  <sortState xmlns:xlrd2="http://schemas.microsoft.com/office/spreadsheetml/2017/richdata2" ref="A4:E50">
    <sortCondition ref="A4"/>
  </sortState>
  <phoneticPr fontId="51" type="noConversion"/>
  <conditionalFormatting sqref="B4:E39 B41:E50 C40">
    <cfRule type="cellIs" dxfId="57" priority="10" operator="lessThan">
      <formula>0</formula>
    </cfRule>
    <cfRule type="cellIs" dxfId="56" priority="11" operator="lessThan">
      <formula>0</formula>
    </cfRule>
  </conditionalFormatting>
  <conditionalFormatting sqref="B4:E39 B41:E98 C40">
    <cfRule type="cellIs" dxfId="55" priority="12" operator="equal">
      <formula>0</formula>
    </cfRule>
  </conditionalFormatting>
  <conditionalFormatting sqref="B40">
    <cfRule type="cellIs" dxfId="54" priority="7" operator="lessThan">
      <formula>0</formula>
    </cfRule>
    <cfRule type="cellIs" dxfId="53" priority="8" operator="lessThan">
      <formula>0</formula>
    </cfRule>
    <cfRule type="cellIs" dxfId="52" priority="9" operator="equal">
      <formula>0</formula>
    </cfRule>
  </conditionalFormatting>
  <conditionalFormatting sqref="D40">
    <cfRule type="cellIs" dxfId="51" priority="4" operator="lessThan">
      <formula>0</formula>
    </cfRule>
    <cfRule type="cellIs" dxfId="50" priority="5" operator="lessThan">
      <formula>0</formula>
    </cfRule>
    <cfRule type="cellIs" dxfId="49" priority="6" operator="equal">
      <formula>0</formula>
    </cfRule>
  </conditionalFormatting>
  <conditionalFormatting sqref="E40">
    <cfRule type="cellIs" dxfId="48" priority="1" operator="lessThan">
      <formula>0</formula>
    </cfRule>
    <cfRule type="cellIs" dxfId="47" priority="2" operator="lessThan">
      <formula>0</formula>
    </cfRule>
    <cfRule type="cellIs" dxfId="46" priority="3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4">
    <pageSetUpPr fitToPage="1"/>
  </sheetPr>
  <dimension ref="A1:M100"/>
  <sheetViews>
    <sheetView zoomScaleNormal="100" workbookViewId="0">
      <pane ySplit="3" topLeftCell="A79" activePane="bottomLeft" state="frozen"/>
      <selection pane="bottomLeft"/>
      <selection activeCell="G34" sqref="G34"/>
    </sheetView>
  </sheetViews>
  <sheetFormatPr defaultColWidth="18.85546875" defaultRowHeight="14.25" customHeight="1"/>
  <cols>
    <col min="2" max="6" width="18.85546875" style="20"/>
  </cols>
  <sheetData>
    <row r="1" spans="1:13" ht="15">
      <c r="A1" s="9" t="s">
        <v>436</v>
      </c>
    </row>
    <row r="2" spans="1:13" ht="12.75"/>
    <row r="3" spans="1:13" ht="73.5" customHeight="1">
      <c r="A3" s="6"/>
      <c r="B3" s="105" t="s">
        <v>437</v>
      </c>
      <c r="C3" s="105" t="s">
        <v>438</v>
      </c>
      <c r="D3" s="105" t="s">
        <v>439</v>
      </c>
      <c r="E3" s="105" t="s">
        <v>440</v>
      </c>
      <c r="F3" s="105" t="s">
        <v>441</v>
      </c>
      <c r="G3" s="105" t="s">
        <v>442</v>
      </c>
      <c r="H3" s="155" t="s">
        <v>443</v>
      </c>
      <c r="I3" s="105" t="s">
        <v>444</v>
      </c>
      <c r="J3" s="105" t="s">
        <v>445</v>
      </c>
      <c r="K3" s="105" t="s">
        <v>446</v>
      </c>
      <c r="L3" s="105" t="s">
        <v>447</v>
      </c>
      <c r="M3" s="105" t="s">
        <v>448</v>
      </c>
    </row>
    <row r="4" spans="1:13" ht="12.75">
      <c r="A4" s="202" t="s">
        <v>346</v>
      </c>
      <c r="B4" s="202">
        <v>2</v>
      </c>
      <c r="C4" s="243">
        <v>95</v>
      </c>
      <c r="D4" s="202"/>
      <c r="E4" s="243"/>
      <c r="F4" s="217">
        <v>95</v>
      </c>
      <c r="G4" s="202"/>
      <c r="H4" s="243"/>
      <c r="I4" s="202"/>
      <c r="J4" s="243"/>
      <c r="K4" s="202"/>
      <c r="L4" s="243"/>
      <c r="M4" s="57"/>
    </row>
    <row r="5" spans="1:13" s="41" customFormat="1" ht="14.25" customHeight="1">
      <c r="A5" s="202" t="s">
        <v>278</v>
      </c>
      <c r="B5" s="202">
        <v>2</v>
      </c>
      <c r="C5" s="243">
        <v>81</v>
      </c>
      <c r="D5" s="202"/>
      <c r="E5" s="243"/>
      <c r="F5" s="217">
        <v>81</v>
      </c>
      <c r="G5" s="202"/>
      <c r="H5" s="243"/>
      <c r="I5" s="202"/>
      <c r="J5" s="243"/>
      <c r="K5" s="202"/>
      <c r="L5" s="243"/>
      <c r="M5" s="57"/>
    </row>
    <row r="6" spans="1:13" s="41" customFormat="1" ht="14.25" customHeight="1">
      <c r="A6" s="202" t="s">
        <v>123</v>
      </c>
      <c r="B6" s="202">
        <v>1</v>
      </c>
      <c r="C6" s="243">
        <v>35</v>
      </c>
      <c r="D6" s="202"/>
      <c r="E6" s="243"/>
      <c r="F6" s="217">
        <v>35</v>
      </c>
      <c r="G6" s="202">
        <v>1</v>
      </c>
      <c r="H6" s="243">
        <v>35</v>
      </c>
      <c r="I6" s="202">
        <v>0</v>
      </c>
      <c r="J6" s="243">
        <v>0</v>
      </c>
      <c r="K6" s="202">
        <v>0</v>
      </c>
      <c r="L6" s="243">
        <v>0</v>
      </c>
      <c r="M6" s="57">
        <v>35</v>
      </c>
    </row>
    <row r="7" spans="1:13" s="41" customFormat="1" ht="14.25" customHeight="1">
      <c r="A7" s="202" t="s">
        <v>124</v>
      </c>
      <c r="B7" s="202">
        <v>1</v>
      </c>
      <c r="C7" s="243">
        <v>50</v>
      </c>
      <c r="D7" s="202">
        <v>1</v>
      </c>
      <c r="E7" s="243">
        <v>1</v>
      </c>
      <c r="F7" s="217">
        <v>51</v>
      </c>
      <c r="G7" s="202"/>
      <c r="H7" s="243"/>
      <c r="I7" s="202"/>
      <c r="J7" s="243"/>
      <c r="K7" s="202"/>
      <c r="L7" s="243"/>
      <c r="M7" s="57"/>
    </row>
    <row r="8" spans="1:13" ht="14.25" customHeight="1">
      <c r="A8" s="202" t="s">
        <v>126</v>
      </c>
      <c r="B8" s="202">
        <v>6</v>
      </c>
      <c r="C8" s="243">
        <v>296</v>
      </c>
      <c r="D8" s="202"/>
      <c r="E8" s="243"/>
      <c r="F8" s="217">
        <v>296</v>
      </c>
      <c r="G8" s="202"/>
      <c r="H8" s="243"/>
      <c r="I8" s="202"/>
      <c r="J8" s="243"/>
      <c r="K8" s="202"/>
      <c r="L8" s="243"/>
      <c r="M8" s="57"/>
    </row>
    <row r="9" spans="1:13" s="41" customFormat="1" ht="14.25" customHeight="1">
      <c r="A9" s="202" t="s">
        <v>127</v>
      </c>
      <c r="B9" s="202">
        <v>4</v>
      </c>
      <c r="C9" s="243">
        <v>141</v>
      </c>
      <c r="D9" s="202"/>
      <c r="E9" s="243"/>
      <c r="F9" s="217">
        <v>141</v>
      </c>
      <c r="G9" s="202"/>
      <c r="H9" s="243"/>
      <c r="I9" s="202"/>
      <c r="J9" s="243"/>
      <c r="K9" s="202"/>
      <c r="L9" s="243"/>
      <c r="M9" s="57"/>
    </row>
    <row r="10" spans="1:13" s="41" customFormat="1" ht="14.25" customHeight="1">
      <c r="A10" s="202" t="s">
        <v>305</v>
      </c>
      <c r="B10" s="202">
        <v>4</v>
      </c>
      <c r="C10" s="243">
        <v>133</v>
      </c>
      <c r="D10" s="202">
        <v>1</v>
      </c>
      <c r="E10" s="243">
        <v>13</v>
      </c>
      <c r="F10" s="217">
        <v>146</v>
      </c>
      <c r="G10" s="202"/>
      <c r="H10" s="243"/>
      <c r="I10" s="202"/>
      <c r="J10" s="243"/>
      <c r="K10" s="202"/>
      <c r="L10" s="243"/>
      <c r="M10" s="57"/>
    </row>
    <row r="11" spans="1:13" s="41" customFormat="1" ht="14.25" customHeight="1">
      <c r="A11" s="202" t="s">
        <v>133</v>
      </c>
      <c r="B11" s="202">
        <v>6</v>
      </c>
      <c r="C11" s="243">
        <v>273</v>
      </c>
      <c r="D11" s="202">
        <v>1</v>
      </c>
      <c r="E11" s="243">
        <v>25</v>
      </c>
      <c r="F11" s="217">
        <v>298</v>
      </c>
      <c r="G11" s="202"/>
      <c r="H11" s="243"/>
      <c r="I11" s="202"/>
      <c r="J11" s="243"/>
      <c r="K11" s="202"/>
      <c r="L11" s="243"/>
      <c r="M11" s="57"/>
    </row>
    <row r="12" spans="1:13" ht="14.25" customHeight="1">
      <c r="A12" s="202" t="s">
        <v>137</v>
      </c>
      <c r="B12" s="202">
        <v>6</v>
      </c>
      <c r="C12" s="243">
        <v>219</v>
      </c>
      <c r="D12" s="202"/>
      <c r="E12" s="243"/>
      <c r="F12" s="217">
        <v>219</v>
      </c>
      <c r="G12" s="202">
        <v>1</v>
      </c>
      <c r="H12" s="243">
        <v>35</v>
      </c>
      <c r="I12" s="202">
        <v>0</v>
      </c>
      <c r="J12" s="243">
        <v>0</v>
      </c>
      <c r="K12" s="202">
        <v>0</v>
      </c>
      <c r="L12" s="243">
        <v>0</v>
      </c>
      <c r="M12" s="57">
        <v>35</v>
      </c>
    </row>
    <row r="13" spans="1:13" ht="14.25" customHeight="1">
      <c r="A13" s="202" t="s">
        <v>139</v>
      </c>
      <c r="B13" s="202">
        <v>1</v>
      </c>
      <c r="C13" s="243">
        <v>43</v>
      </c>
      <c r="D13" s="202"/>
      <c r="E13" s="243"/>
      <c r="F13" s="217">
        <v>43</v>
      </c>
      <c r="G13" s="202"/>
      <c r="H13" s="243"/>
      <c r="I13" s="202"/>
      <c r="J13" s="243"/>
      <c r="K13" s="202"/>
      <c r="L13" s="243"/>
      <c r="M13" s="57"/>
    </row>
    <row r="14" spans="1:13" s="41" customFormat="1" ht="14.25" customHeight="1">
      <c r="A14" s="202" t="s">
        <v>142</v>
      </c>
      <c r="B14" s="202">
        <v>1</v>
      </c>
      <c r="C14" s="243">
        <v>42</v>
      </c>
      <c r="D14" s="202"/>
      <c r="E14" s="243"/>
      <c r="F14" s="217">
        <v>42</v>
      </c>
      <c r="G14" s="202">
        <v>1</v>
      </c>
      <c r="H14" s="243"/>
      <c r="I14" s="202"/>
      <c r="J14" s="243"/>
      <c r="K14" s="202"/>
      <c r="L14" s="243"/>
      <c r="M14" s="57"/>
    </row>
    <row r="15" spans="1:13" ht="14.25" customHeight="1">
      <c r="A15" s="202" t="s">
        <v>144</v>
      </c>
      <c r="B15" s="202">
        <v>1</v>
      </c>
      <c r="C15" s="243">
        <v>54</v>
      </c>
      <c r="D15" s="202"/>
      <c r="E15" s="243"/>
      <c r="F15" s="217">
        <v>54</v>
      </c>
      <c r="G15" s="202"/>
      <c r="H15" s="243"/>
      <c r="I15" s="202"/>
      <c r="J15" s="243"/>
      <c r="K15" s="202"/>
      <c r="L15" s="243"/>
      <c r="M15" s="57"/>
    </row>
    <row r="16" spans="1:13" ht="14.25" customHeight="1">
      <c r="A16" s="202" t="s">
        <v>148</v>
      </c>
      <c r="B16" s="202">
        <v>3</v>
      </c>
      <c r="C16" s="243">
        <v>146</v>
      </c>
      <c r="D16" s="202"/>
      <c r="E16" s="243"/>
      <c r="F16" s="217">
        <v>146</v>
      </c>
      <c r="G16" s="202"/>
      <c r="H16" s="243"/>
      <c r="I16" s="202"/>
      <c r="J16" s="243"/>
      <c r="K16" s="202"/>
      <c r="L16" s="243"/>
      <c r="M16" s="57"/>
    </row>
    <row r="17" spans="1:13" ht="14.25" customHeight="1">
      <c r="A17" s="202" t="s">
        <v>149</v>
      </c>
      <c r="B17" s="202">
        <v>4</v>
      </c>
      <c r="C17" s="243">
        <v>205</v>
      </c>
      <c r="D17" s="202"/>
      <c r="E17" s="243"/>
      <c r="F17" s="217">
        <v>205</v>
      </c>
      <c r="G17" s="202"/>
      <c r="H17" s="243"/>
      <c r="I17" s="202"/>
      <c r="J17" s="243"/>
      <c r="K17" s="202"/>
      <c r="L17" s="243"/>
      <c r="M17" s="57"/>
    </row>
    <row r="18" spans="1:13" ht="14.25" customHeight="1">
      <c r="A18" s="202" t="s">
        <v>151</v>
      </c>
      <c r="B18" s="202">
        <v>2</v>
      </c>
      <c r="C18" s="243">
        <v>116</v>
      </c>
      <c r="D18" s="202"/>
      <c r="E18" s="243"/>
      <c r="F18" s="217">
        <v>116</v>
      </c>
      <c r="G18" s="202">
        <v>1</v>
      </c>
      <c r="H18" s="243">
        <v>65</v>
      </c>
      <c r="I18" s="202"/>
      <c r="J18" s="243"/>
      <c r="K18" s="202"/>
      <c r="L18" s="243"/>
      <c r="M18" s="57">
        <v>65</v>
      </c>
    </row>
    <row r="19" spans="1:13" ht="14.25" customHeight="1">
      <c r="A19" s="202" t="s">
        <v>152</v>
      </c>
      <c r="B19" s="202">
        <v>9</v>
      </c>
      <c r="C19" s="243">
        <v>464</v>
      </c>
      <c r="D19" s="202"/>
      <c r="E19" s="243"/>
      <c r="F19" s="217">
        <v>464</v>
      </c>
      <c r="G19" s="202"/>
      <c r="H19" s="243"/>
      <c r="I19" s="202"/>
      <c r="J19" s="243"/>
      <c r="K19" s="202"/>
      <c r="L19" s="243"/>
      <c r="M19" s="57"/>
    </row>
    <row r="20" spans="1:13" ht="14.25" customHeight="1">
      <c r="A20" s="202" t="s">
        <v>154</v>
      </c>
      <c r="B20" s="202">
        <v>10</v>
      </c>
      <c r="C20" s="243">
        <v>380</v>
      </c>
      <c r="D20" s="202">
        <v>1</v>
      </c>
      <c r="E20" s="243">
        <v>11</v>
      </c>
      <c r="F20" s="217">
        <v>390</v>
      </c>
      <c r="G20" s="202"/>
      <c r="H20" s="243"/>
      <c r="I20" s="202"/>
      <c r="J20" s="243"/>
      <c r="K20" s="202"/>
      <c r="L20" s="243"/>
      <c r="M20" s="57"/>
    </row>
    <row r="21" spans="1:13" ht="14.25" customHeight="1">
      <c r="A21" s="202" t="s">
        <v>347</v>
      </c>
      <c r="B21" s="202">
        <v>15</v>
      </c>
      <c r="C21" s="243">
        <v>438</v>
      </c>
      <c r="D21" s="202">
        <v>1</v>
      </c>
      <c r="E21" s="243">
        <v>3</v>
      </c>
      <c r="F21" s="217">
        <v>441</v>
      </c>
      <c r="G21" s="202"/>
      <c r="H21" s="243"/>
      <c r="I21" s="202">
        <v>2</v>
      </c>
      <c r="J21" s="243">
        <v>54</v>
      </c>
      <c r="K21" s="202"/>
      <c r="L21" s="243"/>
      <c r="M21" s="57">
        <v>54</v>
      </c>
    </row>
    <row r="22" spans="1:13" ht="14.25" customHeight="1">
      <c r="A22" s="202" t="s">
        <v>312</v>
      </c>
      <c r="B22" s="202">
        <v>7</v>
      </c>
      <c r="C22" s="243">
        <v>200</v>
      </c>
      <c r="D22" s="202"/>
      <c r="E22" s="243"/>
      <c r="F22" s="217">
        <v>200</v>
      </c>
      <c r="G22" s="202">
        <v>1</v>
      </c>
      <c r="H22" s="243">
        <v>35</v>
      </c>
      <c r="I22" s="202"/>
      <c r="J22" s="243"/>
      <c r="K22" s="202"/>
      <c r="L22" s="243"/>
      <c r="M22" s="57">
        <v>35</v>
      </c>
    </row>
    <row r="23" spans="1:13" ht="14.25" customHeight="1">
      <c r="A23" s="202" t="s">
        <v>155</v>
      </c>
      <c r="B23" s="202">
        <v>2</v>
      </c>
      <c r="C23" s="243">
        <v>96</v>
      </c>
      <c r="D23" s="202"/>
      <c r="E23" s="243"/>
      <c r="F23" s="217">
        <v>96</v>
      </c>
      <c r="G23" s="202"/>
      <c r="H23" s="243"/>
      <c r="I23" s="202"/>
      <c r="J23" s="243"/>
      <c r="K23" s="202"/>
      <c r="L23" s="243"/>
      <c r="M23" s="57"/>
    </row>
    <row r="24" spans="1:13" ht="14.25" customHeight="1">
      <c r="A24" s="202" t="s">
        <v>348</v>
      </c>
      <c r="B24" s="202">
        <v>7</v>
      </c>
      <c r="C24" s="243">
        <v>205</v>
      </c>
      <c r="D24" s="202">
        <v>1</v>
      </c>
      <c r="E24" s="243">
        <v>12</v>
      </c>
      <c r="F24" s="217">
        <v>217</v>
      </c>
      <c r="G24" s="202">
        <v>1</v>
      </c>
      <c r="H24" s="243">
        <v>45</v>
      </c>
      <c r="I24" s="202"/>
      <c r="J24" s="243"/>
      <c r="K24" s="202"/>
      <c r="L24" s="243"/>
      <c r="M24" s="57">
        <v>45</v>
      </c>
    </row>
    <row r="25" spans="1:13" s="41" customFormat="1" ht="14.25" customHeight="1">
      <c r="A25" s="202" t="s">
        <v>158</v>
      </c>
      <c r="B25" s="202">
        <v>1</v>
      </c>
      <c r="C25" s="243">
        <v>47</v>
      </c>
      <c r="D25" s="202"/>
      <c r="E25" s="243"/>
      <c r="F25" s="217">
        <v>47</v>
      </c>
      <c r="G25" s="202"/>
      <c r="H25" s="243"/>
      <c r="I25" s="202"/>
      <c r="J25" s="243"/>
      <c r="K25" s="202">
        <v>2</v>
      </c>
      <c r="L25" s="243">
        <v>10</v>
      </c>
      <c r="M25" s="57">
        <v>10</v>
      </c>
    </row>
    <row r="26" spans="1:13" ht="14.25" customHeight="1">
      <c r="A26" s="202" t="s">
        <v>160</v>
      </c>
      <c r="B26" s="202">
        <v>3</v>
      </c>
      <c r="C26" s="243">
        <v>122</v>
      </c>
      <c r="D26" s="202"/>
      <c r="E26" s="243"/>
      <c r="F26" s="217">
        <v>122</v>
      </c>
      <c r="G26" s="202">
        <v>1</v>
      </c>
      <c r="H26" s="243">
        <v>21</v>
      </c>
      <c r="I26" s="202"/>
      <c r="J26" s="243"/>
      <c r="K26" s="202"/>
      <c r="L26" s="243"/>
      <c r="M26" s="57">
        <v>21</v>
      </c>
    </row>
    <row r="27" spans="1:13" s="41" customFormat="1" ht="14.25" customHeight="1">
      <c r="A27" s="202" t="s">
        <v>165</v>
      </c>
      <c r="B27" s="202">
        <v>8</v>
      </c>
      <c r="C27" s="243">
        <v>395</v>
      </c>
      <c r="D27" s="202"/>
      <c r="E27" s="243"/>
      <c r="F27" s="217">
        <v>395</v>
      </c>
      <c r="G27" s="202"/>
      <c r="H27" s="243"/>
      <c r="I27" s="202"/>
      <c r="J27" s="243"/>
      <c r="K27" s="202"/>
      <c r="L27" s="243"/>
      <c r="M27" s="57"/>
    </row>
    <row r="28" spans="1:13" s="41" customFormat="1" ht="14.25" customHeight="1">
      <c r="A28" s="202" t="s">
        <v>168</v>
      </c>
      <c r="B28" s="202">
        <v>1</v>
      </c>
      <c r="C28" s="243">
        <v>37</v>
      </c>
      <c r="D28" s="202"/>
      <c r="E28" s="243"/>
      <c r="F28" s="217">
        <v>37</v>
      </c>
      <c r="G28" s="202"/>
      <c r="H28" s="243"/>
      <c r="I28" s="202"/>
      <c r="J28" s="243"/>
      <c r="K28" s="202"/>
      <c r="L28" s="243"/>
      <c r="M28" s="57"/>
    </row>
    <row r="29" spans="1:13" ht="14.25" customHeight="1">
      <c r="A29" s="202" t="s">
        <v>169</v>
      </c>
      <c r="B29" s="202">
        <v>3</v>
      </c>
      <c r="C29" s="243">
        <v>113</v>
      </c>
      <c r="D29" s="202"/>
      <c r="E29" s="243"/>
      <c r="F29" s="217">
        <v>113</v>
      </c>
      <c r="G29" s="202"/>
      <c r="H29" s="243"/>
      <c r="I29" s="202"/>
      <c r="J29" s="243"/>
      <c r="K29" s="202"/>
      <c r="L29" s="243"/>
      <c r="M29" s="57"/>
    </row>
    <row r="30" spans="1:13" s="41" customFormat="1" ht="14.25" customHeight="1">
      <c r="A30" s="202" t="s">
        <v>170</v>
      </c>
      <c r="B30" s="202">
        <v>5</v>
      </c>
      <c r="C30" s="243">
        <v>250</v>
      </c>
      <c r="D30" s="202">
        <v>1</v>
      </c>
      <c r="E30" s="243"/>
      <c r="F30" s="217">
        <v>250</v>
      </c>
      <c r="G30" s="202">
        <v>6</v>
      </c>
      <c r="H30" s="243">
        <v>200</v>
      </c>
      <c r="I30" s="202"/>
      <c r="J30" s="243"/>
      <c r="K30" s="202"/>
      <c r="L30" s="243"/>
      <c r="M30" s="57">
        <v>200</v>
      </c>
    </row>
    <row r="31" spans="1:13" ht="14.25" customHeight="1">
      <c r="A31" s="202" t="s">
        <v>173</v>
      </c>
      <c r="B31" s="202">
        <v>5</v>
      </c>
      <c r="C31" s="243">
        <v>271</v>
      </c>
      <c r="D31" s="202"/>
      <c r="E31" s="243"/>
      <c r="F31" s="217">
        <v>271</v>
      </c>
      <c r="G31" s="202"/>
      <c r="H31" s="243"/>
      <c r="I31" s="202"/>
      <c r="J31" s="243"/>
      <c r="K31" s="202"/>
      <c r="L31" s="243"/>
      <c r="M31" s="57"/>
    </row>
    <row r="32" spans="1:13" ht="14.25" customHeight="1">
      <c r="A32" s="202" t="s">
        <v>280</v>
      </c>
      <c r="B32" s="202">
        <v>1</v>
      </c>
      <c r="C32" s="243">
        <v>41</v>
      </c>
      <c r="D32" s="202"/>
      <c r="E32" s="243"/>
      <c r="F32" s="217">
        <v>41</v>
      </c>
      <c r="G32" s="202"/>
      <c r="H32" s="243"/>
      <c r="I32" s="202"/>
      <c r="J32" s="243"/>
      <c r="K32" s="202">
        <v>3</v>
      </c>
      <c r="L32" s="243">
        <v>19</v>
      </c>
      <c r="M32" s="57">
        <v>19</v>
      </c>
    </row>
    <row r="33" spans="1:13" ht="14.25" customHeight="1">
      <c r="A33" s="202" t="s">
        <v>176</v>
      </c>
      <c r="B33" s="202">
        <v>1</v>
      </c>
      <c r="C33" s="243">
        <v>44</v>
      </c>
      <c r="D33" s="202"/>
      <c r="E33" s="243"/>
      <c r="F33" s="217">
        <v>44</v>
      </c>
      <c r="G33" s="202"/>
      <c r="H33" s="243"/>
      <c r="I33" s="202"/>
      <c r="J33" s="243"/>
      <c r="K33" s="202"/>
      <c r="L33" s="243"/>
      <c r="M33" s="57"/>
    </row>
    <row r="34" spans="1:13" s="41" customFormat="1" ht="14.25" customHeight="1">
      <c r="A34" s="202" t="s">
        <v>316</v>
      </c>
      <c r="B34" s="202">
        <v>1</v>
      </c>
      <c r="C34" s="243">
        <v>30</v>
      </c>
      <c r="D34" s="202"/>
      <c r="E34" s="243"/>
      <c r="F34" s="217">
        <v>30</v>
      </c>
      <c r="G34" s="202"/>
      <c r="H34" s="243"/>
      <c r="I34" s="202"/>
      <c r="J34" s="243"/>
      <c r="K34" s="202"/>
      <c r="L34" s="243"/>
      <c r="M34" s="57"/>
    </row>
    <row r="35" spans="1:13" ht="14.25" customHeight="1">
      <c r="A35" s="202" t="s">
        <v>179</v>
      </c>
      <c r="B35" s="202">
        <v>1</v>
      </c>
      <c r="C35" s="243">
        <v>43</v>
      </c>
      <c r="D35" s="202"/>
      <c r="E35" s="243"/>
      <c r="F35" s="217">
        <v>43</v>
      </c>
      <c r="G35" s="202"/>
      <c r="H35" s="243"/>
      <c r="I35" s="202">
        <v>1</v>
      </c>
      <c r="J35" s="243"/>
      <c r="K35" s="202"/>
      <c r="L35" s="243"/>
      <c r="M35" s="57"/>
    </row>
    <row r="36" spans="1:13" ht="14.25" customHeight="1">
      <c r="A36" s="202" t="s">
        <v>182</v>
      </c>
      <c r="B36" s="202">
        <v>2</v>
      </c>
      <c r="C36" s="243">
        <v>104</v>
      </c>
      <c r="D36" s="202"/>
      <c r="E36" s="243"/>
      <c r="F36" s="217">
        <v>104</v>
      </c>
      <c r="G36" s="202">
        <v>1</v>
      </c>
      <c r="H36" s="243"/>
      <c r="I36" s="202">
        <v>7</v>
      </c>
      <c r="J36" s="243">
        <v>134</v>
      </c>
      <c r="K36" s="202"/>
      <c r="L36" s="243"/>
      <c r="M36" s="57">
        <v>134</v>
      </c>
    </row>
    <row r="37" spans="1:13" ht="14.25" customHeight="1">
      <c r="A37" s="202" t="s">
        <v>317</v>
      </c>
      <c r="B37" s="202">
        <v>4</v>
      </c>
      <c r="C37" s="243">
        <v>205</v>
      </c>
      <c r="D37" s="202"/>
      <c r="E37" s="243"/>
      <c r="F37" s="217">
        <v>205</v>
      </c>
      <c r="G37" s="202"/>
      <c r="H37" s="243"/>
      <c r="I37" s="202">
        <v>1</v>
      </c>
      <c r="J37" s="243"/>
      <c r="K37" s="202"/>
      <c r="L37" s="243"/>
      <c r="M37" s="57"/>
    </row>
    <row r="38" spans="1:13" ht="14.25" customHeight="1">
      <c r="A38" s="202" t="s">
        <v>185</v>
      </c>
      <c r="B38" s="202">
        <v>3</v>
      </c>
      <c r="C38" s="243">
        <v>91</v>
      </c>
      <c r="D38" s="202"/>
      <c r="E38" s="243"/>
      <c r="F38" s="217">
        <v>91</v>
      </c>
      <c r="G38" s="202">
        <v>1</v>
      </c>
      <c r="H38" s="243"/>
      <c r="I38" s="202"/>
      <c r="J38" s="243"/>
      <c r="K38" s="202"/>
      <c r="L38" s="243"/>
      <c r="M38" s="57"/>
    </row>
    <row r="39" spans="1:13" ht="14.25" customHeight="1">
      <c r="A39" s="202" t="s">
        <v>186</v>
      </c>
      <c r="B39" s="202">
        <v>4</v>
      </c>
      <c r="C39" s="243">
        <v>170</v>
      </c>
      <c r="D39" s="202"/>
      <c r="E39" s="243"/>
      <c r="F39" s="217">
        <v>170</v>
      </c>
      <c r="G39" s="202"/>
      <c r="H39" s="243"/>
      <c r="I39" s="202"/>
      <c r="J39" s="243"/>
      <c r="K39" s="202"/>
      <c r="L39" s="243"/>
      <c r="M39" s="57"/>
    </row>
    <row r="40" spans="1:13" ht="14.25" customHeight="1">
      <c r="A40" s="202" t="s">
        <v>282</v>
      </c>
      <c r="B40" s="202">
        <v>8</v>
      </c>
      <c r="C40" s="243">
        <v>432</v>
      </c>
      <c r="D40" s="202"/>
      <c r="E40" s="243"/>
      <c r="F40" s="217">
        <v>432</v>
      </c>
      <c r="G40" s="202">
        <v>2</v>
      </c>
      <c r="H40" s="243">
        <v>47</v>
      </c>
      <c r="I40" s="202"/>
      <c r="J40" s="243"/>
      <c r="K40" s="202"/>
      <c r="L40" s="243"/>
      <c r="M40" s="57">
        <v>47</v>
      </c>
    </row>
    <row r="41" spans="1:13" ht="14.25" customHeight="1">
      <c r="A41" s="202" t="s">
        <v>190</v>
      </c>
      <c r="B41" s="202">
        <v>1</v>
      </c>
      <c r="C41" s="243">
        <v>47</v>
      </c>
      <c r="D41" s="202"/>
      <c r="E41" s="243"/>
      <c r="F41" s="217">
        <v>47</v>
      </c>
      <c r="G41" s="202"/>
      <c r="H41" s="243"/>
      <c r="I41" s="202">
        <v>2</v>
      </c>
      <c r="J41" s="243">
        <v>75</v>
      </c>
      <c r="K41" s="202"/>
      <c r="L41" s="243"/>
      <c r="M41" s="57">
        <v>75</v>
      </c>
    </row>
    <row r="42" spans="1:13" ht="14.25" customHeight="1">
      <c r="A42" s="202" t="s">
        <v>192</v>
      </c>
      <c r="B42" s="202">
        <v>3</v>
      </c>
      <c r="C42" s="243">
        <v>77</v>
      </c>
      <c r="D42" s="202">
        <v>1</v>
      </c>
      <c r="E42" s="243">
        <v>5</v>
      </c>
      <c r="F42" s="217">
        <v>81</v>
      </c>
      <c r="G42" s="202"/>
      <c r="H42" s="243"/>
      <c r="I42" s="202"/>
      <c r="J42" s="243"/>
      <c r="K42" s="202"/>
      <c r="L42" s="243"/>
      <c r="M42" s="57"/>
    </row>
    <row r="43" spans="1:13" ht="14.25" customHeight="1">
      <c r="A43" s="202" t="s">
        <v>193</v>
      </c>
      <c r="B43" s="202">
        <v>2</v>
      </c>
      <c r="C43" s="243">
        <v>77</v>
      </c>
      <c r="D43" s="202"/>
      <c r="E43" s="243"/>
      <c r="F43" s="217">
        <v>77</v>
      </c>
      <c r="G43" s="202">
        <v>1</v>
      </c>
      <c r="H43" s="243">
        <v>22</v>
      </c>
      <c r="I43" s="202"/>
      <c r="J43" s="243"/>
      <c r="K43" s="202"/>
      <c r="L43" s="243"/>
      <c r="M43" s="57">
        <v>22</v>
      </c>
    </row>
    <row r="44" spans="1:13" ht="14.25" customHeight="1">
      <c r="A44" s="202" t="s">
        <v>318</v>
      </c>
      <c r="B44" s="202">
        <v>4</v>
      </c>
      <c r="C44" s="243">
        <v>195</v>
      </c>
      <c r="D44" s="202"/>
      <c r="E44" s="243"/>
      <c r="F44" s="217">
        <v>195</v>
      </c>
      <c r="G44" s="202"/>
      <c r="H44" s="243"/>
      <c r="I44" s="202"/>
      <c r="J44" s="243"/>
      <c r="K44" s="202"/>
      <c r="L44" s="243"/>
      <c r="M44" s="57"/>
    </row>
    <row r="45" spans="1:13" s="41" customFormat="1" ht="14.25" customHeight="1">
      <c r="A45" s="202" t="s">
        <v>196</v>
      </c>
      <c r="B45" s="202">
        <v>2</v>
      </c>
      <c r="C45" s="243">
        <v>65</v>
      </c>
      <c r="D45" s="202"/>
      <c r="E45" s="243"/>
      <c r="F45" s="217">
        <v>65</v>
      </c>
      <c r="G45" s="202"/>
      <c r="H45" s="243"/>
      <c r="I45" s="202"/>
      <c r="J45" s="243"/>
      <c r="K45" s="202">
        <v>1</v>
      </c>
      <c r="L45" s="243">
        <v>6</v>
      </c>
      <c r="M45" s="57">
        <v>6</v>
      </c>
    </row>
    <row r="46" spans="1:13" ht="14.25" customHeight="1">
      <c r="A46" s="202" t="s">
        <v>198</v>
      </c>
      <c r="B46" s="202">
        <v>10</v>
      </c>
      <c r="C46" s="243">
        <v>397</v>
      </c>
      <c r="D46" s="202"/>
      <c r="E46" s="243"/>
      <c r="F46" s="217">
        <v>397</v>
      </c>
      <c r="G46" s="202"/>
      <c r="H46" s="243"/>
      <c r="I46" s="202"/>
      <c r="J46" s="243"/>
      <c r="K46" s="202"/>
      <c r="L46" s="243"/>
      <c r="M46" s="57"/>
    </row>
    <row r="47" spans="1:13" ht="14.25" customHeight="1">
      <c r="A47" s="202" t="s">
        <v>199</v>
      </c>
      <c r="B47" s="202">
        <v>4</v>
      </c>
      <c r="C47" s="243">
        <v>157</v>
      </c>
      <c r="D47" s="202"/>
      <c r="E47" s="243"/>
      <c r="F47" s="217">
        <v>157</v>
      </c>
      <c r="G47" s="202"/>
      <c r="H47" s="243"/>
      <c r="I47" s="202"/>
      <c r="J47" s="243"/>
      <c r="K47" s="202"/>
      <c r="L47" s="243"/>
      <c r="M47" s="57"/>
    </row>
    <row r="48" spans="1:13" ht="14.25" customHeight="1">
      <c r="A48" s="202" t="s">
        <v>202</v>
      </c>
      <c r="B48" s="202">
        <v>3</v>
      </c>
      <c r="C48" s="243">
        <v>98</v>
      </c>
      <c r="D48" s="202"/>
      <c r="E48" s="243"/>
      <c r="F48" s="217">
        <v>98</v>
      </c>
      <c r="G48" s="202"/>
      <c r="H48" s="243"/>
      <c r="I48" s="202"/>
      <c r="J48" s="243"/>
      <c r="K48" s="202"/>
      <c r="L48" s="243"/>
      <c r="M48" s="57"/>
    </row>
    <row r="49" spans="1:13" s="41" customFormat="1" ht="14.25" customHeight="1">
      <c r="A49" s="202" t="s">
        <v>203</v>
      </c>
      <c r="B49" s="202">
        <v>6</v>
      </c>
      <c r="C49" s="243">
        <v>298</v>
      </c>
      <c r="D49" s="202"/>
      <c r="E49" s="243"/>
      <c r="F49" s="217">
        <v>298</v>
      </c>
      <c r="G49" s="202">
        <v>1</v>
      </c>
      <c r="H49" s="243">
        <v>30</v>
      </c>
      <c r="I49" s="202"/>
      <c r="J49" s="243"/>
      <c r="K49" s="202"/>
      <c r="L49" s="243"/>
      <c r="M49" s="57">
        <v>30</v>
      </c>
    </row>
    <row r="50" spans="1:13" s="41" customFormat="1" ht="14.25" customHeight="1">
      <c r="A50" s="2" t="s">
        <v>319</v>
      </c>
      <c r="B50" s="202">
        <v>7</v>
      </c>
      <c r="C50" s="243">
        <v>234</v>
      </c>
      <c r="D50" s="202"/>
      <c r="E50" s="243"/>
      <c r="F50" s="217">
        <v>234</v>
      </c>
      <c r="G50" s="202">
        <v>1</v>
      </c>
      <c r="H50" s="243">
        <v>40</v>
      </c>
      <c r="I50" s="202"/>
      <c r="J50" s="243"/>
      <c r="K50" s="202">
        <v>3</v>
      </c>
      <c r="L50" s="243">
        <v>18</v>
      </c>
      <c r="M50" s="57">
        <v>58</v>
      </c>
    </row>
    <row r="51" spans="1:13" ht="14.25" customHeight="1">
      <c r="A51" s="2" t="s">
        <v>206</v>
      </c>
      <c r="B51" s="23">
        <v>4</v>
      </c>
      <c r="C51" s="67">
        <v>182</v>
      </c>
      <c r="D51" s="23"/>
      <c r="E51" s="67"/>
      <c r="F51" s="67">
        <v>182</v>
      </c>
      <c r="G51" s="2"/>
      <c r="H51" s="57"/>
      <c r="I51" s="2"/>
      <c r="J51" s="57"/>
      <c r="K51" s="2"/>
      <c r="L51" s="57"/>
      <c r="M51" s="57"/>
    </row>
    <row r="52" spans="1:13" ht="14.25" customHeight="1">
      <c r="A52" s="2" t="s">
        <v>207</v>
      </c>
      <c r="B52" s="23">
        <v>8</v>
      </c>
      <c r="C52" s="67">
        <v>259</v>
      </c>
      <c r="D52" s="23"/>
      <c r="E52" s="67"/>
      <c r="F52" s="67">
        <v>259</v>
      </c>
      <c r="G52" s="2"/>
      <c r="H52" s="57"/>
      <c r="I52" s="2">
        <v>2</v>
      </c>
      <c r="J52" s="57">
        <v>45</v>
      </c>
      <c r="K52" s="2">
        <v>1</v>
      </c>
      <c r="L52" s="57">
        <v>22</v>
      </c>
      <c r="M52" s="57">
        <v>67</v>
      </c>
    </row>
    <row r="53" spans="1:13" ht="14.25" customHeight="1">
      <c r="A53" s="2" t="s">
        <v>208</v>
      </c>
      <c r="B53" s="23">
        <v>4</v>
      </c>
      <c r="C53" s="67">
        <v>153</v>
      </c>
      <c r="D53" s="23">
        <v>1</v>
      </c>
      <c r="E53" s="67">
        <v>22</v>
      </c>
      <c r="F53" s="67">
        <v>175</v>
      </c>
      <c r="G53" s="2"/>
      <c r="H53" s="57"/>
      <c r="I53" s="2"/>
      <c r="J53" s="57"/>
      <c r="K53" s="2"/>
      <c r="L53" s="57"/>
      <c r="M53" s="57"/>
    </row>
    <row r="54" spans="1:13" ht="14.25" customHeight="1">
      <c r="A54" s="2" t="s">
        <v>210</v>
      </c>
      <c r="B54" s="23">
        <v>1</v>
      </c>
      <c r="C54" s="67">
        <v>59</v>
      </c>
      <c r="D54" s="23"/>
      <c r="E54" s="67"/>
      <c r="F54" s="67">
        <v>59</v>
      </c>
      <c r="G54" s="2"/>
      <c r="H54" s="57"/>
      <c r="I54" s="2"/>
      <c r="J54" s="57"/>
      <c r="K54" s="2"/>
      <c r="L54" s="57"/>
      <c r="M54" s="57"/>
    </row>
    <row r="55" spans="1:13" ht="14.25" customHeight="1">
      <c r="A55" s="2" t="s">
        <v>349</v>
      </c>
      <c r="B55" s="23">
        <v>3</v>
      </c>
      <c r="C55" s="67">
        <v>50</v>
      </c>
      <c r="D55" s="23">
        <v>1</v>
      </c>
      <c r="E55" s="67"/>
      <c r="F55" s="67">
        <v>50</v>
      </c>
      <c r="G55" s="2"/>
      <c r="H55" s="57"/>
      <c r="I55" s="2"/>
      <c r="J55" s="57"/>
      <c r="K55" s="2"/>
      <c r="L55" s="57"/>
      <c r="M55" s="57"/>
    </row>
    <row r="56" spans="1:13" ht="14.25" customHeight="1">
      <c r="A56" s="2" t="s">
        <v>213</v>
      </c>
      <c r="B56" s="23">
        <v>2</v>
      </c>
      <c r="C56" s="67">
        <v>56</v>
      </c>
      <c r="D56" s="23"/>
      <c r="E56" s="67"/>
      <c r="F56" s="67">
        <v>56</v>
      </c>
      <c r="G56" s="2"/>
      <c r="H56" s="57"/>
      <c r="I56" s="2"/>
      <c r="J56" s="57"/>
      <c r="K56" s="2"/>
      <c r="L56" s="57"/>
      <c r="M56" s="57"/>
    </row>
    <row r="57" spans="1:13" ht="14.25" customHeight="1">
      <c r="A57" s="2" t="s">
        <v>357</v>
      </c>
      <c r="B57" s="23">
        <v>2</v>
      </c>
      <c r="C57" s="67">
        <v>73</v>
      </c>
      <c r="D57" s="23"/>
      <c r="E57" s="67"/>
      <c r="F57" s="67">
        <v>73</v>
      </c>
      <c r="G57" s="2"/>
      <c r="H57" s="57"/>
      <c r="I57" s="2"/>
      <c r="J57" s="57"/>
      <c r="K57" s="2"/>
      <c r="L57" s="57"/>
      <c r="M57" s="57"/>
    </row>
    <row r="58" spans="1:13" ht="14.25" customHeight="1">
      <c r="A58" s="2" t="s">
        <v>218</v>
      </c>
      <c r="B58" s="23">
        <v>13</v>
      </c>
      <c r="C58" s="67">
        <v>558</v>
      </c>
      <c r="D58" s="23">
        <v>1</v>
      </c>
      <c r="E58" s="67">
        <v>22</v>
      </c>
      <c r="F58" s="67">
        <v>580</v>
      </c>
      <c r="G58" s="2">
        <v>1</v>
      </c>
      <c r="H58" s="57">
        <v>48</v>
      </c>
      <c r="I58" s="2">
        <v>1</v>
      </c>
      <c r="J58" s="57">
        <v>12</v>
      </c>
      <c r="K58" s="2"/>
      <c r="L58" s="57"/>
      <c r="M58" s="57">
        <v>60</v>
      </c>
    </row>
    <row r="59" spans="1:13" ht="14.25" customHeight="1">
      <c r="A59" s="2" t="s">
        <v>219</v>
      </c>
      <c r="B59" s="23">
        <v>1</v>
      </c>
      <c r="C59" s="67">
        <v>67</v>
      </c>
      <c r="D59" s="23"/>
      <c r="E59" s="67"/>
      <c r="F59" s="67">
        <v>67</v>
      </c>
      <c r="G59" s="2">
        <v>2</v>
      </c>
      <c r="H59" s="57">
        <v>25</v>
      </c>
      <c r="I59" s="2"/>
      <c r="J59" s="57"/>
      <c r="K59" s="2"/>
      <c r="L59" s="57"/>
      <c r="M59" s="57">
        <v>25</v>
      </c>
    </row>
    <row r="60" spans="1:13" ht="14.25" customHeight="1">
      <c r="A60" s="2" t="s">
        <v>320</v>
      </c>
      <c r="B60" s="23">
        <v>4</v>
      </c>
      <c r="C60" s="67">
        <v>143</v>
      </c>
      <c r="D60" s="23"/>
      <c r="E60" s="67"/>
      <c r="F60" s="67">
        <v>143</v>
      </c>
      <c r="G60" s="2"/>
      <c r="H60" s="57"/>
      <c r="I60" s="2">
        <v>2</v>
      </c>
      <c r="J60" s="57">
        <v>27</v>
      </c>
      <c r="K60" s="2"/>
      <c r="L60" s="57"/>
      <c r="M60" s="57">
        <v>27</v>
      </c>
    </row>
    <row r="61" spans="1:13" ht="14.25" customHeight="1">
      <c r="A61" s="2" t="s">
        <v>220</v>
      </c>
      <c r="B61" s="23">
        <v>7</v>
      </c>
      <c r="C61" s="67">
        <v>479</v>
      </c>
      <c r="D61" s="23"/>
      <c r="E61" s="67"/>
      <c r="F61" s="67">
        <v>479</v>
      </c>
      <c r="G61" s="2"/>
      <c r="H61" s="57"/>
      <c r="I61" s="2"/>
      <c r="J61" s="57"/>
      <c r="K61" s="2"/>
      <c r="L61" s="57"/>
      <c r="M61" s="57"/>
    </row>
    <row r="62" spans="1:13" ht="14.25" customHeight="1">
      <c r="A62" s="2" t="s">
        <v>283</v>
      </c>
      <c r="B62" s="23">
        <v>1</v>
      </c>
      <c r="C62" s="67">
        <v>44</v>
      </c>
      <c r="D62" s="23"/>
      <c r="E62" s="67"/>
      <c r="F62" s="67">
        <v>44</v>
      </c>
      <c r="G62" s="2"/>
      <c r="H62" s="57"/>
      <c r="I62" s="2">
        <v>2</v>
      </c>
      <c r="J62" s="57">
        <v>8</v>
      </c>
      <c r="K62" s="2"/>
      <c r="L62" s="57"/>
      <c r="M62" s="57">
        <v>8</v>
      </c>
    </row>
    <row r="63" spans="1:13" ht="14.25" customHeight="1">
      <c r="A63" s="2" t="s">
        <v>223</v>
      </c>
      <c r="B63" s="23">
        <v>1</v>
      </c>
      <c r="C63" s="67">
        <v>43</v>
      </c>
      <c r="D63" s="23"/>
      <c r="E63" s="67"/>
      <c r="F63" s="67">
        <v>43</v>
      </c>
      <c r="G63" s="2">
        <v>1</v>
      </c>
      <c r="H63" s="57">
        <v>8</v>
      </c>
      <c r="I63" s="2"/>
      <c r="J63" s="57"/>
      <c r="K63" s="2">
        <v>3</v>
      </c>
      <c r="L63" s="57">
        <v>22</v>
      </c>
      <c r="M63" s="57">
        <v>30</v>
      </c>
    </row>
    <row r="64" spans="1:13" ht="14.25" customHeight="1">
      <c r="A64" s="2" t="s">
        <v>224</v>
      </c>
      <c r="B64" s="23">
        <v>7</v>
      </c>
      <c r="C64" s="67">
        <v>359</v>
      </c>
      <c r="D64" s="23"/>
      <c r="E64" s="67"/>
      <c r="F64" s="67">
        <v>359</v>
      </c>
      <c r="G64" s="2"/>
      <c r="H64" s="57"/>
      <c r="I64" s="2"/>
      <c r="J64" s="57"/>
      <c r="K64" s="2"/>
      <c r="L64" s="57"/>
      <c r="M64" s="57"/>
    </row>
    <row r="65" spans="1:13" ht="14.25" customHeight="1">
      <c r="A65" s="2" t="s">
        <v>225</v>
      </c>
      <c r="B65" s="23">
        <v>3</v>
      </c>
      <c r="C65" s="67">
        <v>176</v>
      </c>
      <c r="D65" s="23"/>
      <c r="E65" s="67"/>
      <c r="F65" s="67">
        <v>176</v>
      </c>
      <c r="G65" s="2">
        <v>1</v>
      </c>
      <c r="H65" s="57">
        <v>21</v>
      </c>
      <c r="I65" s="2"/>
      <c r="J65" s="57"/>
      <c r="K65" s="2"/>
      <c r="L65" s="57"/>
      <c r="M65" s="57">
        <v>21</v>
      </c>
    </row>
    <row r="66" spans="1:13" ht="14.25" customHeight="1">
      <c r="A66" s="2" t="s">
        <v>226</v>
      </c>
      <c r="B66" s="23">
        <v>3</v>
      </c>
      <c r="C66" s="67">
        <v>129</v>
      </c>
      <c r="D66" s="23">
        <v>1</v>
      </c>
      <c r="E66" s="67">
        <v>12</v>
      </c>
      <c r="F66" s="67">
        <v>141</v>
      </c>
      <c r="G66" s="2">
        <v>1</v>
      </c>
      <c r="H66" s="57">
        <v>40</v>
      </c>
      <c r="I66" s="2"/>
      <c r="J66" s="57"/>
      <c r="K66" s="2"/>
      <c r="L66" s="57"/>
      <c r="M66" s="57">
        <v>40</v>
      </c>
    </row>
    <row r="67" spans="1:13" ht="14.25" customHeight="1">
      <c r="A67" s="2" t="s">
        <v>228</v>
      </c>
      <c r="B67" s="23">
        <v>3</v>
      </c>
      <c r="C67" s="67">
        <v>105</v>
      </c>
      <c r="D67" s="23">
        <v>1</v>
      </c>
      <c r="E67" s="67">
        <v>6</v>
      </c>
      <c r="F67" s="67">
        <v>110</v>
      </c>
      <c r="G67" s="2">
        <v>1</v>
      </c>
      <c r="H67" s="57">
        <v>24</v>
      </c>
      <c r="I67" s="2"/>
      <c r="J67" s="57"/>
      <c r="K67" s="2"/>
      <c r="L67" s="57"/>
      <c r="M67" s="57">
        <v>24</v>
      </c>
    </row>
    <row r="68" spans="1:13" ht="14.25" customHeight="1">
      <c r="A68" s="2" t="s">
        <v>229</v>
      </c>
      <c r="B68" s="23">
        <v>3</v>
      </c>
      <c r="C68" s="67">
        <v>157</v>
      </c>
      <c r="D68" s="23"/>
      <c r="E68" s="67"/>
      <c r="F68" s="67">
        <v>157</v>
      </c>
      <c r="G68" s="2"/>
      <c r="H68" s="57"/>
      <c r="I68" s="2"/>
      <c r="J68" s="57"/>
      <c r="K68" s="2"/>
      <c r="L68" s="57"/>
      <c r="M68" s="57"/>
    </row>
    <row r="69" spans="1:13" ht="14.25" customHeight="1">
      <c r="A69" s="2" t="s">
        <v>322</v>
      </c>
      <c r="B69" s="23">
        <v>11</v>
      </c>
      <c r="C69" s="67">
        <v>455</v>
      </c>
      <c r="D69" s="23">
        <v>1</v>
      </c>
      <c r="E69" s="67">
        <v>22</v>
      </c>
      <c r="F69" s="67">
        <v>477</v>
      </c>
      <c r="G69" s="2">
        <v>1</v>
      </c>
      <c r="H69" s="57">
        <v>40</v>
      </c>
      <c r="I69" s="2"/>
      <c r="J69" s="57"/>
      <c r="K69" s="2"/>
      <c r="L69" s="57"/>
      <c r="M69" s="57">
        <v>40</v>
      </c>
    </row>
    <row r="70" spans="1:13" ht="14.25" customHeight="1">
      <c r="A70" s="2" t="s">
        <v>323</v>
      </c>
      <c r="B70" s="23">
        <v>3</v>
      </c>
      <c r="C70" s="67">
        <v>120</v>
      </c>
      <c r="D70" s="23">
        <v>1</v>
      </c>
      <c r="E70" s="67">
        <v>12</v>
      </c>
      <c r="F70" s="67">
        <v>132</v>
      </c>
      <c r="G70" s="2">
        <v>0</v>
      </c>
      <c r="H70" s="57"/>
      <c r="I70" s="2"/>
      <c r="J70" s="57"/>
      <c r="K70" s="2">
        <v>1</v>
      </c>
      <c r="L70" s="57">
        <v>6</v>
      </c>
      <c r="M70" s="57">
        <v>6</v>
      </c>
    </row>
    <row r="71" spans="1:13" ht="14.25" customHeight="1">
      <c r="A71" s="2" t="s">
        <v>350</v>
      </c>
      <c r="B71" s="23">
        <v>21</v>
      </c>
      <c r="C71" s="67">
        <v>671</v>
      </c>
      <c r="D71" s="23">
        <v>1</v>
      </c>
      <c r="E71" s="67">
        <v>15</v>
      </c>
      <c r="F71" s="67">
        <v>686</v>
      </c>
      <c r="G71" s="2">
        <v>1</v>
      </c>
      <c r="H71" s="57">
        <v>43</v>
      </c>
      <c r="I71" s="2">
        <v>1</v>
      </c>
      <c r="J71" s="57">
        <v>40</v>
      </c>
      <c r="K71" s="2"/>
      <c r="L71" s="57"/>
      <c r="M71" s="57">
        <v>83</v>
      </c>
    </row>
    <row r="72" spans="1:13" ht="14.25" customHeight="1">
      <c r="A72" s="2" t="s">
        <v>284</v>
      </c>
      <c r="B72" s="23">
        <v>5</v>
      </c>
      <c r="C72" s="67">
        <v>245</v>
      </c>
      <c r="D72" s="23"/>
      <c r="E72" s="67"/>
      <c r="F72" s="67">
        <v>245</v>
      </c>
      <c r="G72" s="2"/>
      <c r="H72" s="57"/>
      <c r="I72" s="2"/>
      <c r="J72" s="57"/>
      <c r="K72" s="2"/>
      <c r="L72" s="57"/>
      <c r="M72" s="57"/>
    </row>
    <row r="73" spans="1:13" ht="14.25" customHeight="1">
      <c r="A73" s="2" t="s">
        <v>232</v>
      </c>
      <c r="B73" s="23">
        <v>5</v>
      </c>
      <c r="C73" s="67">
        <v>178</v>
      </c>
      <c r="D73" s="23"/>
      <c r="E73" s="67"/>
      <c r="F73" s="67">
        <v>178</v>
      </c>
      <c r="G73" s="2"/>
      <c r="H73" s="57"/>
      <c r="I73" s="2"/>
      <c r="J73" s="57"/>
      <c r="K73" s="2"/>
      <c r="L73" s="57"/>
      <c r="M73" s="57"/>
    </row>
    <row r="74" spans="1:13" ht="14.25" customHeight="1">
      <c r="A74" s="2" t="s">
        <v>233</v>
      </c>
      <c r="B74" s="23">
        <v>4</v>
      </c>
      <c r="C74" s="67">
        <v>160</v>
      </c>
      <c r="D74" s="23">
        <v>1</v>
      </c>
      <c r="E74" s="67">
        <v>17</v>
      </c>
      <c r="F74" s="67">
        <v>176</v>
      </c>
      <c r="G74" s="2"/>
      <c r="H74" s="57"/>
      <c r="I74" s="2"/>
      <c r="J74" s="57"/>
      <c r="K74" s="2"/>
      <c r="L74" s="57"/>
      <c r="M74" s="57"/>
    </row>
    <row r="75" spans="1:13" ht="14.25" customHeight="1">
      <c r="A75" s="2" t="s">
        <v>234</v>
      </c>
      <c r="B75" s="23">
        <v>1</v>
      </c>
      <c r="C75" s="67">
        <v>55</v>
      </c>
      <c r="D75" s="23"/>
      <c r="E75" s="67"/>
      <c r="F75" s="67">
        <v>55</v>
      </c>
      <c r="G75" s="2"/>
      <c r="H75" s="57"/>
      <c r="I75" s="2"/>
      <c r="J75" s="57"/>
      <c r="K75" s="2"/>
      <c r="L75" s="57"/>
      <c r="M75" s="57"/>
    </row>
    <row r="76" spans="1:13" ht="14.25" customHeight="1">
      <c r="A76" s="2" t="s">
        <v>236</v>
      </c>
      <c r="B76" s="23">
        <v>3</v>
      </c>
      <c r="C76" s="67">
        <v>79</v>
      </c>
      <c r="D76" s="23">
        <v>1</v>
      </c>
      <c r="E76" s="67">
        <v>17</v>
      </c>
      <c r="F76" s="67">
        <v>96</v>
      </c>
      <c r="G76" s="2"/>
      <c r="H76" s="57"/>
      <c r="I76" s="2"/>
      <c r="J76" s="57"/>
      <c r="K76" s="2"/>
      <c r="L76" s="57"/>
      <c r="M76" s="57"/>
    </row>
    <row r="77" spans="1:13" ht="14.25" customHeight="1">
      <c r="A77" s="2" t="s">
        <v>238</v>
      </c>
      <c r="B77" s="23">
        <v>1</v>
      </c>
      <c r="C77" s="67">
        <v>53</v>
      </c>
      <c r="D77" s="23"/>
      <c r="E77" s="67"/>
      <c r="F77" s="67">
        <v>53</v>
      </c>
      <c r="G77" s="2"/>
      <c r="H77" s="57"/>
      <c r="I77" s="2"/>
      <c r="J77" s="57"/>
      <c r="K77" s="2"/>
      <c r="L77" s="57"/>
      <c r="M77" s="57"/>
    </row>
    <row r="78" spans="1:13" ht="14.25" customHeight="1">
      <c r="A78" s="2" t="s">
        <v>239</v>
      </c>
      <c r="B78" s="23">
        <v>9</v>
      </c>
      <c r="C78" s="67">
        <v>405</v>
      </c>
      <c r="D78" s="23"/>
      <c r="E78" s="67"/>
      <c r="F78" s="67">
        <v>405</v>
      </c>
      <c r="G78" s="2"/>
      <c r="H78" s="57"/>
      <c r="I78" s="2"/>
      <c r="J78" s="57"/>
      <c r="K78" s="2"/>
      <c r="L78" s="57"/>
      <c r="M78" s="57"/>
    </row>
    <row r="79" spans="1:13" ht="14.25" customHeight="1">
      <c r="A79" s="2" t="s">
        <v>351</v>
      </c>
      <c r="B79" s="23">
        <v>9</v>
      </c>
      <c r="C79" s="67">
        <v>444</v>
      </c>
      <c r="D79" s="23"/>
      <c r="E79" s="67"/>
      <c r="F79" s="67">
        <v>444</v>
      </c>
      <c r="G79" s="2"/>
      <c r="H79" s="57"/>
      <c r="I79" s="2">
        <v>2</v>
      </c>
      <c r="J79" s="57">
        <v>91</v>
      </c>
      <c r="K79" s="2"/>
      <c r="L79" s="57"/>
      <c r="M79" s="57">
        <v>91</v>
      </c>
    </row>
    <row r="80" spans="1:13" ht="14.25" customHeight="1">
      <c r="A80" s="2" t="s">
        <v>244</v>
      </c>
      <c r="B80" s="23">
        <v>1</v>
      </c>
      <c r="C80" s="67">
        <v>35</v>
      </c>
      <c r="D80" s="23"/>
      <c r="E80" s="67"/>
      <c r="F80" s="67">
        <v>35</v>
      </c>
      <c r="G80" s="2"/>
      <c r="H80" s="57"/>
      <c r="I80" s="2">
        <v>1</v>
      </c>
      <c r="J80" s="57">
        <v>3</v>
      </c>
      <c r="K80" s="2"/>
      <c r="L80" s="57"/>
      <c r="M80" s="57">
        <v>3</v>
      </c>
    </row>
    <row r="81" spans="1:13" ht="14.25" customHeight="1">
      <c r="A81" s="2" t="s">
        <v>326</v>
      </c>
      <c r="B81" s="23">
        <v>4</v>
      </c>
      <c r="C81" s="67">
        <v>99</v>
      </c>
      <c r="D81" s="23"/>
      <c r="E81" s="67"/>
      <c r="F81" s="67">
        <v>99</v>
      </c>
      <c r="G81" s="2"/>
      <c r="H81" s="57"/>
      <c r="I81" s="2"/>
      <c r="J81" s="57"/>
      <c r="K81" s="2">
        <v>1</v>
      </c>
      <c r="L81" s="57">
        <v>6</v>
      </c>
      <c r="M81" s="57">
        <v>6</v>
      </c>
    </row>
    <row r="82" spans="1:13" ht="14.25" customHeight="1">
      <c r="A82" s="2" t="s">
        <v>247</v>
      </c>
      <c r="B82" s="23">
        <v>2</v>
      </c>
      <c r="C82" s="67">
        <v>51</v>
      </c>
      <c r="D82" s="23"/>
      <c r="E82" s="67"/>
      <c r="F82" s="67">
        <v>51</v>
      </c>
      <c r="G82" s="2"/>
      <c r="H82" s="57"/>
      <c r="I82" s="2"/>
      <c r="J82" s="57"/>
      <c r="K82" s="2"/>
      <c r="L82" s="57"/>
      <c r="M82" s="57"/>
    </row>
    <row r="83" spans="1:13" ht="14.25" customHeight="1">
      <c r="A83" s="2" t="s">
        <v>249</v>
      </c>
      <c r="B83" s="23">
        <v>1</v>
      </c>
      <c r="C83" s="67">
        <v>52</v>
      </c>
      <c r="D83" s="23">
        <v>2</v>
      </c>
      <c r="E83" s="67">
        <v>28</v>
      </c>
      <c r="F83" s="67">
        <v>80</v>
      </c>
      <c r="G83" s="2"/>
      <c r="H83" s="57"/>
      <c r="I83" s="2"/>
      <c r="J83" s="57"/>
      <c r="K83" s="2"/>
      <c r="L83" s="57"/>
      <c r="M83" s="57"/>
    </row>
    <row r="84" spans="1:13" ht="14.25" customHeight="1">
      <c r="A84" s="2" t="s">
        <v>254</v>
      </c>
      <c r="B84" s="23">
        <v>1</v>
      </c>
      <c r="C84" s="67">
        <v>73</v>
      </c>
      <c r="D84" s="23"/>
      <c r="E84" s="67"/>
      <c r="F84" s="67">
        <v>73</v>
      </c>
      <c r="G84" s="2"/>
      <c r="H84" s="57"/>
      <c r="I84" s="2"/>
      <c r="J84" s="57"/>
      <c r="K84" s="2"/>
      <c r="L84" s="57"/>
      <c r="M84" s="57"/>
    </row>
    <row r="85" spans="1:13" ht="14.25" customHeight="1">
      <c r="A85" s="2" t="s">
        <v>256</v>
      </c>
      <c r="B85" s="23">
        <v>3</v>
      </c>
      <c r="C85" s="67">
        <v>99</v>
      </c>
      <c r="D85" s="23"/>
      <c r="E85" s="67"/>
      <c r="F85" s="67">
        <v>99</v>
      </c>
      <c r="G85" s="2"/>
      <c r="H85" s="57"/>
      <c r="I85" s="2">
        <v>1</v>
      </c>
      <c r="J85" s="57">
        <v>12</v>
      </c>
      <c r="K85" s="2"/>
      <c r="L85" s="57"/>
      <c r="M85" s="57">
        <v>12</v>
      </c>
    </row>
    <row r="86" spans="1:13" ht="14.25" customHeight="1">
      <c r="A86" s="2" t="s">
        <v>327</v>
      </c>
      <c r="B86" s="23">
        <v>5</v>
      </c>
      <c r="C86" s="67">
        <v>199</v>
      </c>
      <c r="D86" s="23">
        <v>2</v>
      </c>
      <c r="E86" s="67">
        <v>44</v>
      </c>
      <c r="F86" s="67">
        <v>242</v>
      </c>
      <c r="G86" s="2"/>
      <c r="H86" s="57"/>
      <c r="I86" s="2"/>
      <c r="J86" s="57"/>
      <c r="K86" s="2"/>
      <c r="L86" s="57"/>
      <c r="M86" s="57"/>
    </row>
    <row r="87" spans="1:13" ht="14.25" customHeight="1">
      <c r="A87" s="2" t="s">
        <v>257</v>
      </c>
      <c r="B87" s="23">
        <v>4</v>
      </c>
      <c r="C87" s="67">
        <v>121</v>
      </c>
      <c r="D87" s="23"/>
      <c r="E87" s="67"/>
      <c r="F87" s="67">
        <v>121</v>
      </c>
      <c r="G87" s="2">
        <v>1</v>
      </c>
      <c r="H87" s="57">
        <v>45</v>
      </c>
      <c r="I87" s="2">
        <v>1</v>
      </c>
      <c r="J87" s="57">
        <v>5</v>
      </c>
      <c r="K87" s="2">
        <v>2</v>
      </c>
      <c r="L87" s="57">
        <v>9</v>
      </c>
      <c r="M87" s="57">
        <v>59</v>
      </c>
    </row>
    <row r="88" spans="1:13" ht="14.25" customHeight="1">
      <c r="A88" s="2" t="s">
        <v>258</v>
      </c>
      <c r="B88" s="23">
        <v>3</v>
      </c>
      <c r="C88" s="67">
        <v>112</v>
      </c>
      <c r="D88" s="23">
        <v>1</v>
      </c>
      <c r="E88" s="67">
        <v>15</v>
      </c>
      <c r="F88" s="67">
        <v>127</v>
      </c>
      <c r="G88" s="2">
        <v>1</v>
      </c>
      <c r="H88" s="57">
        <v>4</v>
      </c>
      <c r="I88" s="2"/>
      <c r="J88" s="57"/>
      <c r="K88" s="2"/>
      <c r="L88" s="57"/>
      <c r="M88" s="57">
        <v>4</v>
      </c>
    </row>
    <row r="89" spans="1:13" ht="14.25" customHeight="1">
      <c r="A89" s="2" t="s">
        <v>285</v>
      </c>
      <c r="B89" s="23">
        <v>1</v>
      </c>
      <c r="C89" s="67">
        <v>44</v>
      </c>
      <c r="D89" s="23">
        <v>2</v>
      </c>
      <c r="E89" s="67">
        <v>31</v>
      </c>
      <c r="F89" s="67">
        <v>74</v>
      </c>
      <c r="G89" s="2"/>
      <c r="H89" s="57"/>
      <c r="I89" s="2"/>
      <c r="J89" s="57"/>
      <c r="K89" s="2"/>
      <c r="L89" s="57"/>
      <c r="M89" s="57"/>
    </row>
    <row r="90" spans="1:13" ht="14.25" customHeight="1">
      <c r="A90" s="2" t="s">
        <v>260</v>
      </c>
      <c r="B90" s="23">
        <v>7</v>
      </c>
      <c r="C90" s="67">
        <v>328</v>
      </c>
      <c r="D90" s="23"/>
      <c r="E90" s="67"/>
      <c r="F90" s="67">
        <v>328</v>
      </c>
      <c r="G90" s="2"/>
      <c r="H90" s="57"/>
      <c r="I90" s="2"/>
      <c r="J90" s="57"/>
      <c r="K90" s="2"/>
      <c r="L90" s="57"/>
      <c r="M90" s="57"/>
    </row>
    <row r="91" spans="1:13" ht="14.25" customHeight="1">
      <c r="A91" s="2" t="s">
        <v>449</v>
      </c>
      <c r="B91" s="23">
        <v>3</v>
      </c>
      <c r="C91" s="67">
        <v>168</v>
      </c>
      <c r="D91" s="23">
        <v>1</v>
      </c>
      <c r="E91" s="67"/>
      <c r="F91" s="67">
        <v>168</v>
      </c>
      <c r="G91" s="2"/>
      <c r="H91" s="57"/>
      <c r="I91" s="2"/>
      <c r="J91" s="57"/>
      <c r="K91" s="2"/>
      <c r="L91" s="57"/>
      <c r="M91" s="57"/>
    </row>
    <row r="92" spans="1:13" ht="14.25" customHeight="1">
      <c r="A92" s="2" t="s">
        <v>286</v>
      </c>
      <c r="B92" s="23">
        <v>1</v>
      </c>
      <c r="C92" s="67">
        <v>45</v>
      </c>
      <c r="D92" s="23">
        <v>1</v>
      </c>
      <c r="E92" s="67">
        <v>15</v>
      </c>
      <c r="F92" s="67">
        <v>59</v>
      </c>
      <c r="G92" s="2"/>
      <c r="H92" s="57"/>
      <c r="I92" s="2"/>
      <c r="J92" s="57"/>
      <c r="K92" s="2"/>
      <c r="L92" s="57"/>
      <c r="M92" s="57"/>
    </row>
    <row r="93" spans="1:13" ht="14.25" customHeight="1">
      <c r="A93" s="2"/>
      <c r="B93" s="23"/>
      <c r="C93" s="67"/>
      <c r="D93" s="23"/>
      <c r="E93" s="67"/>
      <c r="F93" s="67"/>
      <c r="G93" s="2"/>
      <c r="H93" s="57"/>
      <c r="I93" s="2"/>
      <c r="J93" s="57"/>
      <c r="K93" s="2"/>
      <c r="L93" s="57"/>
      <c r="M93" s="57"/>
    </row>
    <row r="94" spans="1:13" ht="13.5" customHeight="1">
      <c r="A94" s="7" t="s">
        <v>105</v>
      </c>
      <c r="B94" s="50">
        <v>3</v>
      </c>
      <c r="C94" s="293">
        <v>121</v>
      </c>
      <c r="D94" s="50">
        <v>1</v>
      </c>
      <c r="E94" s="293">
        <v>15</v>
      </c>
      <c r="F94" s="293">
        <v>127</v>
      </c>
      <c r="G94" s="7">
        <v>1</v>
      </c>
      <c r="H94" s="32">
        <v>35</v>
      </c>
      <c r="I94" s="7">
        <v>1</v>
      </c>
      <c r="J94" s="32">
        <v>19.5</v>
      </c>
      <c r="K94" s="7">
        <v>1</v>
      </c>
      <c r="L94" s="32">
        <v>9</v>
      </c>
      <c r="M94" s="32">
        <v>35</v>
      </c>
    </row>
    <row r="95" spans="1:13" ht="14.25" customHeight="1">
      <c r="A95" s="7" t="s">
        <v>104</v>
      </c>
      <c r="B95" s="66">
        <v>4.1011235955056176</v>
      </c>
      <c r="C95" s="232">
        <v>170.0561797752809</v>
      </c>
      <c r="D95" s="66">
        <v>1.125</v>
      </c>
      <c r="E95" s="232">
        <v>16.571428571428573</v>
      </c>
      <c r="F95" s="232">
        <v>173.88764044943821</v>
      </c>
      <c r="G95" s="15">
        <v>1.24</v>
      </c>
      <c r="H95" s="58">
        <v>41.571428571428569</v>
      </c>
      <c r="I95" s="15">
        <v>1.625</v>
      </c>
      <c r="J95" s="58">
        <v>36.142857142857146</v>
      </c>
      <c r="K95" s="15">
        <v>1.5454545454545454</v>
      </c>
      <c r="L95" s="58">
        <v>10.727272727272727</v>
      </c>
      <c r="M95" s="58">
        <v>42.771428571428572</v>
      </c>
    </row>
    <row r="96" spans="1:13" ht="14.25" customHeight="1">
      <c r="A96" s="7" t="s">
        <v>329</v>
      </c>
      <c r="B96" s="66">
        <v>365</v>
      </c>
      <c r="C96" s="232">
        <v>15135</v>
      </c>
      <c r="D96" s="66">
        <v>27</v>
      </c>
      <c r="E96" s="232">
        <v>348</v>
      </c>
      <c r="F96" s="232">
        <v>15476</v>
      </c>
      <c r="G96" s="15">
        <v>31</v>
      </c>
      <c r="H96" s="58">
        <v>873</v>
      </c>
      <c r="I96" s="15">
        <v>26</v>
      </c>
      <c r="J96" s="58">
        <v>506</v>
      </c>
      <c r="K96" s="15">
        <v>17</v>
      </c>
      <c r="L96" s="58">
        <v>118</v>
      </c>
      <c r="M96" s="58">
        <v>1497</v>
      </c>
    </row>
    <row r="97" spans="1:13" ht="14.25" customHeight="1">
      <c r="A97" s="7"/>
      <c r="B97" s="66"/>
      <c r="C97" s="232"/>
      <c r="D97" s="66"/>
      <c r="E97" s="232"/>
      <c r="F97" s="232"/>
      <c r="G97" s="15"/>
      <c r="H97" s="58"/>
      <c r="I97" s="15"/>
      <c r="J97" s="58"/>
      <c r="K97" s="15"/>
      <c r="L97" s="58"/>
      <c r="M97" s="58"/>
    </row>
    <row r="98" spans="1:13" ht="14.25" customHeight="1">
      <c r="A98" s="44" t="s">
        <v>450</v>
      </c>
    </row>
    <row r="99" spans="1:13" ht="14.25" customHeight="1">
      <c r="A99" s="44" t="s">
        <v>451</v>
      </c>
      <c r="B99" s="23"/>
      <c r="C99" s="23"/>
      <c r="D99" s="23"/>
      <c r="E99" s="23"/>
      <c r="F99" s="23"/>
    </row>
    <row r="100" spans="1:13" ht="14.25" customHeight="1">
      <c r="A100" s="224" t="s">
        <v>452</v>
      </c>
      <c r="B100" s="23"/>
      <c r="C100" s="23"/>
      <c r="D100" s="23"/>
      <c r="E100" s="23"/>
      <c r="F100" s="23"/>
    </row>
  </sheetData>
  <sortState xmlns:xlrd2="http://schemas.microsoft.com/office/spreadsheetml/2017/richdata2" ref="A4:F50">
    <sortCondition ref="A4"/>
  </sortState>
  <phoneticPr fontId="51" type="noConversion"/>
  <conditionalFormatting sqref="A4:M97">
    <cfRule type="cellIs" dxfId="45" priority="1" operator="equal">
      <formula>0</formula>
    </cfRule>
  </conditionalFormatting>
  <conditionalFormatting sqref="B4:E50">
    <cfRule type="cellIs" dxfId="44" priority="6" operator="lessThan">
      <formula>0</formula>
    </cfRule>
    <cfRule type="cellIs" dxfId="43" priority="7" operator="equal">
      <formula>0</formula>
    </cfRule>
  </conditionalFormatting>
  <conditionalFormatting sqref="G4:L50">
    <cfRule type="cellIs" dxfId="42" priority="5" operator="equal">
      <formula>0</formula>
    </cfRule>
  </conditionalFormatting>
  <conditionalFormatting sqref="G4:M50">
    <cfRule type="cellIs" dxfId="41" priority="3" operator="lessThan">
      <formula>0</formula>
    </cfRule>
  </conditionalFormatting>
  <conditionalFormatting sqref="M4:M50">
    <cfRule type="cellIs" dxfId="40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47" orientation="portrait" r:id="rId1"/>
  <headerFooter alignWithMargins="0">
    <oddFooter>&amp;L&amp;9Public Library Statistics 2022–23&amp;C&amp;9&amp;P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1:I100"/>
  <sheetViews>
    <sheetView zoomScaleNormal="100" workbookViewId="0">
      <pane ySplit="4" topLeftCell="A81" activePane="bottomLeft" state="frozen"/>
      <selection pane="bottomLeft"/>
      <selection activeCell="G34" sqref="G34"/>
    </sheetView>
  </sheetViews>
  <sheetFormatPr defaultColWidth="20" defaultRowHeight="14.25" customHeight="1"/>
  <cols>
    <col min="2" max="5" width="20" style="20"/>
    <col min="6" max="8" width="20" style="24"/>
    <col min="9" max="9" width="20" style="20"/>
  </cols>
  <sheetData>
    <row r="1" spans="1:9" ht="15">
      <c r="A1" s="9" t="s">
        <v>453</v>
      </c>
    </row>
    <row r="2" spans="1:9" ht="12.75">
      <c r="A2" s="3" t="s">
        <v>454</v>
      </c>
    </row>
    <row r="3" spans="1:9" ht="12.75">
      <c r="A3" s="3"/>
    </row>
    <row r="4" spans="1:9" s="91" customFormat="1" ht="38.450000000000003" customHeight="1">
      <c r="A4" s="101"/>
      <c r="B4" s="105" t="s">
        <v>455</v>
      </c>
      <c r="C4" s="105" t="s">
        <v>456</v>
      </c>
      <c r="D4" s="105" t="s">
        <v>457</v>
      </c>
      <c r="E4" s="105" t="s">
        <v>458</v>
      </c>
      <c r="F4" s="105" t="s">
        <v>459</v>
      </c>
      <c r="G4" s="105" t="s">
        <v>460</v>
      </c>
      <c r="H4" s="105" t="s">
        <v>461</v>
      </c>
      <c r="I4" s="105" t="s">
        <v>462</v>
      </c>
    </row>
    <row r="5" spans="1:9" ht="14.25" customHeight="1">
      <c r="A5" s="202" t="s">
        <v>346</v>
      </c>
      <c r="B5" s="231">
        <v>6533</v>
      </c>
      <c r="C5" s="231">
        <v>18109</v>
      </c>
      <c r="D5" s="231">
        <v>1858</v>
      </c>
      <c r="E5" s="231">
        <v>1469</v>
      </c>
      <c r="F5" s="231">
        <v>41</v>
      </c>
      <c r="G5" s="231">
        <v>187</v>
      </c>
      <c r="H5" s="231">
        <v>28197</v>
      </c>
      <c r="I5" s="231">
        <v>6570</v>
      </c>
    </row>
    <row r="6" spans="1:9" ht="14.25" customHeight="1">
      <c r="A6" s="202" t="s">
        <v>278</v>
      </c>
      <c r="B6" s="231">
        <v>2854</v>
      </c>
      <c r="C6" s="231">
        <v>6440</v>
      </c>
      <c r="D6" s="231">
        <v>647</v>
      </c>
      <c r="E6" s="231">
        <v>988</v>
      </c>
      <c r="F6" s="231">
        <v>29</v>
      </c>
      <c r="G6" s="231">
        <v>52</v>
      </c>
      <c r="H6" s="231">
        <v>11010</v>
      </c>
      <c r="I6" s="231">
        <v>92</v>
      </c>
    </row>
    <row r="7" spans="1:9" ht="14.25" customHeight="1">
      <c r="A7" s="202" t="s">
        <v>123</v>
      </c>
      <c r="B7" s="231">
        <v>249</v>
      </c>
      <c r="C7" s="231">
        <v>357</v>
      </c>
      <c r="D7" s="231">
        <v>81</v>
      </c>
      <c r="E7" s="231">
        <v>102</v>
      </c>
      <c r="F7" s="231">
        <v>3</v>
      </c>
      <c r="G7" s="231">
        <v>7</v>
      </c>
      <c r="H7" s="231">
        <v>799</v>
      </c>
      <c r="I7" s="231">
        <v>23</v>
      </c>
    </row>
    <row r="8" spans="1:9" ht="14.25" customHeight="1">
      <c r="A8" s="202" t="s">
        <v>124</v>
      </c>
      <c r="B8" s="231">
        <v>2789</v>
      </c>
      <c r="C8" s="231">
        <v>5970</v>
      </c>
      <c r="D8" s="231">
        <v>605</v>
      </c>
      <c r="E8" s="231">
        <v>993</v>
      </c>
      <c r="F8" s="231">
        <v>174</v>
      </c>
      <c r="G8" s="231">
        <v>530</v>
      </c>
      <c r="H8" s="231">
        <v>11061</v>
      </c>
      <c r="I8" s="231">
        <v>794</v>
      </c>
    </row>
    <row r="9" spans="1:9" ht="14.25" customHeight="1">
      <c r="A9" s="202" t="s">
        <v>126</v>
      </c>
      <c r="B9" s="231">
        <v>3991</v>
      </c>
      <c r="C9" s="231">
        <v>22798</v>
      </c>
      <c r="D9" s="231">
        <v>606</v>
      </c>
      <c r="E9" s="231">
        <v>1637</v>
      </c>
      <c r="F9" s="231">
        <v>11</v>
      </c>
      <c r="G9" s="231">
        <v>0</v>
      </c>
      <c r="H9" s="231">
        <v>29043</v>
      </c>
      <c r="I9" s="278">
        <v>0</v>
      </c>
    </row>
    <row r="10" spans="1:9" ht="14.25" customHeight="1">
      <c r="A10" s="202" t="s">
        <v>127</v>
      </c>
      <c r="B10" s="231">
        <v>3440</v>
      </c>
      <c r="C10" s="231">
        <v>4555</v>
      </c>
      <c r="D10" s="231">
        <v>418</v>
      </c>
      <c r="E10" s="231">
        <v>971</v>
      </c>
      <c r="F10" s="231">
        <v>22</v>
      </c>
      <c r="G10" s="231">
        <v>0</v>
      </c>
      <c r="H10" s="231">
        <v>9406</v>
      </c>
      <c r="I10" s="231">
        <v>360</v>
      </c>
    </row>
    <row r="11" spans="1:9" ht="14.25" customHeight="1">
      <c r="A11" s="202" t="s">
        <v>305</v>
      </c>
      <c r="B11" s="231">
        <v>215</v>
      </c>
      <c r="C11" s="231">
        <v>565</v>
      </c>
      <c r="D11" s="231">
        <v>106</v>
      </c>
      <c r="E11" s="231">
        <v>79</v>
      </c>
      <c r="F11" s="231">
        <v>22</v>
      </c>
      <c r="G11" s="231">
        <v>0</v>
      </c>
      <c r="H11" s="278">
        <v>987</v>
      </c>
      <c r="I11" s="231">
        <v>13</v>
      </c>
    </row>
    <row r="12" spans="1:9" ht="14.25" customHeight="1">
      <c r="A12" s="202" t="s">
        <v>133</v>
      </c>
      <c r="B12" s="231">
        <v>19078</v>
      </c>
      <c r="C12" s="231">
        <v>139407</v>
      </c>
      <c r="D12" s="231">
        <v>7020</v>
      </c>
      <c r="E12" s="231">
        <v>8023</v>
      </c>
      <c r="F12" s="231">
        <v>35</v>
      </c>
      <c r="G12" s="231">
        <v>10</v>
      </c>
      <c r="H12" s="231">
        <v>173573</v>
      </c>
      <c r="I12" s="231">
        <v>26687</v>
      </c>
    </row>
    <row r="13" spans="1:9" ht="14.25" customHeight="1">
      <c r="A13" s="202" t="s">
        <v>137</v>
      </c>
      <c r="B13" s="231">
        <v>8355</v>
      </c>
      <c r="C13" s="231">
        <v>15799</v>
      </c>
      <c r="D13" s="231">
        <v>854</v>
      </c>
      <c r="E13" s="231">
        <v>3097</v>
      </c>
      <c r="F13" s="231">
        <v>42</v>
      </c>
      <c r="G13" s="231">
        <v>608</v>
      </c>
      <c r="H13" s="231">
        <v>28755</v>
      </c>
      <c r="I13" s="231">
        <v>1176</v>
      </c>
    </row>
    <row r="14" spans="1:9" ht="14.25" customHeight="1">
      <c r="A14" s="202" t="s">
        <v>139</v>
      </c>
      <c r="B14" s="231">
        <v>89</v>
      </c>
      <c r="C14" s="231">
        <v>517</v>
      </c>
      <c r="D14" s="231">
        <v>53</v>
      </c>
      <c r="E14" s="231">
        <v>45</v>
      </c>
      <c r="F14" s="231">
        <v>11</v>
      </c>
      <c r="G14" s="231">
        <v>21</v>
      </c>
      <c r="H14" s="231">
        <v>736</v>
      </c>
      <c r="I14" s="231">
        <v>19</v>
      </c>
    </row>
    <row r="15" spans="1:9" ht="14.25" customHeight="1">
      <c r="A15" s="202" t="s">
        <v>142</v>
      </c>
      <c r="B15" s="231">
        <v>1301</v>
      </c>
      <c r="C15" s="231">
        <v>5701</v>
      </c>
      <c r="D15" s="231">
        <v>406</v>
      </c>
      <c r="E15" s="231">
        <v>571</v>
      </c>
      <c r="F15" s="231">
        <v>82</v>
      </c>
      <c r="G15" s="231">
        <v>0</v>
      </c>
      <c r="H15" s="231">
        <v>8061</v>
      </c>
      <c r="I15" s="231">
        <v>234</v>
      </c>
    </row>
    <row r="16" spans="1:9" ht="14.25" customHeight="1">
      <c r="A16" s="202" t="s">
        <v>144</v>
      </c>
      <c r="B16" s="231">
        <v>2736</v>
      </c>
      <c r="C16" s="231">
        <v>23092</v>
      </c>
      <c r="D16" s="231">
        <v>1753</v>
      </c>
      <c r="E16" s="231">
        <v>2009</v>
      </c>
      <c r="F16" s="231">
        <v>207</v>
      </c>
      <c r="G16" s="231">
        <v>38</v>
      </c>
      <c r="H16" s="231">
        <v>29835</v>
      </c>
      <c r="I16" s="231">
        <v>14309</v>
      </c>
    </row>
    <row r="17" spans="1:9" ht="14.25" customHeight="1">
      <c r="A17" s="202" t="s">
        <v>148</v>
      </c>
      <c r="B17" s="231">
        <v>9501</v>
      </c>
      <c r="C17" s="231">
        <v>57080</v>
      </c>
      <c r="D17" s="231">
        <v>6219</v>
      </c>
      <c r="E17" s="231">
        <v>6476</v>
      </c>
      <c r="F17" s="231">
        <v>318</v>
      </c>
      <c r="G17" s="231">
        <v>33</v>
      </c>
      <c r="H17" s="231">
        <v>79627</v>
      </c>
      <c r="I17" s="231">
        <v>18165</v>
      </c>
    </row>
    <row r="18" spans="1:9" ht="14.25" customHeight="1">
      <c r="A18" s="202" t="s">
        <v>149</v>
      </c>
      <c r="B18" s="231">
        <v>0</v>
      </c>
      <c r="C18" s="231">
        <v>70048</v>
      </c>
      <c r="D18" s="231">
        <v>3644</v>
      </c>
      <c r="E18" s="231">
        <v>5965</v>
      </c>
      <c r="F18" s="231">
        <v>17</v>
      </c>
      <c r="G18" s="231">
        <v>2705</v>
      </c>
      <c r="H18" s="231">
        <v>82379</v>
      </c>
      <c r="I18" s="231">
        <v>12682</v>
      </c>
    </row>
    <row r="19" spans="1:9" ht="14.25" customHeight="1">
      <c r="A19" s="202" t="s">
        <v>151</v>
      </c>
      <c r="B19" s="231">
        <v>4944</v>
      </c>
      <c r="C19" s="231">
        <v>24623</v>
      </c>
      <c r="D19" s="231">
        <v>1918</v>
      </c>
      <c r="E19" s="231">
        <v>2242</v>
      </c>
      <c r="F19" s="231">
        <v>3</v>
      </c>
      <c r="G19" s="231">
        <v>0</v>
      </c>
      <c r="H19" s="231">
        <v>33730</v>
      </c>
      <c r="I19" s="231">
        <v>9411</v>
      </c>
    </row>
    <row r="20" spans="1:9" ht="14.25" customHeight="1">
      <c r="A20" s="202" t="s">
        <v>152</v>
      </c>
      <c r="B20" s="231">
        <v>8260</v>
      </c>
      <c r="C20" s="231">
        <v>46979</v>
      </c>
      <c r="D20" s="231">
        <v>4991</v>
      </c>
      <c r="E20" s="231">
        <v>7112</v>
      </c>
      <c r="F20" s="231">
        <v>16</v>
      </c>
      <c r="G20" s="231">
        <v>132</v>
      </c>
      <c r="H20" s="231">
        <v>67490</v>
      </c>
      <c r="I20" s="231">
        <v>11740</v>
      </c>
    </row>
    <row r="21" spans="1:9" ht="14.25" customHeight="1">
      <c r="A21" s="202" t="s">
        <v>154</v>
      </c>
      <c r="B21" s="231">
        <v>18729</v>
      </c>
      <c r="C21" s="231">
        <v>34844</v>
      </c>
      <c r="D21" s="231">
        <v>3563</v>
      </c>
      <c r="E21" s="231">
        <v>6187</v>
      </c>
      <c r="F21" s="231">
        <v>239</v>
      </c>
      <c r="G21" s="231">
        <v>444</v>
      </c>
      <c r="H21" s="231">
        <v>64006</v>
      </c>
      <c r="I21" s="231">
        <v>2106</v>
      </c>
    </row>
    <row r="22" spans="1:9" ht="14.25" customHeight="1">
      <c r="A22" s="202" t="s">
        <v>347</v>
      </c>
      <c r="B22" s="231">
        <v>4424</v>
      </c>
      <c r="C22" s="231">
        <v>9585</v>
      </c>
      <c r="D22" s="231">
        <v>332</v>
      </c>
      <c r="E22" s="231">
        <v>4298</v>
      </c>
      <c r="F22" s="231">
        <v>154</v>
      </c>
      <c r="G22" s="231">
        <v>0</v>
      </c>
      <c r="H22" s="231">
        <v>18793</v>
      </c>
      <c r="I22" s="231">
        <v>573</v>
      </c>
    </row>
    <row r="23" spans="1:9" ht="14.25" customHeight="1">
      <c r="A23" s="202" t="s">
        <v>312</v>
      </c>
      <c r="B23" s="231">
        <v>9092</v>
      </c>
      <c r="C23" s="231">
        <v>24058</v>
      </c>
      <c r="D23" s="231">
        <v>1711</v>
      </c>
      <c r="E23" s="231">
        <v>3572</v>
      </c>
      <c r="F23" s="231">
        <v>89</v>
      </c>
      <c r="G23" s="231">
        <v>266</v>
      </c>
      <c r="H23" s="231">
        <v>38788</v>
      </c>
      <c r="I23" s="231">
        <v>1386</v>
      </c>
    </row>
    <row r="24" spans="1:9" ht="14.25" customHeight="1">
      <c r="A24" s="202" t="s">
        <v>155</v>
      </c>
      <c r="B24" s="231">
        <v>3420</v>
      </c>
      <c r="C24" s="231">
        <v>6003</v>
      </c>
      <c r="D24" s="231">
        <v>0</v>
      </c>
      <c r="E24" s="231">
        <v>3398</v>
      </c>
      <c r="F24" s="231">
        <v>130</v>
      </c>
      <c r="G24" s="231">
        <v>0</v>
      </c>
      <c r="H24" s="231">
        <v>12951</v>
      </c>
      <c r="I24" s="231">
        <v>1396</v>
      </c>
    </row>
    <row r="25" spans="1:9" ht="14.25" customHeight="1">
      <c r="A25" s="202" t="s">
        <v>348</v>
      </c>
      <c r="B25" s="231">
        <v>9818</v>
      </c>
      <c r="C25" s="231">
        <v>16291</v>
      </c>
      <c r="D25" s="231">
        <v>2507</v>
      </c>
      <c r="E25" s="231">
        <v>1645</v>
      </c>
      <c r="F25" s="231">
        <v>97</v>
      </c>
      <c r="G25" s="231">
        <v>203</v>
      </c>
      <c r="H25" s="231">
        <v>30561</v>
      </c>
      <c r="I25" s="231">
        <v>2490</v>
      </c>
    </row>
    <row r="26" spans="1:9" ht="14.25" customHeight="1">
      <c r="A26" s="202" t="s">
        <v>158</v>
      </c>
      <c r="B26" s="231">
        <v>304</v>
      </c>
      <c r="C26" s="231">
        <v>1221</v>
      </c>
      <c r="D26" s="231">
        <v>135</v>
      </c>
      <c r="E26" s="231">
        <v>201</v>
      </c>
      <c r="F26" s="231">
        <v>21</v>
      </c>
      <c r="G26" s="231">
        <v>0</v>
      </c>
      <c r="H26" s="231">
        <v>1882</v>
      </c>
      <c r="I26" s="231">
        <v>33</v>
      </c>
    </row>
    <row r="27" spans="1:9" ht="14.25" customHeight="1">
      <c r="A27" s="202" t="s">
        <v>160</v>
      </c>
      <c r="B27" s="231">
        <v>12658</v>
      </c>
      <c r="C27" s="231">
        <v>29557</v>
      </c>
      <c r="D27" s="231">
        <v>1632</v>
      </c>
      <c r="E27" s="231">
        <v>3600</v>
      </c>
      <c r="F27" s="231">
        <v>289</v>
      </c>
      <c r="G27" s="231">
        <v>524</v>
      </c>
      <c r="H27" s="231">
        <v>48260</v>
      </c>
      <c r="I27" s="231">
        <v>2938</v>
      </c>
    </row>
    <row r="28" spans="1:9" ht="14.25" customHeight="1">
      <c r="A28" s="202" t="s">
        <v>165</v>
      </c>
      <c r="B28" s="231">
        <v>3593</v>
      </c>
      <c r="C28" s="231">
        <v>33719</v>
      </c>
      <c r="D28" s="231">
        <v>1158</v>
      </c>
      <c r="E28" s="231">
        <v>4388</v>
      </c>
      <c r="F28" s="231">
        <v>92</v>
      </c>
      <c r="G28" s="231">
        <v>139</v>
      </c>
      <c r="H28" s="231">
        <v>43089</v>
      </c>
      <c r="I28" s="231">
        <v>7314</v>
      </c>
    </row>
    <row r="29" spans="1:9" ht="14.25" customHeight="1">
      <c r="A29" s="202" t="s">
        <v>168</v>
      </c>
      <c r="B29" s="231">
        <v>608</v>
      </c>
      <c r="C29" s="231">
        <v>932</v>
      </c>
      <c r="D29" s="231">
        <v>125</v>
      </c>
      <c r="E29" s="231">
        <v>430</v>
      </c>
      <c r="F29" s="231">
        <v>5</v>
      </c>
      <c r="G29" s="231">
        <v>24</v>
      </c>
      <c r="H29" s="231">
        <v>2124</v>
      </c>
      <c r="I29" s="231">
        <v>217</v>
      </c>
    </row>
    <row r="30" spans="1:9" ht="14.25" customHeight="1">
      <c r="A30" s="202" t="s">
        <v>169</v>
      </c>
      <c r="B30" s="231">
        <v>8742</v>
      </c>
      <c r="C30" s="231">
        <v>9299</v>
      </c>
      <c r="D30" s="231">
        <v>1058</v>
      </c>
      <c r="E30" s="231">
        <v>1188</v>
      </c>
      <c r="F30" s="231">
        <v>25</v>
      </c>
      <c r="G30" s="231">
        <v>38</v>
      </c>
      <c r="H30" s="231">
        <v>20350</v>
      </c>
      <c r="I30" s="231">
        <v>1181</v>
      </c>
    </row>
    <row r="31" spans="1:9" ht="14.25" customHeight="1">
      <c r="A31" s="202" t="s">
        <v>170</v>
      </c>
      <c r="B31" s="231">
        <v>21820</v>
      </c>
      <c r="C31" s="231">
        <v>122840</v>
      </c>
      <c r="D31" s="231">
        <v>7283</v>
      </c>
      <c r="E31" s="231">
        <v>5881</v>
      </c>
      <c r="F31" s="231">
        <v>228</v>
      </c>
      <c r="G31" s="231">
        <v>5260</v>
      </c>
      <c r="H31" s="231">
        <v>163312</v>
      </c>
      <c r="I31" s="231">
        <v>49232</v>
      </c>
    </row>
    <row r="32" spans="1:9" ht="14.25" customHeight="1">
      <c r="A32" s="202" t="s">
        <v>173</v>
      </c>
      <c r="B32" s="231">
        <v>6538</v>
      </c>
      <c r="C32" s="231">
        <v>35067</v>
      </c>
      <c r="D32" s="231">
        <v>4873</v>
      </c>
      <c r="E32" s="231">
        <v>2754</v>
      </c>
      <c r="F32" s="231">
        <v>15</v>
      </c>
      <c r="G32" s="231">
        <v>156</v>
      </c>
      <c r="H32" s="231">
        <v>49403</v>
      </c>
      <c r="I32" s="231">
        <v>13804</v>
      </c>
    </row>
    <row r="33" spans="1:9" ht="14.25" customHeight="1">
      <c r="A33" s="202" t="s">
        <v>280</v>
      </c>
      <c r="B33" s="231">
        <v>1466</v>
      </c>
      <c r="C33" s="231">
        <v>2135</v>
      </c>
      <c r="D33" s="231">
        <v>958</v>
      </c>
      <c r="E33" s="231">
        <v>192</v>
      </c>
      <c r="F33" s="231">
        <v>0</v>
      </c>
      <c r="G33" s="231">
        <v>0</v>
      </c>
      <c r="H33" s="231">
        <v>4751</v>
      </c>
      <c r="I33" s="231">
        <v>220</v>
      </c>
    </row>
    <row r="34" spans="1:9" ht="14.25" customHeight="1">
      <c r="A34" s="202" t="s">
        <v>176</v>
      </c>
      <c r="B34" s="231">
        <v>2732</v>
      </c>
      <c r="C34" s="231">
        <v>6674</v>
      </c>
      <c r="D34" s="231">
        <v>634</v>
      </c>
      <c r="E34" s="231">
        <v>947</v>
      </c>
      <c r="F34" s="231">
        <v>45</v>
      </c>
      <c r="G34" s="231">
        <v>135</v>
      </c>
      <c r="H34" s="231">
        <v>11167</v>
      </c>
      <c r="I34" s="231">
        <v>863</v>
      </c>
    </row>
    <row r="35" spans="1:9" ht="14.25" customHeight="1">
      <c r="A35" s="202" t="s">
        <v>316</v>
      </c>
      <c r="B35" s="231">
        <v>369</v>
      </c>
      <c r="C35" s="231">
        <v>409</v>
      </c>
      <c r="D35" s="231">
        <v>71</v>
      </c>
      <c r="E35" s="231">
        <v>64</v>
      </c>
      <c r="F35" s="231">
        <v>9</v>
      </c>
      <c r="G35" s="231">
        <v>11</v>
      </c>
      <c r="H35" s="231">
        <v>933</v>
      </c>
      <c r="I35" s="231">
        <v>32</v>
      </c>
    </row>
    <row r="36" spans="1:9" ht="14.25" customHeight="1">
      <c r="A36" s="202" t="s">
        <v>179</v>
      </c>
      <c r="B36" s="231">
        <v>1024</v>
      </c>
      <c r="C36" s="231">
        <v>2065</v>
      </c>
      <c r="D36" s="231">
        <v>371</v>
      </c>
      <c r="E36" s="231">
        <v>430</v>
      </c>
      <c r="F36" s="231">
        <v>35</v>
      </c>
      <c r="G36" s="231">
        <v>242</v>
      </c>
      <c r="H36" s="231">
        <v>4167</v>
      </c>
      <c r="I36" s="231">
        <v>177</v>
      </c>
    </row>
    <row r="37" spans="1:9" ht="14.25" customHeight="1">
      <c r="A37" s="202" t="s">
        <v>182</v>
      </c>
      <c r="B37" s="231">
        <v>3007</v>
      </c>
      <c r="C37" s="231">
        <v>13000</v>
      </c>
      <c r="D37" s="231">
        <v>275</v>
      </c>
      <c r="E37" s="231">
        <v>1555</v>
      </c>
      <c r="F37" s="231">
        <v>87</v>
      </c>
      <c r="G37" s="231">
        <v>188</v>
      </c>
      <c r="H37" s="231">
        <v>18112</v>
      </c>
      <c r="I37" s="231">
        <v>800</v>
      </c>
    </row>
    <row r="38" spans="1:9" ht="14.25" customHeight="1">
      <c r="A38" s="202" t="s">
        <v>317</v>
      </c>
      <c r="B38" s="231">
        <v>7684</v>
      </c>
      <c r="C38" s="231">
        <v>49243</v>
      </c>
      <c r="D38" s="231">
        <v>0</v>
      </c>
      <c r="E38" s="231">
        <v>20546</v>
      </c>
      <c r="F38" s="231">
        <v>5</v>
      </c>
      <c r="G38" s="231">
        <v>210</v>
      </c>
      <c r="H38" s="231">
        <v>77688</v>
      </c>
      <c r="I38" s="231">
        <v>25576</v>
      </c>
    </row>
    <row r="39" spans="1:9" ht="14.25" customHeight="1">
      <c r="A39" s="202" t="s">
        <v>185</v>
      </c>
      <c r="B39" s="231">
        <v>2174</v>
      </c>
      <c r="C39" s="231">
        <v>3852</v>
      </c>
      <c r="D39" s="231">
        <v>561</v>
      </c>
      <c r="E39" s="231">
        <v>656</v>
      </c>
      <c r="F39" s="231">
        <v>13</v>
      </c>
      <c r="G39" s="231">
        <v>0</v>
      </c>
      <c r="H39" s="231">
        <v>7256</v>
      </c>
      <c r="I39" s="231">
        <v>191</v>
      </c>
    </row>
    <row r="40" spans="1:9" ht="14.25" customHeight="1">
      <c r="A40" s="202" t="s">
        <v>186</v>
      </c>
      <c r="B40" s="231">
        <v>0</v>
      </c>
      <c r="C40" s="231">
        <v>40931</v>
      </c>
      <c r="D40" s="231">
        <v>0</v>
      </c>
      <c r="E40" s="231">
        <v>5814</v>
      </c>
      <c r="F40" s="231">
        <v>13</v>
      </c>
      <c r="G40" s="231">
        <v>0</v>
      </c>
      <c r="H40" s="231">
        <v>46758</v>
      </c>
      <c r="I40" s="231">
        <v>9120</v>
      </c>
    </row>
    <row r="41" spans="1:9" ht="14.25" customHeight="1">
      <c r="A41" s="202" t="s">
        <v>282</v>
      </c>
      <c r="B41" s="231">
        <v>12827</v>
      </c>
      <c r="C41" s="231">
        <v>61233</v>
      </c>
      <c r="D41" s="231">
        <v>4224</v>
      </c>
      <c r="E41" s="231">
        <v>5561</v>
      </c>
      <c r="F41" s="231">
        <v>96</v>
      </c>
      <c r="G41" s="231">
        <v>0</v>
      </c>
      <c r="H41" s="231">
        <v>83941</v>
      </c>
      <c r="I41" s="231">
        <v>47266</v>
      </c>
    </row>
    <row r="42" spans="1:9" ht="14.25" customHeight="1">
      <c r="A42" s="202" t="s">
        <v>190</v>
      </c>
      <c r="B42" s="231">
        <v>1031</v>
      </c>
      <c r="C42" s="231">
        <v>2051</v>
      </c>
      <c r="D42" s="231">
        <v>276</v>
      </c>
      <c r="E42" s="231">
        <v>591</v>
      </c>
      <c r="F42" s="231">
        <v>9</v>
      </c>
      <c r="G42" s="231">
        <v>88</v>
      </c>
      <c r="H42" s="231">
        <v>4046</v>
      </c>
      <c r="I42" s="231">
        <v>415</v>
      </c>
    </row>
    <row r="43" spans="1:9" ht="14.25" customHeight="1">
      <c r="A43" s="202" t="s">
        <v>192</v>
      </c>
      <c r="B43" s="231">
        <v>3385</v>
      </c>
      <c r="C43" s="231">
        <v>6448</v>
      </c>
      <c r="D43" s="231">
        <v>671</v>
      </c>
      <c r="E43" s="231">
        <v>1080</v>
      </c>
      <c r="F43" s="231">
        <v>0</v>
      </c>
      <c r="G43" s="231">
        <v>37</v>
      </c>
      <c r="H43" s="231">
        <v>11621</v>
      </c>
      <c r="I43" s="231">
        <v>1041</v>
      </c>
    </row>
    <row r="44" spans="1:9" ht="14.25" customHeight="1">
      <c r="A44" s="202" t="s">
        <v>193</v>
      </c>
      <c r="B44" s="231">
        <v>0</v>
      </c>
      <c r="C44" s="231">
        <v>8838</v>
      </c>
      <c r="D44" s="231">
        <v>0</v>
      </c>
      <c r="E44" s="231">
        <v>2218</v>
      </c>
      <c r="F44" s="231">
        <v>4</v>
      </c>
      <c r="G44" s="231">
        <v>54</v>
      </c>
      <c r="H44" s="231">
        <v>11114</v>
      </c>
      <c r="I44" s="231">
        <v>770</v>
      </c>
    </row>
    <row r="45" spans="1:9" ht="14.25" customHeight="1">
      <c r="A45" s="202" t="s">
        <v>318</v>
      </c>
      <c r="B45" s="231">
        <v>7418</v>
      </c>
      <c r="C45" s="231">
        <v>22903</v>
      </c>
      <c r="D45" s="231">
        <v>2528</v>
      </c>
      <c r="E45" s="231">
        <v>2744</v>
      </c>
      <c r="F45" s="231">
        <v>154</v>
      </c>
      <c r="G45" s="231">
        <v>0</v>
      </c>
      <c r="H45" s="231">
        <v>35747</v>
      </c>
      <c r="I45" s="231">
        <v>7080</v>
      </c>
    </row>
    <row r="46" spans="1:9" ht="14.25" customHeight="1">
      <c r="A46" s="202" t="s">
        <v>196</v>
      </c>
      <c r="B46" s="231">
        <v>711</v>
      </c>
      <c r="C46" s="231">
        <v>1478</v>
      </c>
      <c r="D46" s="231">
        <v>319</v>
      </c>
      <c r="E46" s="231">
        <v>455</v>
      </c>
      <c r="F46" s="231">
        <v>9</v>
      </c>
      <c r="G46" s="231">
        <v>116</v>
      </c>
      <c r="H46" s="231">
        <v>3088</v>
      </c>
      <c r="I46" s="231">
        <v>20</v>
      </c>
    </row>
    <row r="47" spans="1:9" ht="14.25" customHeight="1">
      <c r="A47" s="202" t="s">
        <v>198</v>
      </c>
      <c r="B47" s="231">
        <v>17847</v>
      </c>
      <c r="C47" s="231">
        <v>42440</v>
      </c>
      <c r="D47" s="231">
        <v>2057</v>
      </c>
      <c r="E47" s="231">
        <v>6352</v>
      </c>
      <c r="F47" s="231">
        <v>86</v>
      </c>
      <c r="G47" s="231">
        <v>6227</v>
      </c>
      <c r="H47" s="231">
        <v>75009</v>
      </c>
      <c r="I47" s="231">
        <v>6803</v>
      </c>
    </row>
    <row r="48" spans="1:9" ht="14.25" customHeight="1">
      <c r="A48" s="202" t="s">
        <v>199</v>
      </c>
      <c r="B48" s="231">
        <v>0</v>
      </c>
      <c r="C48" s="231">
        <v>19556</v>
      </c>
      <c r="D48" s="231">
        <v>1417</v>
      </c>
      <c r="E48" s="231">
        <v>3970</v>
      </c>
      <c r="F48" s="231">
        <v>46</v>
      </c>
      <c r="G48" s="231">
        <v>687</v>
      </c>
      <c r="H48" s="231">
        <v>25676</v>
      </c>
      <c r="I48" s="231">
        <v>9147</v>
      </c>
    </row>
    <row r="49" spans="1:9" ht="14.25" customHeight="1">
      <c r="A49" s="202" t="s">
        <v>202</v>
      </c>
      <c r="B49" s="231">
        <v>0</v>
      </c>
      <c r="C49" s="231">
        <v>4338</v>
      </c>
      <c r="D49" s="231">
        <v>177</v>
      </c>
      <c r="E49" s="231">
        <v>916</v>
      </c>
      <c r="F49" s="231">
        <v>231</v>
      </c>
      <c r="G49" s="231">
        <v>191</v>
      </c>
      <c r="H49" s="231">
        <v>5853</v>
      </c>
      <c r="I49" s="231">
        <v>191</v>
      </c>
    </row>
    <row r="50" spans="1:9" ht="14.25" customHeight="1">
      <c r="A50" s="202" t="s">
        <v>203</v>
      </c>
      <c r="B50" s="231">
        <v>4650</v>
      </c>
      <c r="C50" s="231">
        <v>50302</v>
      </c>
      <c r="D50" s="231">
        <v>7252</v>
      </c>
      <c r="E50" s="231">
        <v>6002</v>
      </c>
      <c r="F50" s="231">
        <v>270</v>
      </c>
      <c r="G50" s="231">
        <v>156</v>
      </c>
      <c r="H50" s="231">
        <v>68632</v>
      </c>
      <c r="I50" s="231">
        <v>18013</v>
      </c>
    </row>
    <row r="51" spans="1:9" ht="14.25" customHeight="1">
      <c r="A51" s="2" t="s">
        <v>319</v>
      </c>
      <c r="B51" s="231">
        <v>7185</v>
      </c>
      <c r="C51" s="231">
        <v>22926</v>
      </c>
      <c r="D51" s="231">
        <v>0</v>
      </c>
      <c r="E51" s="231">
        <v>4459</v>
      </c>
      <c r="F51" s="231">
        <v>0</v>
      </c>
      <c r="G51" s="231">
        <v>865</v>
      </c>
      <c r="H51" s="231">
        <v>35435</v>
      </c>
      <c r="I51" s="231">
        <v>1046</v>
      </c>
    </row>
    <row r="52" spans="1:9" ht="14.25" customHeight="1">
      <c r="A52" s="2" t="s">
        <v>206</v>
      </c>
      <c r="B52" s="33">
        <v>3972</v>
      </c>
      <c r="C52" s="33">
        <v>19332</v>
      </c>
      <c r="D52" s="33">
        <v>1410</v>
      </c>
      <c r="E52" s="33">
        <v>2463</v>
      </c>
      <c r="F52" s="72">
        <v>113</v>
      </c>
      <c r="G52" s="72">
        <v>451</v>
      </c>
      <c r="H52" s="72">
        <v>27741</v>
      </c>
      <c r="I52" s="33">
        <v>3329</v>
      </c>
    </row>
    <row r="53" spans="1:9" ht="14.25" customHeight="1">
      <c r="A53" s="2" t="s">
        <v>207</v>
      </c>
      <c r="B53" s="33">
        <v>12228</v>
      </c>
      <c r="C53" s="33">
        <v>12577</v>
      </c>
      <c r="D53" s="33">
        <v>1374</v>
      </c>
      <c r="E53" s="33">
        <v>1413</v>
      </c>
      <c r="F53" s="72">
        <v>165</v>
      </c>
      <c r="G53" s="72">
        <v>42</v>
      </c>
      <c r="H53" s="72">
        <v>27799</v>
      </c>
      <c r="I53" s="33">
        <v>1165</v>
      </c>
    </row>
    <row r="54" spans="1:9" ht="14.25" customHeight="1">
      <c r="A54" s="2" t="s">
        <v>208</v>
      </c>
      <c r="B54" s="33">
        <v>3389</v>
      </c>
      <c r="C54" s="33">
        <v>7495</v>
      </c>
      <c r="D54" s="33">
        <v>0</v>
      </c>
      <c r="E54" s="33">
        <v>2800</v>
      </c>
      <c r="F54" s="72">
        <v>311</v>
      </c>
      <c r="G54" s="72">
        <v>0</v>
      </c>
      <c r="H54" s="72">
        <v>13995</v>
      </c>
      <c r="I54" s="33">
        <v>258</v>
      </c>
    </row>
    <row r="55" spans="1:9" ht="14.25" customHeight="1">
      <c r="A55" s="2" t="s">
        <v>210</v>
      </c>
      <c r="B55" s="33">
        <v>4581</v>
      </c>
      <c r="C55" s="33">
        <v>7489</v>
      </c>
      <c r="D55" s="33">
        <v>685</v>
      </c>
      <c r="E55" s="33">
        <v>1035</v>
      </c>
      <c r="F55" s="72">
        <v>0</v>
      </c>
      <c r="G55" s="72">
        <v>718</v>
      </c>
      <c r="H55" s="72">
        <v>14508</v>
      </c>
      <c r="I55" s="33">
        <v>4180</v>
      </c>
    </row>
    <row r="56" spans="1:9" ht="14.25" customHeight="1">
      <c r="A56" s="2" t="s">
        <v>349</v>
      </c>
      <c r="B56" s="33">
        <v>766</v>
      </c>
      <c r="C56" s="33">
        <v>1103</v>
      </c>
      <c r="D56" s="33">
        <v>159</v>
      </c>
      <c r="E56" s="33">
        <v>307</v>
      </c>
      <c r="F56" s="72">
        <v>7</v>
      </c>
      <c r="G56" s="72">
        <v>96</v>
      </c>
      <c r="H56" s="72">
        <v>2438</v>
      </c>
      <c r="I56" s="33">
        <v>90</v>
      </c>
    </row>
    <row r="57" spans="1:9" ht="14.25" customHeight="1">
      <c r="A57" s="2" t="s">
        <v>213</v>
      </c>
      <c r="B57" s="33">
        <v>1505</v>
      </c>
      <c r="C57" s="33">
        <v>8260</v>
      </c>
      <c r="D57" s="33">
        <v>697</v>
      </c>
      <c r="E57" s="33">
        <v>690</v>
      </c>
      <c r="F57" s="72">
        <v>186</v>
      </c>
      <c r="G57" s="72">
        <v>58</v>
      </c>
      <c r="H57" s="72">
        <v>11396</v>
      </c>
      <c r="I57" s="33">
        <v>1524</v>
      </c>
    </row>
    <row r="58" spans="1:9" ht="14.25" customHeight="1">
      <c r="A58" s="2" t="s">
        <v>357</v>
      </c>
      <c r="B58" s="33">
        <v>4230</v>
      </c>
      <c r="C58" s="33">
        <v>6066</v>
      </c>
      <c r="D58" s="33" t="s">
        <v>463</v>
      </c>
      <c r="E58" s="33">
        <v>1274</v>
      </c>
      <c r="F58" s="72">
        <v>59</v>
      </c>
      <c r="G58" s="72">
        <v>20</v>
      </c>
      <c r="H58" s="72">
        <v>11649</v>
      </c>
      <c r="I58" s="33">
        <v>594</v>
      </c>
    </row>
    <row r="59" spans="1:9" ht="14.25" customHeight="1">
      <c r="A59" s="2" t="s">
        <v>218</v>
      </c>
      <c r="B59" s="33">
        <v>34558</v>
      </c>
      <c r="C59" s="33">
        <v>107473</v>
      </c>
      <c r="D59" s="33">
        <v>11574</v>
      </c>
      <c r="E59" s="33">
        <v>13258</v>
      </c>
      <c r="F59" s="72">
        <v>244</v>
      </c>
      <c r="G59" s="72">
        <v>3768</v>
      </c>
      <c r="H59" s="72">
        <v>170875</v>
      </c>
      <c r="I59" s="33">
        <v>25999</v>
      </c>
    </row>
    <row r="60" spans="1:9" ht="14.25" customHeight="1">
      <c r="A60" s="2" t="s">
        <v>219</v>
      </c>
      <c r="B60" s="33">
        <v>5769</v>
      </c>
      <c r="C60" s="33">
        <v>13174</v>
      </c>
      <c r="D60" s="33">
        <v>564</v>
      </c>
      <c r="E60" s="33">
        <v>1150</v>
      </c>
      <c r="F60" s="72">
        <v>31</v>
      </c>
      <c r="G60" s="72">
        <v>161</v>
      </c>
      <c r="H60" s="72">
        <v>20849</v>
      </c>
      <c r="I60" s="33">
        <v>9016</v>
      </c>
    </row>
    <row r="61" spans="1:9" ht="14.25" customHeight="1">
      <c r="A61" s="2" t="s">
        <v>320</v>
      </c>
      <c r="B61" s="33">
        <v>242</v>
      </c>
      <c r="C61" s="33">
        <v>5312</v>
      </c>
      <c r="D61" s="33">
        <v>355</v>
      </c>
      <c r="E61" s="33">
        <v>706</v>
      </c>
      <c r="F61" s="72">
        <v>44</v>
      </c>
      <c r="G61" s="72">
        <v>26</v>
      </c>
      <c r="H61" s="72">
        <v>6685</v>
      </c>
      <c r="I61" s="33">
        <v>119</v>
      </c>
    </row>
    <row r="62" spans="1:9" ht="14.25" customHeight="1">
      <c r="A62" s="2" t="s">
        <v>220</v>
      </c>
      <c r="B62" s="33">
        <v>17531</v>
      </c>
      <c r="C62" s="33">
        <v>47515</v>
      </c>
      <c r="D62" s="33">
        <v>0</v>
      </c>
      <c r="E62" s="33">
        <v>8302</v>
      </c>
      <c r="F62" s="72">
        <v>268</v>
      </c>
      <c r="G62" s="72">
        <v>108</v>
      </c>
      <c r="H62" s="72">
        <v>73724</v>
      </c>
      <c r="I62" s="33">
        <v>7007</v>
      </c>
    </row>
    <row r="63" spans="1:9" ht="14.25" customHeight="1">
      <c r="A63" s="2" t="s">
        <v>283</v>
      </c>
      <c r="B63" s="33">
        <v>744</v>
      </c>
      <c r="C63" s="33">
        <v>1275</v>
      </c>
      <c r="D63" s="33">
        <v>146</v>
      </c>
      <c r="E63" s="33">
        <v>118</v>
      </c>
      <c r="F63" s="72">
        <v>21</v>
      </c>
      <c r="G63" s="72">
        <v>15</v>
      </c>
      <c r="H63" s="72">
        <v>2319</v>
      </c>
      <c r="I63" s="33">
        <v>149</v>
      </c>
    </row>
    <row r="64" spans="1:9" ht="14.25" customHeight="1">
      <c r="A64" s="2" t="s">
        <v>223</v>
      </c>
      <c r="B64" s="33">
        <v>1072</v>
      </c>
      <c r="C64" s="33">
        <v>2188</v>
      </c>
      <c r="D64" s="33">
        <v>748</v>
      </c>
      <c r="E64" s="33">
        <v>972</v>
      </c>
      <c r="F64" s="72">
        <v>11</v>
      </c>
      <c r="G64" s="72">
        <v>32</v>
      </c>
      <c r="H64" s="72">
        <v>5023</v>
      </c>
      <c r="I64" s="33">
        <v>26</v>
      </c>
    </row>
    <row r="65" spans="1:9" ht="14.25" customHeight="1">
      <c r="A65" s="2" t="s">
        <v>224</v>
      </c>
      <c r="B65" s="33">
        <v>9150</v>
      </c>
      <c r="C65" s="33">
        <v>75525</v>
      </c>
      <c r="D65" s="33">
        <v>9432</v>
      </c>
      <c r="E65" s="33">
        <v>4403</v>
      </c>
      <c r="F65" s="72">
        <v>49</v>
      </c>
      <c r="G65" s="72">
        <v>883</v>
      </c>
      <c r="H65" s="72">
        <v>99442</v>
      </c>
      <c r="I65" s="33">
        <v>27037</v>
      </c>
    </row>
    <row r="66" spans="1:9" ht="14.25" customHeight="1">
      <c r="A66" s="2" t="s">
        <v>225</v>
      </c>
      <c r="B66" s="33">
        <v>5760</v>
      </c>
      <c r="C66" s="33">
        <v>42420</v>
      </c>
      <c r="D66" s="33">
        <v>0</v>
      </c>
      <c r="E66" s="33">
        <v>0</v>
      </c>
      <c r="F66" s="72">
        <v>12</v>
      </c>
      <c r="G66" s="72">
        <v>0</v>
      </c>
      <c r="H66" s="72">
        <v>48192</v>
      </c>
      <c r="I66" s="33">
        <v>6800</v>
      </c>
    </row>
    <row r="67" spans="1:9" ht="14.25" customHeight="1">
      <c r="A67" s="2" t="s">
        <v>226</v>
      </c>
      <c r="B67" s="33">
        <v>11043</v>
      </c>
      <c r="C67" s="33">
        <v>17517</v>
      </c>
      <c r="D67" s="33">
        <v>1658</v>
      </c>
      <c r="E67" s="33">
        <v>3552</v>
      </c>
      <c r="F67" s="72">
        <v>217</v>
      </c>
      <c r="G67" s="72">
        <v>0</v>
      </c>
      <c r="H67" s="72">
        <v>33987</v>
      </c>
      <c r="I67" s="33">
        <v>578</v>
      </c>
    </row>
    <row r="68" spans="1:9" ht="14.25" customHeight="1">
      <c r="A68" s="2" t="s">
        <v>228</v>
      </c>
      <c r="B68" s="33">
        <v>2033</v>
      </c>
      <c r="C68" s="33">
        <v>6077</v>
      </c>
      <c r="D68" s="33">
        <v>527</v>
      </c>
      <c r="E68" s="33">
        <v>1161</v>
      </c>
      <c r="F68" s="72">
        <v>26</v>
      </c>
      <c r="G68" s="72">
        <v>0</v>
      </c>
      <c r="H68" s="72">
        <v>9824</v>
      </c>
      <c r="I68" s="33">
        <v>432</v>
      </c>
    </row>
    <row r="69" spans="1:9" ht="14.25" customHeight="1">
      <c r="A69" s="2" t="s">
        <v>229</v>
      </c>
      <c r="B69" s="33">
        <v>7919</v>
      </c>
      <c r="C69" s="33">
        <v>39330</v>
      </c>
      <c r="D69" s="33">
        <v>1775</v>
      </c>
      <c r="E69" s="33">
        <v>1459</v>
      </c>
      <c r="F69" s="72">
        <v>150</v>
      </c>
      <c r="G69" s="72">
        <v>2962</v>
      </c>
      <c r="H69" s="72">
        <v>53595</v>
      </c>
      <c r="I69" s="33">
        <v>11399</v>
      </c>
    </row>
    <row r="70" spans="1:9" ht="14.25" customHeight="1">
      <c r="A70" s="2" t="s">
        <v>322</v>
      </c>
      <c r="B70" s="33">
        <v>27419</v>
      </c>
      <c r="C70" s="33">
        <v>60909</v>
      </c>
      <c r="D70" s="33">
        <v>6380</v>
      </c>
      <c r="E70" s="33">
        <v>7161</v>
      </c>
      <c r="F70" s="72">
        <v>752</v>
      </c>
      <c r="G70" s="72">
        <v>0</v>
      </c>
      <c r="H70" s="72">
        <v>102621</v>
      </c>
      <c r="I70" s="33">
        <v>2883</v>
      </c>
    </row>
    <row r="71" spans="1:9" ht="14.25" customHeight="1">
      <c r="A71" s="2" t="s">
        <v>323</v>
      </c>
      <c r="B71" s="33">
        <v>3061</v>
      </c>
      <c r="C71" s="33">
        <v>5967</v>
      </c>
      <c r="D71" s="33">
        <v>826</v>
      </c>
      <c r="E71" s="33">
        <v>1192</v>
      </c>
      <c r="F71" s="72">
        <v>37</v>
      </c>
      <c r="G71" s="72">
        <v>0</v>
      </c>
      <c r="H71" s="72">
        <v>11083</v>
      </c>
      <c r="I71" s="33">
        <v>1325</v>
      </c>
    </row>
    <row r="72" spans="1:9" ht="14.25" customHeight="1">
      <c r="A72" s="2" t="s">
        <v>350</v>
      </c>
      <c r="B72" s="33">
        <v>6107</v>
      </c>
      <c r="C72" s="33">
        <v>8588</v>
      </c>
      <c r="D72" s="33">
        <v>1224</v>
      </c>
      <c r="E72" s="33">
        <v>3135</v>
      </c>
      <c r="F72" s="72">
        <v>157</v>
      </c>
      <c r="G72" s="72">
        <v>3</v>
      </c>
      <c r="H72" s="72">
        <v>19214</v>
      </c>
      <c r="I72" s="33">
        <v>929</v>
      </c>
    </row>
    <row r="73" spans="1:9" ht="14.25" customHeight="1">
      <c r="A73" s="2" t="s">
        <v>284</v>
      </c>
      <c r="B73" s="33">
        <v>8566</v>
      </c>
      <c r="C73" s="33">
        <v>44567</v>
      </c>
      <c r="D73" s="33">
        <v>6138</v>
      </c>
      <c r="E73" s="33">
        <v>5306</v>
      </c>
      <c r="F73" s="72">
        <v>135</v>
      </c>
      <c r="G73" s="72">
        <v>0</v>
      </c>
      <c r="H73" s="72">
        <v>64712</v>
      </c>
      <c r="I73" s="33">
        <v>23755</v>
      </c>
    </row>
    <row r="74" spans="1:9" ht="14.25" customHeight="1">
      <c r="A74" s="2" t="s">
        <v>232</v>
      </c>
      <c r="B74" s="33">
        <v>6986</v>
      </c>
      <c r="C74" s="33">
        <v>15769</v>
      </c>
      <c r="D74" s="33">
        <v>1773</v>
      </c>
      <c r="E74" s="33">
        <v>2115</v>
      </c>
      <c r="F74" s="72">
        <v>157</v>
      </c>
      <c r="G74" s="72">
        <v>0</v>
      </c>
      <c r="H74" s="72">
        <v>26800</v>
      </c>
      <c r="I74" s="33">
        <v>6052</v>
      </c>
    </row>
    <row r="75" spans="1:9" ht="14.25" customHeight="1">
      <c r="A75" s="2" t="s">
        <v>233</v>
      </c>
      <c r="B75" s="33">
        <v>0</v>
      </c>
      <c r="C75" s="33">
        <v>27140</v>
      </c>
      <c r="D75" s="33">
        <v>0</v>
      </c>
      <c r="E75" s="33">
        <v>3287</v>
      </c>
      <c r="F75" s="72">
        <v>140</v>
      </c>
      <c r="G75" s="72">
        <v>3732</v>
      </c>
      <c r="H75" s="72">
        <v>34299</v>
      </c>
      <c r="I75" s="33">
        <v>1344</v>
      </c>
    </row>
    <row r="76" spans="1:9" ht="14.25" customHeight="1">
      <c r="A76" s="2" t="s">
        <v>234</v>
      </c>
      <c r="B76" s="33">
        <v>1032</v>
      </c>
      <c r="C76" s="33">
        <v>4355</v>
      </c>
      <c r="D76" s="33">
        <v>383</v>
      </c>
      <c r="E76" s="33">
        <v>871</v>
      </c>
      <c r="F76" s="72">
        <v>22</v>
      </c>
      <c r="G76" s="72">
        <v>86</v>
      </c>
      <c r="H76" s="72">
        <v>6749</v>
      </c>
      <c r="I76" s="33">
        <v>1302</v>
      </c>
    </row>
    <row r="77" spans="1:9" ht="14.25" customHeight="1">
      <c r="A77" s="2" t="s">
        <v>236</v>
      </c>
      <c r="B77" s="33">
        <v>1732</v>
      </c>
      <c r="C77" s="33">
        <v>3948</v>
      </c>
      <c r="D77" s="33">
        <v>619</v>
      </c>
      <c r="E77" s="33">
        <v>1233</v>
      </c>
      <c r="F77" s="72">
        <v>41</v>
      </c>
      <c r="G77" s="72">
        <v>234</v>
      </c>
      <c r="H77" s="72">
        <v>7807</v>
      </c>
      <c r="I77" s="33">
        <v>80</v>
      </c>
    </row>
    <row r="78" spans="1:9" ht="14.25" customHeight="1">
      <c r="A78" s="2" t="s">
        <v>238</v>
      </c>
      <c r="B78" s="33">
        <v>2510</v>
      </c>
      <c r="C78" s="33">
        <v>28539</v>
      </c>
      <c r="D78" s="33">
        <v>1594</v>
      </c>
      <c r="E78" s="33">
        <v>849</v>
      </c>
      <c r="F78" s="72">
        <v>206</v>
      </c>
      <c r="G78" s="72">
        <v>270</v>
      </c>
      <c r="H78" s="72">
        <v>33968</v>
      </c>
      <c r="I78" s="33">
        <v>11898</v>
      </c>
    </row>
    <row r="79" spans="1:9" ht="14.25" customHeight="1">
      <c r="A79" s="2" t="s">
        <v>239</v>
      </c>
      <c r="B79" s="33">
        <v>18979</v>
      </c>
      <c r="C79" s="33">
        <v>50673</v>
      </c>
      <c r="D79" s="33">
        <v>0</v>
      </c>
      <c r="E79" s="33">
        <v>8312</v>
      </c>
      <c r="F79" s="72">
        <v>102</v>
      </c>
      <c r="G79" s="72">
        <v>219</v>
      </c>
      <c r="H79" s="72">
        <v>78285</v>
      </c>
      <c r="I79" s="33">
        <v>6495</v>
      </c>
    </row>
    <row r="80" spans="1:9" ht="14.25" customHeight="1">
      <c r="A80" s="2" t="s">
        <v>351</v>
      </c>
      <c r="B80" s="33">
        <v>9987</v>
      </c>
      <c r="C80" s="33">
        <v>69688</v>
      </c>
      <c r="D80" s="33">
        <v>912</v>
      </c>
      <c r="E80" s="33">
        <v>1224</v>
      </c>
      <c r="F80" s="72">
        <v>50</v>
      </c>
      <c r="G80" s="72">
        <v>0</v>
      </c>
      <c r="H80" s="72">
        <v>81861</v>
      </c>
      <c r="I80" s="33">
        <v>22714</v>
      </c>
    </row>
    <row r="81" spans="1:9" ht="14.25" customHeight="1">
      <c r="A81" s="2" t="s">
        <v>244</v>
      </c>
      <c r="B81" s="33">
        <v>462</v>
      </c>
      <c r="C81" s="33">
        <v>430</v>
      </c>
      <c r="D81" s="33">
        <v>42</v>
      </c>
      <c r="E81" s="33">
        <v>136</v>
      </c>
      <c r="F81" s="72">
        <v>11</v>
      </c>
      <c r="G81" s="72">
        <v>0</v>
      </c>
      <c r="H81" s="72">
        <v>1081</v>
      </c>
      <c r="I81" s="33">
        <v>161</v>
      </c>
    </row>
    <row r="82" spans="1:9" ht="14.25" customHeight="1">
      <c r="A82" s="2" t="s">
        <v>326</v>
      </c>
      <c r="B82" s="33">
        <v>1416</v>
      </c>
      <c r="C82" s="33">
        <v>3791</v>
      </c>
      <c r="D82" s="33">
        <v>412</v>
      </c>
      <c r="E82" s="33">
        <v>733</v>
      </c>
      <c r="F82" s="72">
        <v>47</v>
      </c>
      <c r="G82" s="72">
        <v>11</v>
      </c>
      <c r="H82" s="72">
        <v>6410</v>
      </c>
      <c r="I82" s="33">
        <v>559</v>
      </c>
    </row>
    <row r="83" spans="1:9" ht="14.25" customHeight="1">
      <c r="A83" s="2" t="s">
        <v>247</v>
      </c>
      <c r="B83" s="33">
        <v>774</v>
      </c>
      <c r="C83" s="33">
        <v>1280</v>
      </c>
      <c r="D83" s="33">
        <v>136</v>
      </c>
      <c r="E83" s="33">
        <v>195</v>
      </c>
      <c r="F83" s="72">
        <v>9</v>
      </c>
      <c r="G83" s="72">
        <v>119</v>
      </c>
      <c r="H83" s="72">
        <v>2513</v>
      </c>
      <c r="I83" s="33">
        <v>32</v>
      </c>
    </row>
    <row r="84" spans="1:9" ht="14.25" customHeight="1">
      <c r="A84" s="2" t="s">
        <v>249</v>
      </c>
      <c r="B84" s="33">
        <v>3790</v>
      </c>
      <c r="C84" s="33">
        <v>10743</v>
      </c>
      <c r="D84" s="33">
        <v>2029</v>
      </c>
      <c r="E84" s="33">
        <v>2260</v>
      </c>
      <c r="F84" s="72">
        <v>364</v>
      </c>
      <c r="G84" s="72">
        <v>0</v>
      </c>
      <c r="H84" s="72">
        <v>19186</v>
      </c>
      <c r="I84" s="33">
        <v>949</v>
      </c>
    </row>
    <row r="85" spans="1:9" ht="14.25" customHeight="1">
      <c r="A85" s="2" t="s">
        <v>254</v>
      </c>
      <c r="B85" s="33">
        <v>4882</v>
      </c>
      <c r="C85" s="33">
        <v>19809</v>
      </c>
      <c r="D85" s="33">
        <v>1413</v>
      </c>
      <c r="E85" s="33">
        <v>1350</v>
      </c>
      <c r="F85" s="72">
        <v>0</v>
      </c>
      <c r="G85" s="72">
        <v>0</v>
      </c>
      <c r="H85" s="72">
        <v>27454</v>
      </c>
      <c r="I85" s="33">
        <v>12540</v>
      </c>
    </row>
    <row r="86" spans="1:9" ht="14.25" customHeight="1">
      <c r="A86" s="2" t="s">
        <v>256</v>
      </c>
      <c r="B86" s="33">
        <v>428</v>
      </c>
      <c r="C86" s="33">
        <v>556</v>
      </c>
      <c r="D86" s="33">
        <v>75</v>
      </c>
      <c r="E86" s="33">
        <v>118</v>
      </c>
      <c r="F86" s="72">
        <v>9</v>
      </c>
      <c r="G86" s="72">
        <v>0</v>
      </c>
      <c r="H86" s="72">
        <v>1186</v>
      </c>
      <c r="I86" s="33">
        <v>97</v>
      </c>
    </row>
    <row r="87" spans="1:9" ht="14.25" customHeight="1">
      <c r="A87" s="2" t="s">
        <v>327</v>
      </c>
      <c r="B87" s="33">
        <v>0</v>
      </c>
      <c r="C87" s="33">
        <v>20527</v>
      </c>
      <c r="D87" s="33">
        <v>1125</v>
      </c>
      <c r="E87" s="33">
        <v>2420</v>
      </c>
      <c r="F87" s="72">
        <v>288</v>
      </c>
      <c r="G87" s="72">
        <v>0</v>
      </c>
      <c r="H87" s="72">
        <v>24360</v>
      </c>
      <c r="I87" s="33">
        <v>2138</v>
      </c>
    </row>
    <row r="88" spans="1:9" ht="14.25" customHeight="1">
      <c r="A88" s="2" t="s">
        <v>257</v>
      </c>
      <c r="B88" s="33">
        <v>9513</v>
      </c>
      <c r="C88" s="33">
        <v>31597</v>
      </c>
      <c r="D88" s="33">
        <v>3612</v>
      </c>
      <c r="E88" s="33">
        <v>5499</v>
      </c>
      <c r="F88" s="72">
        <v>19</v>
      </c>
      <c r="G88" s="72">
        <v>564</v>
      </c>
      <c r="H88" s="72">
        <v>50804</v>
      </c>
      <c r="I88" s="33">
        <v>27250</v>
      </c>
    </row>
    <row r="89" spans="1:9" ht="14.25" customHeight="1">
      <c r="A89" s="2" t="s">
        <v>258</v>
      </c>
      <c r="B89" s="33">
        <v>5922</v>
      </c>
      <c r="C89" s="33">
        <v>18771</v>
      </c>
      <c r="D89" s="33">
        <v>1731</v>
      </c>
      <c r="E89" s="33">
        <v>2076</v>
      </c>
      <c r="F89" s="72">
        <v>159</v>
      </c>
      <c r="G89" s="72">
        <v>0</v>
      </c>
      <c r="H89" s="72">
        <v>28659</v>
      </c>
      <c r="I89" s="33">
        <v>1235</v>
      </c>
    </row>
    <row r="90" spans="1:9" ht="14.25" customHeight="1">
      <c r="A90" s="2" t="s">
        <v>285</v>
      </c>
      <c r="B90" s="33">
        <v>1530</v>
      </c>
      <c r="C90" s="33">
        <v>4554</v>
      </c>
      <c r="D90" s="33">
        <v>698</v>
      </c>
      <c r="E90" s="33">
        <v>924</v>
      </c>
      <c r="F90" s="72">
        <v>30</v>
      </c>
      <c r="G90" s="72">
        <v>6</v>
      </c>
      <c r="H90" s="72">
        <v>7742</v>
      </c>
      <c r="I90" s="33">
        <v>914</v>
      </c>
    </row>
    <row r="91" spans="1:9" ht="14.25" customHeight="1">
      <c r="A91" s="2" t="s">
        <v>260</v>
      </c>
      <c r="B91" s="33">
        <v>12138</v>
      </c>
      <c r="C91" s="33">
        <v>38515</v>
      </c>
      <c r="D91" s="33">
        <v>3594</v>
      </c>
      <c r="E91" s="33">
        <v>5558</v>
      </c>
      <c r="F91" s="72">
        <v>59</v>
      </c>
      <c r="G91" s="72">
        <v>0</v>
      </c>
      <c r="H91" s="72">
        <v>59864</v>
      </c>
      <c r="I91" s="33">
        <v>3412</v>
      </c>
    </row>
    <row r="92" spans="1:9" ht="14.25" customHeight="1">
      <c r="A92" s="2" t="s">
        <v>261</v>
      </c>
      <c r="B92" s="33">
        <v>5823</v>
      </c>
      <c r="C92" s="33">
        <v>19329</v>
      </c>
      <c r="D92" s="33">
        <v>1532</v>
      </c>
      <c r="E92" s="33">
        <v>1492</v>
      </c>
      <c r="F92" s="72">
        <v>311</v>
      </c>
      <c r="G92" s="72">
        <v>0</v>
      </c>
      <c r="H92" s="72">
        <v>28487</v>
      </c>
      <c r="I92" s="33">
        <v>12903</v>
      </c>
    </row>
    <row r="93" spans="1:9" ht="14.25" customHeight="1">
      <c r="A93" s="2" t="s">
        <v>286</v>
      </c>
      <c r="B93" s="33">
        <v>1387</v>
      </c>
      <c r="C93" s="33">
        <v>2635</v>
      </c>
      <c r="D93" s="33">
        <v>348</v>
      </c>
      <c r="E93" s="33">
        <v>387</v>
      </c>
      <c r="F93" s="72">
        <v>81</v>
      </c>
      <c r="G93" s="72">
        <v>0</v>
      </c>
      <c r="H93" s="72">
        <v>4838</v>
      </c>
      <c r="I93" s="33">
        <v>450</v>
      </c>
    </row>
    <row r="94" spans="1:9" ht="14.25" customHeight="1">
      <c r="A94" s="2"/>
      <c r="B94" s="33"/>
      <c r="C94" s="33"/>
      <c r="D94" s="33"/>
      <c r="E94" s="33"/>
      <c r="F94" s="72"/>
      <c r="G94" s="72"/>
      <c r="H94" s="72"/>
      <c r="I94" s="33"/>
    </row>
    <row r="95" spans="1:9" ht="14.25" customHeight="1">
      <c r="A95" s="7" t="s">
        <v>105</v>
      </c>
      <c r="B95" s="66">
        <v>3593</v>
      </c>
      <c r="C95" s="66">
        <v>13174</v>
      </c>
      <c r="D95" s="66">
        <v>697.5</v>
      </c>
      <c r="E95" s="66">
        <v>1492</v>
      </c>
      <c r="F95" s="68">
        <v>45</v>
      </c>
      <c r="G95" s="68">
        <v>37</v>
      </c>
      <c r="H95" s="68">
        <v>24360</v>
      </c>
      <c r="I95" s="66">
        <v>1302</v>
      </c>
    </row>
    <row r="96" spans="1:9" ht="14.25" customHeight="1">
      <c r="A96" s="7" t="s">
        <v>104</v>
      </c>
      <c r="B96" s="66">
        <v>5713.7865168539329</v>
      </c>
      <c r="C96" s="66">
        <v>22911.078651685395</v>
      </c>
      <c r="D96" s="66">
        <v>1648.2613636363637</v>
      </c>
      <c r="E96" s="66">
        <v>2772.6853932584268</v>
      </c>
      <c r="F96" s="68">
        <v>96.955056179775283</v>
      </c>
      <c r="G96" s="68">
        <v>395.14606741573033</v>
      </c>
      <c r="H96" s="68">
        <v>33519.393258426964</v>
      </c>
      <c r="I96" s="66">
        <v>6234.1011235955057</v>
      </c>
    </row>
    <row r="97" spans="1:9" ht="14.25" customHeight="1">
      <c r="A97" s="7" t="s">
        <v>329</v>
      </c>
      <c r="B97" s="66">
        <v>508527</v>
      </c>
      <c r="C97" s="66">
        <v>2039086</v>
      </c>
      <c r="D97" s="66">
        <v>145047</v>
      </c>
      <c r="E97" s="66">
        <v>246769</v>
      </c>
      <c r="F97" s="68">
        <v>8629</v>
      </c>
      <c r="G97" s="68">
        <v>35168</v>
      </c>
      <c r="H97" s="68">
        <v>2983226</v>
      </c>
      <c r="I97" s="66">
        <v>554835</v>
      </c>
    </row>
    <row r="98" spans="1:9" ht="14.25" customHeight="1">
      <c r="A98" s="7"/>
      <c r="B98" s="66"/>
      <c r="C98" s="66"/>
      <c r="D98" s="66"/>
      <c r="E98" s="66"/>
      <c r="F98" s="68"/>
      <c r="G98" s="68"/>
      <c r="H98" s="68"/>
      <c r="I98" s="66"/>
    </row>
    <row r="99" spans="1:9" ht="14.25" customHeight="1">
      <c r="A99" s="2" t="s">
        <v>464</v>
      </c>
    </row>
    <row r="100" spans="1:9" ht="14.25" customHeight="1">
      <c r="A100" s="2"/>
    </row>
  </sheetData>
  <sortState xmlns:xlrd2="http://schemas.microsoft.com/office/spreadsheetml/2017/richdata2" ref="A5:I51">
    <sortCondition ref="A5"/>
  </sortState>
  <phoneticPr fontId="51" type="noConversion"/>
  <conditionalFormatting sqref="B5:I51">
    <cfRule type="cellIs" dxfId="39" priority="2" operator="lessThan">
      <formula>0</formula>
    </cfRule>
  </conditionalFormatting>
  <conditionalFormatting sqref="B5:I94 B96:I98">
    <cfRule type="cellIs" dxfId="38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138"/>
  <sheetViews>
    <sheetView zoomScaleNormal="100" workbookViewId="0">
      <pane ySplit="3" topLeftCell="A119" activePane="bottomLeft" state="frozen"/>
      <selection pane="bottomLeft"/>
      <selection activeCell="G34" sqref="G34"/>
    </sheetView>
  </sheetViews>
  <sheetFormatPr defaultColWidth="19.5703125" defaultRowHeight="14.25" customHeight="1"/>
  <cols>
    <col min="14" max="14" width="19.5703125" style="2"/>
  </cols>
  <sheetData>
    <row r="1" spans="1:11" ht="16.5" customHeight="1">
      <c r="A1" s="9" t="s">
        <v>465</v>
      </c>
      <c r="B1" s="21"/>
      <c r="C1" s="21"/>
      <c r="D1" s="21"/>
      <c r="F1" s="21"/>
      <c r="G1" s="21"/>
      <c r="H1" s="21"/>
      <c r="J1" s="21"/>
    </row>
    <row r="2" spans="1:11" ht="13.5" customHeight="1">
      <c r="A2" s="9"/>
      <c r="B2" s="21"/>
      <c r="C2" s="21"/>
      <c r="D2" s="21"/>
      <c r="F2" s="21"/>
      <c r="G2" s="21"/>
      <c r="H2" s="21"/>
      <c r="J2" s="21"/>
    </row>
    <row r="3" spans="1:11" ht="12.75">
      <c r="A3" s="91"/>
      <c r="B3" s="149" t="s">
        <v>466</v>
      </c>
      <c r="C3" s="149" t="s">
        <v>467</v>
      </c>
      <c r="D3" s="149"/>
      <c r="E3" s="223"/>
      <c r="F3" s="149"/>
      <c r="G3" s="149"/>
      <c r="H3" s="149"/>
      <c r="I3" s="223"/>
      <c r="J3" s="149"/>
      <c r="K3" s="149"/>
    </row>
    <row r="4" spans="1:11" ht="12.75">
      <c r="A4" s="2" t="s">
        <v>118</v>
      </c>
      <c r="B4" s="231">
        <v>21627</v>
      </c>
      <c r="C4" s="231">
        <v>6570</v>
      </c>
      <c r="D4" s="164"/>
      <c r="H4" s="164"/>
    </row>
    <row r="5" spans="1:11" ht="14.25" customHeight="1">
      <c r="A5" s="2" t="s">
        <v>278</v>
      </c>
      <c r="B5" s="278">
        <v>10957</v>
      </c>
      <c r="C5" s="278">
        <v>92</v>
      </c>
      <c r="D5" s="164"/>
      <c r="H5" s="164"/>
    </row>
    <row r="6" spans="1:11" ht="14.25" customHeight="1">
      <c r="A6" s="2" t="s">
        <v>121</v>
      </c>
      <c r="B6" s="231">
        <v>23368</v>
      </c>
      <c r="C6" s="231">
        <v>519</v>
      </c>
      <c r="D6" s="164"/>
      <c r="H6" s="164"/>
    </row>
    <row r="7" spans="1:11" ht="14.25" customHeight="1">
      <c r="A7" s="2" t="s">
        <v>123</v>
      </c>
      <c r="B7" s="278">
        <v>813</v>
      </c>
      <c r="C7" s="278">
        <v>23</v>
      </c>
      <c r="D7" s="163"/>
      <c r="H7" s="164"/>
    </row>
    <row r="8" spans="1:11" ht="14.25" customHeight="1">
      <c r="A8" s="2" t="s">
        <v>124</v>
      </c>
      <c r="B8" s="278">
        <v>10396</v>
      </c>
      <c r="C8" s="278">
        <v>794</v>
      </c>
      <c r="D8" s="164"/>
      <c r="H8" s="164"/>
    </row>
    <row r="9" spans="1:11" ht="14.25" customHeight="1">
      <c r="A9" s="2" t="s">
        <v>126</v>
      </c>
      <c r="B9" s="278"/>
      <c r="C9" s="278"/>
      <c r="D9" s="163"/>
      <c r="H9" s="164"/>
    </row>
    <row r="10" spans="1:11" ht="14.25" customHeight="1">
      <c r="A10" s="2" t="s">
        <v>127</v>
      </c>
      <c r="B10" s="278">
        <v>9046</v>
      </c>
      <c r="C10" s="278">
        <v>360</v>
      </c>
      <c r="D10" s="164"/>
      <c r="H10" s="164"/>
    </row>
    <row r="11" spans="1:11" ht="14.25" customHeight="1">
      <c r="A11" s="2" t="s">
        <v>129</v>
      </c>
      <c r="B11" s="231">
        <v>6557</v>
      </c>
      <c r="C11" s="231">
        <v>517</v>
      </c>
      <c r="D11" s="164"/>
      <c r="H11" s="164"/>
    </row>
    <row r="12" spans="1:11" ht="14.25" customHeight="1">
      <c r="A12" s="2" t="s">
        <v>132</v>
      </c>
      <c r="B12" s="231">
        <v>1815</v>
      </c>
      <c r="C12" s="231">
        <v>32</v>
      </c>
      <c r="D12" s="164"/>
      <c r="H12" s="164"/>
    </row>
    <row r="13" spans="1:11" ht="14.25" customHeight="1">
      <c r="A13" s="2" t="s">
        <v>133</v>
      </c>
      <c r="B13" s="231">
        <v>146886</v>
      </c>
      <c r="C13" s="231">
        <v>26687</v>
      </c>
      <c r="D13" s="164"/>
      <c r="H13" s="164"/>
    </row>
    <row r="14" spans="1:11" ht="14.25" customHeight="1">
      <c r="A14" s="2" t="s">
        <v>134</v>
      </c>
      <c r="B14" s="231">
        <v>1231</v>
      </c>
      <c r="C14" s="231">
        <v>15</v>
      </c>
      <c r="D14" s="164"/>
      <c r="H14" s="164"/>
    </row>
    <row r="15" spans="1:11" ht="14.25" customHeight="1">
      <c r="A15" s="2" t="s">
        <v>135</v>
      </c>
      <c r="B15" s="231">
        <v>1746</v>
      </c>
      <c r="C15" s="231">
        <v>65</v>
      </c>
      <c r="D15" s="164"/>
      <c r="H15" s="164"/>
    </row>
    <row r="16" spans="1:11" ht="14.25" customHeight="1">
      <c r="A16" s="2" t="s">
        <v>137</v>
      </c>
      <c r="B16" s="231">
        <v>27579</v>
      </c>
      <c r="C16" s="231">
        <v>1176</v>
      </c>
      <c r="D16" s="164"/>
      <c r="H16" s="164"/>
    </row>
    <row r="17" spans="1:8" ht="14.25" customHeight="1">
      <c r="A17" s="2" t="s">
        <v>138</v>
      </c>
      <c r="B17" s="278">
        <v>1328</v>
      </c>
      <c r="C17" s="278">
        <v>33</v>
      </c>
      <c r="D17" s="164"/>
      <c r="H17" s="164"/>
    </row>
    <row r="18" spans="1:8" ht="14.25" customHeight="1">
      <c r="A18" s="2" t="s">
        <v>139</v>
      </c>
      <c r="B18" s="278">
        <v>717</v>
      </c>
      <c r="C18" s="278">
        <v>19</v>
      </c>
      <c r="D18" s="163"/>
      <c r="H18" s="164"/>
    </row>
    <row r="19" spans="1:8" ht="14.25" customHeight="1">
      <c r="A19" s="2" t="s">
        <v>141</v>
      </c>
      <c r="B19" s="278">
        <v>62</v>
      </c>
      <c r="C19" s="278">
        <v>0</v>
      </c>
      <c r="D19" s="163"/>
      <c r="H19" s="164"/>
    </row>
    <row r="20" spans="1:8" ht="14.25" customHeight="1">
      <c r="A20" s="2" t="s">
        <v>142</v>
      </c>
      <c r="B20" s="278">
        <v>6128</v>
      </c>
      <c r="C20" s="278">
        <v>234</v>
      </c>
      <c r="D20" s="164"/>
      <c r="H20" s="164"/>
    </row>
    <row r="21" spans="1:8" ht="14.25" customHeight="1">
      <c r="A21" s="2" t="s">
        <v>144</v>
      </c>
      <c r="B21" s="231">
        <v>15526</v>
      </c>
      <c r="C21" s="231">
        <v>14309</v>
      </c>
      <c r="D21" s="164"/>
      <c r="H21" s="164"/>
    </row>
    <row r="22" spans="1:8" ht="14.25" customHeight="1">
      <c r="A22" s="2" t="s">
        <v>145</v>
      </c>
      <c r="B22" s="231">
        <v>25074</v>
      </c>
      <c r="C22" s="231">
        <v>633</v>
      </c>
      <c r="D22" s="164"/>
      <c r="H22" s="164"/>
    </row>
    <row r="23" spans="1:8" ht="14.25" customHeight="1">
      <c r="A23" s="2" t="s">
        <v>146</v>
      </c>
      <c r="B23" s="231">
        <v>1897</v>
      </c>
      <c r="C23" s="231">
        <v>41</v>
      </c>
      <c r="D23" s="164"/>
      <c r="H23" s="164"/>
    </row>
    <row r="24" spans="1:8" ht="14.25" customHeight="1">
      <c r="A24" s="2" t="s">
        <v>148</v>
      </c>
      <c r="B24" s="231">
        <v>62235</v>
      </c>
      <c r="C24" s="231">
        <v>18165</v>
      </c>
      <c r="D24" s="164"/>
      <c r="H24" s="164"/>
    </row>
    <row r="25" spans="1:8" ht="14.25" customHeight="1">
      <c r="A25" s="2" t="s">
        <v>149</v>
      </c>
      <c r="B25" s="231">
        <v>69697</v>
      </c>
      <c r="C25" s="231">
        <v>12682</v>
      </c>
      <c r="D25" s="164"/>
      <c r="H25" s="164"/>
    </row>
    <row r="26" spans="1:8" ht="14.25" customHeight="1">
      <c r="A26" s="2" t="s">
        <v>151</v>
      </c>
      <c r="B26" s="231">
        <v>24134</v>
      </c>
      <c r="C26" s="231">
        <v>9411</v>
      </c>
      <c r="D26" s="164"/>
      <c r="H26" s="164"/>
    </row>
    <row r="27" spans="1:8" ht="12.75">
      <c r="A27" s="171" t="s">
        <v>152</v>
      </c>
      <c r="B27" s="278">
        <v>55980</v>
      </c>
      <c r="C27" s="278">
        <v>11740</v>
      </c>
      <c r="D27" s="164"/>
      <c r="H27" s="164"/>
    </row>
    <row r="28" spans="1:8" ht="14.25" customHeight="1">
      <c r="A28" s="2" t="s">
        <v>153</v>
      </c>
      <c r="B28" s="231">
        <v>1524</v>
      </c>
      <c r="C28" s="231">
        <v>70</v>
      </c>
      <c r="D28" s="164"/>
      <c r="H28" s="164"/>
    </row>
    <row r="29" spans="1:8" ht="14.25" customHeight="1">
      <c r="A29" s="2" t="s">
        <v>154</v>
      </c>
      <c r="B29" s="231">
        <v>61900</v>
      </c>
      <c r="C29" s="231">
        <v>2106</v>
      </c>
      <c r="D29" s="164"/>
      <c r="H29" s="163"/>
    </row>
    <row r="30" spans="1:8" ht="14.25" customHeight="1">
      <c r="A30" s="2" t="s">
        <v>155</v>
      </c>
      <c r="B30" s="231">
        <v>11555</v>
      </c>
      <c r="C30" s="231">
        <v>1396</v>
      </c>
      <c r="D30" s="164"/>
      <c r="H30" s="164"/>
    </row>
    <row r="31" spans="1:8" ht="14.25" customHeight="1">
      <c r="A31" s="2" t="s">
        <v>156</v>
      </c>
      <c r="B31" s="231">
        <v>21214</v>
      </c>
      <c r="C31" s="231">
        <v>1973</v>
      </c>
      <c r="D31" s="164"/>
      <c r="H31" s="164"/>
    </row>
    <row r="32" spans="1:8" ht="14.25" customHeight="1">
      <c r="A32" s="2" t="s">
        <v>158</v>
      </c>
      <c r="B32" s="231">
        <v>1849</v>
      </c>
      <c r="C32" s="231">
        <v>33</v>
      </c>
      <c r="D32" s="164"/>
      <c r="H32" s="164"/>
    </row>
    <row r="33" spans="1:8" ht="14.25" customHeight="1">
      <c r="A33" s="2" t="s">
        <v>160</v>
      </c>
      <c r="B33" s="231">
        <v>45055</v>
      </c>
      <c r="C33" s="231">
        <v>2938</v>
      </c>
      <c r="D33" s="164"/>
      <c r="H33" s="164"/>
    </row>
    <row r="34" spans="1:8" ht="14.25" customHeight="1">
      <c r="A34" s="2" t="s">
        <v>161</v>
      </c>
      <c r="B34" s="231">
        <v>1243</v>
      </c>
      <c r="C34" s="231">
        <v>99</v>
      </c>
      <c r="D34" s="164"/>
      <c r="H34" s="164"/>
    </row>
    <row r="35" spans="1:8" ht="14.25" customHeight="1">
      <c r="A35" s="2" t="s">
        <v>162</v>
      </c>
      <c r="B35" s="231">
        <v>1440</v>
      </c>
      <c r="C35" s="231">
        <v>32</v>
      </c>
      <c r="D35" s="164"/>
      <c r="H35" s="172"/>
    </row>
    <row r="36" spans="1:8" ht="12.75">
      <c r="A36" s="2" t="s">
        <v>163</v>
      </c>
      <c r="B36" s="231">
        <v>2922</v>
      </c>
      <c r="C36" s="231">
        <v>111</v>
      </c>
      <c r="D36" s="164"/>
      <c r="H36" s="164"/>
    </row>
    <row r="37" spans="1:8" ht="14.25" customHeight="1">
      <c r="A37" s="2" t="s">
        <v>164</v>
      </c>
      <c r="B37" s="231">
        <v>5152</v>
      </c>
      <c r="C37" s="231">
        <v>142</v>
      </c>
      <c r="D37" s="164"/>
      <c r="H37" s="164"/>
    </row>
    <row r="38" spans="1:8" ht="14.25" customHeight="1">
      <c r="A38" s="2" t="s">
        <v>165</v>
      </c>
      <c r="B38" s="231">
        <v>35775</v>
      </c>
      <c r="C38" s="231">
        <v>7314</v>
      </c>
      <c r="D38" s="164"/>
      <c r="H38" s="164"/>
    </row>
    <row r="39" spans="1:8" ht="14.25" customHeight="1">
      <c r="A39" s="2" t="s">
        <v>166</v>
      </c>
      <c r="B39" s="231">
        <v>25253</v>
      </c>
      <c r="C39" s="231">
        <v>882</v>
      </c>
      <c r="D39" s="164"/>
      <c r="H39" s="164"/>
    </row>
    <row r="40" spans="1:8" ht="14.25" customHeight="1">
      <c r="A40" s="2" t="s">
        <v>167</v>
      </c>
      <c r="B40" s="231">
        <v>2454</v>
      </c>
      <c r="C40" s="231">
        <v>127</v>
      </c>
      <c r="D40" s="164"/>
      <c r="H40" s="164"/>
    </row>
    <row r="41" spans="1:8" ht="14.25" customHeight="1">
      <c r="A41" s="2" t="s">
        <v>168</v>
      </c>
      <c r="B41" s="231">
        <v>1907</v>
      </c>
      <c r="C41" s="231">
        <v>217</v>
      </c>
      <c r="D41" s="164"/>
      <c r="H41" s="164"/>
    </row>
    <row r="42" spans="1:8" ht="14.25" customHeight="1">
      <c r="A42" s="2" t="s">
        <v>169</v>
      </c>
      <c r="B42" s="231">
        <v>19144</v>
      </c>
      <c r="C42" s="231">
        <v>1181</v>
      </c>
      <c r="D42" s="164"/>
      <c r="H42" s="164"/>
    </row>
    <row r="43" spans="1:8" ht="14.25" customHeight="1">
      <c r="A43" s="2" t="s">
        <v>170</v>
      </c>
      <c r="B43" s="231">
        <v>106606</v>
      </c>
      <c r="C43" s="231">
        <v>49232</v>
      </c>
      <c r="D43" s="164"/>
      <c r="H43" s="164"/>
    </row>
    <row r="44" spans="1:8" ht="14.25" customHeight="1">
      <c r="A44" s="2" t="s">
        <v>171</v>
      </c>
      <c r="B44" s="231">
        <v>1829</v>
      </c>
      <c r="C44" s="231">
        <v>226</v>
      </c>
      <c r="D44" s="164"/>
      <c r="H44" s="164"/>
    </row>
    <row r="45" spans="1:8" ht="14.25" customHeight="1">
      <c r="A45" s="2" t="s">
        <v>172</v>
      </c>
      <c r="B45" s="231">
        <v>2804</v>
      </c>
      <c r="C45" s="231">
        <v>128</v>
      </c>
      <c r="D45" s="164"/>
      <c r="H45" s="164"/>
    </row>
    <row r="46" spans="1:8" ht="14.25" customHeight="1">
      <c r="A46" s="2" t="s">
        <v>173</v>
      </c>
      <c r="B46" s="231">
        <v>35599</v>
      </c>
      <c r="C46" s="231">
        <v>13804</v>
      </c>
      <c r="D46" s="164"/>
      <c r="H46" s="164"/>
    </row>
    <row r="47" spans="1:8" ht="14.25" customHeight="1">
      <c r="A47" s="2" t="s">
        <v>174</v>
      </c>
      <c r="B47" s="231">
        <v>2573</v>
      </c>
      <c r="C47" s="231">
        <v>14</v>
      </c>
      <c r="D47" s="164"/>
      <c r="H47" s="164"/>
    </row>
    <row r="48" spans="1:8" ht="14.25" customHeight="1">
      <c r="A48" s="2" t="s">
        <v>280</v>
      </c>
      <c r="B48" s="231">
        <v>4534</v>
      </c>
      <c r="C48" s="231">
        <v>220</v>
      </c>
      <c r="D48" s="164"/>
      <c r="H48" s="164"/>
    </row>
    <row r="49" spans="1:10" ht="14.25" customHeight="1">
      <c r="A49" s="2" t="s">
        <v>176</v>
      </c>
      <c r="B49" s="231">
        <v>10326</v>
      </c>
      <c r="C49" s="231">
        <v>863</v>
      </c>
      <c r="D49" s="164"/>
      <c r="H49" s="164"/>
    </row>
    <row r="50" spans="1:10" ht="14.25" customHeight="1">
      <c r="A50" s="2" t="s">
        <v>177</v>
      </c>
      <c r="B50" s="231">
        <v>1498</v>
      </c>
      <c r="C50" s="231">
        <v>103</v>
      </c>
      <c r="D50" s="10"/>
      <c r="F50" s="138"/>
      <c r="G50" s="10"/>
      <c r="H50" s="10"/>
      <c r="I50" s="2"/>
      <c r="J50" s="138"/>
    </row>
    <row r="51" spans="1:10" ht="12.75">
      <c r="A51" s="2" t="s">
        <v>178</v>
      </c>
      <c r="B51" s="231">
        <v>15020</v>
      </c>
      <c r="C51" s="231">
        <v>2017</v>
      </c>
    </row>
    <row r="52" spans="1:10" ht="14.25" customHeight="1">
      <c r="A52" s="2" t="s">
        <v>179</v>
      </c>
      <c r="B52" s="231">
        <v>4158</v>
      </c>
      <c r="C52" s="231">
        <v>177</v>
      </c>
    </row>
    <row r="53" spans="1:10" ht="14.25" customHeight="1">
      <c r="A53" s="2" t="s">
        <v>180</v>
      </c>
      <c r="B53" s="231">
        <v>864</v>
      </c>
      <c r="C53" s="231">
        <v>10</v>
      </c>
    </row>
    <row r="54" spans="1:10" ht="14.25" customHeight="1">
      <c r="A54" s="5" t="s">
        <v>182</v>
      </c>
      <c r="B54" s="231">
        <v>17312</v>
      </c>
      <c r="C54" s="231">
        <v>800</v>
      </c>
    </row>
    <row r="55" spans="1:10" ht="14.25" customHeight="1">
      <c r="A55" s="2" t="s">
        <v>183</v>
      </c>
      <c r="B55" s="231">
        <v>1720</v>
      </c>
      <c r="C55" s="231">
        <v>6</v>
      </c>
    </row>
    <row r="56" spans="1:10" ht="14.25" customHeight="1">
      <c r="A56" s="2" t="s">
        <v>281</v>
      </c>
      <c r="B56" s="231">
        <v>52112</v>
      </c>
      <c r="C56" s="231">
        <v>25576</v>
      </c>
    </row>
    <row r="57" spans="1:10" ht="14.25" customHeight="1">
      <c r="A57" s="2" t="s">
        <v>185</v>
      </c>
      <c r="B57" s="231">
        <v>7068</v>
      </c>
      <c r="C57" s="231">
        <v>191</v>
      </c>
    </row>
    <row r="58" spans="1:10" ht="14.25" customHeight="1">
      <c r="A58" s="2" t="s">
        <v>186</v>
      </c>
      <c r="B58" s="231">
        <v>37638</v>
      </c>
      <c r="C58" s="231">
        <v>9120</v>
      </c>
    </row>
    <row r="59" spans="1:10" ht="14.25" customHeight="1">
      <c r="A59" s="2" t="s">
        <v>188</v>
      </c>
      <c r="B59" s="231">
        <v>2466</v>
      </c>
      <c r="C59" s="231">
        <v>85</v>
      </c>
    </row>
    <row r="60" spans="1:10" ht="14.25" customHeight="1">
      <c r="A60" s="2" t="s">
        <v>282</v>
      </c>
      <c r="B60" s="231">
        <v>61254</v>
      </c>
      <c r="C60" s="231">
        <v>47266</v>
      </c>
    </row>
    <row r="61" spans="1:10" ht="14.25" customHeight="1">
      <c r="A61" s="2" t="s">
        <v>190</v>
      </c>
      <c r="B61" s="231">
        <v>3631</v>
      </c>
      <c r="C61" s="231">
        <v>415</v>
      </c>
    </row>
    <row r="62" spans="1:10" ht="14.25" customHeight="1">
      <c r="A62" s="2" t="s">
        <v>191</v>
      </c>
      <c r="B62" s="231">
        <v>1050</v>
      </c>
      <c r="C62" s="231">
        <v>40</v>
      </c>
    </row>
    <row r="63" spans="1:10" ht="14.25" customHeight="1">
      <c r="A63" s="2" t="s">
        <v>192</v>
      </c>
      <c r="B63" s="231">
        <v>10521</v>
      </c>
      <c r="C63" s="231">
        <v>1041</v>
      </c>
    </row>
    <row r="64" spans="1:10" ht="14.25" customHeight="1">
      <c r="A64" s="2" t="s">
        <v>193</v>
      </c>
      <c r="B64" s="231">
        <v>11114</v>
      </c>
      <c r="C64" s="231">
        <v>770</v>
      </c>
    </row>
    <row r="65" spans="1:3" ht="14.25" customHeight="1">
      <c r="A65" s="2" t="s">
        <v>194</v>
      </c>
      <c r="B65" s="231">
        <v>28667</v>
      </c>
      <c r="C65" s="231">
        <v>7080</v>
      </c>
    </row>
    <row r="66" spans="1:3" ht="14.25" customHeight="1">
      <c r="A66" s="2" t="s">
        <v>195</v>
      </c>
      <c r="B66" s="231">
        <v>4166</v>
      </c>
      <c r="C66" s="231">
        <v>292</v>
      </c>
    </row>
    <row r="67" spans="1:3" ht="14.25" customHeight="1">
      <c r="A67" s="2" t="s">
        <v>196</v>
      </c>
      <c r="B67" s="231">
        <v>3061</v>
      </c>
      <c r="C67" s="231">
        <v>20</v>
      </c>
    </row>
    <row r="68" spans="1:3" ht="14.25" customHeight="1">
      <c r="A68" s="2" t="s">
        <v>198</v>
      </c>
      <c r="B68" s="231">
        <v>52061</v>
      </c>
      <c r="C68" s="231">
        <v>6803</v>
      </c>
    </row>
    <row r="69" spans="1:3" ht="14.25" customHeight="1">
      <c r="A69" s="2" t="s">
        <v>199</v>
      </c>
      <c r="B69" s="231">
        <v>14063</v>
      </c>
      <c r="C69" s="231">
        <v>9062</v>
      </c>
    </row>
    <row r="70" spans="1:3" ht="14.25" customHeight="1">
      <c r="A70" s="2" t="s">
        <v>200</v>
      </c>
      <c r="B70" s="278">
        <v>2217</v>
      </c>
      <c r="C70" s="278">
        <v>95</v>
      </c>
    </row>
    <row r="71" spans="1:3" ht="14.25" customHeight="1">
      <c r="A71" s="2" t="s">
        <v>201</v>
      </c>
      <c r="B71" s="231">
        <v>18376</v>
      </c>
      <c r="C71" s="231">
        <v>789</v>
      </c>
    </row>
    <row r="72" spans="1:3" ht="14.25" customHeight="1">
      <c r="A72" s="2" t="s">
        <v>202</v>
      </c>
      <c r="B72" s="231">
        <v>5180</v>
      </c>
      <c r="C72" s="231">
        <v>191</v>
      </c>
    </row>
    <row r="73" spans="1:3" ht="14.25" customHeight="1">
      <c r="A73" s="2" t="s">
        <v>203</v>
      </c>
      <c r="B73" s="231">
        <v>50619</v>
      </c>
      <c r="C73" s="231">
        <v>18013</v>
      </c>
    </row>
    <row r="74" spans="1:3" ht="14.25" customHeight="1">
      <c r="A74" s="2" t="s">
        <v>204</v>
      </c>
      <c r="B74" s="231">
        <v>1307</v>
      </c>
      <c r="C74" s="231">
        <v>65</v>
      </c>
    </row>
    <row r="75" spans="1:3" ht="14.25" customHeight="1">
      <c r="A75" s="2" t="s">
        <v>205</v>
      </c>
      <c r="B75" s="231">
        <v>439</v>
      </c>
      <c r="C75" s="231">
        <v>43</v>
      </c>
    </row>
    <row r="76" spans="1:3" ht="14.25" customHeight="1">
      <c r="A76" s="2" t="s">
        <v>206</v>
      </c>
      <c r="B76" s="231">
        <v>24412</v>
      </c>
      <c r="C76" s="231">
        <v>3329</v>
      </c>
    </row>
    <row r="77" spans="1:3" ht="14.25" customHeight="1">
      <c r="A77" s="2" t="s">
        <v>207</v>
      </c>
      <c r="B77" s="231">
        <v>27592</v>
      </c>
      <c r="C77" s="231">
        <v>1165</v>
      </c>
    </row>
    <row r="78" spans="1:3" ht="14.25" customHeight="1">
      <c r="A78" s="2" t="s">
        <v>208</v>
      </c>
      <c r="B78" s="231">
        <v>13737</v>
      </c>
      <c r="C78" s="231">
        <v>258</v>
      </c>
    </row>
    <row r="79" spans="1:3" ht="14.25" customHeight="1">
      <c r="A79" s="2" t="s">
        <v>209</v>
      </c>
      <c r="B79" s="231">
        <v>736</v>
      </c>
      <c r="C79" s="231">
        <v>13</v>
      </c>
    </row>
    <row r="80" spans="1:3" ht="14.25" customHeight="1">
      <c r="A80" s="2" t="s">
        <v>210</v>
      </c>
      <c r="B80" s="231">
        <v>10327</v>
      </c>
      <c r="C80" s="231">
        <v>4180</v>
      </c>
    </row>
    <row r="81" spans="1:3" ht="14.25" customHeight="1">
      <c r="A81" s="2" t="s">
        <v>211</v>
      </c>
      <c r="B81" s="278">
        <v>2348</v>
      </c>
      <c r="C81" s="278">
        <v>90</v>
      </c>
    </row>
    <row r="82" spans="1:3" ht="14.25" customHeight="1">
      <c r="A82" s="2" t="s">
        <v>212</v>
      </c>
      <c r="B82" s="231">
        <v>1097</v>
      </c>
      <c r="C82" s="231">
        <v>30</v>
      </c>
    </row>
    <row r="83" spans="1:3" ht="14.25" customHeight="1">
      <c r="A83" s="2" t="s">
        <v>213</v>
      </c>
      <c r="B83" s="231">
        <v>9872</v>
      </c>
      <c r="C83" s="231">
        <v>1524</v>
      </c>
    </row>
    <row r="84" spans="1:3" ht="14.25" customHeight="1">
      <c r="A84" s="2" t="s">
        <v>214</v>
      </c>
      <c r="B84" s="231">
        <v>10692</v>
      </c>
      <c r="C84" s="231">
        <v>594</v>
      </c>
    </row>
    <row r="85" spans="1:3" ht="14.25" customHeight="1">
      <c r="A85" s="2" t="s">
        <v>215</v>
      </c>
      <c r="B85" s="231">
        <v>2424</v>
      </c>
      <c r="C85" s="231">
        <v>117</v>
      </c>
    </row>
    <row r="86" spans="1:3" ht="14.25" customHeight="1">
      <c r="A86" s="2" t="s">
        <v>216</v>
      </c>
      <c r="B86" s="231">
        <v>3260</v>
      </c>
      <c r="C86" s="231">
        <v>15</v>
      </c>
    </row>
    <row r="87" spans="1:3" ht="14.25" customHeight="1">
      <c r="A87" s="2" t="s">
        <v>217</v>
      </c>
      <c r="B87" s="231">
        <v>3516</v>
      </c>
      <c r="C87" s="231">
        <v>60</v>
      </c>
    </row>
    <row r="88" spans="1:3" ht="14.25" customHeight="1">
      <c r="A88" s="2" t="s">
        <v>218</v>
      </c>
      <c r="B88" s="231">
        <v>110516</v>
      </c>
      <c r="C88" s="231">
        <v>23631</v>
      </c>
    </row>
    <row r="89" spans="1:3" ht="14.25" customHeight="1">
      <c r="A89" s="2" t="s">
        <v>219</v>
      </c>
      <c r="B89" s="231">
        <v>11641</v>
      </c>
      <c r="C89" s="231">
        <v>9016</v>
      </c>
    </row>
    <row r="90" spans="1:3" ht="14.25" customHeight="1">
      <c r="A90" s="2" t="s">
        <v>220</v>
      </c>
      <c r="B90" s="231">
        <v>66730</v>
      </c>
      <c r="C90" s="231">
        <v>7007</v>
      </c>
    </row>
    <row r="91" spans="1:3" ht="14.25" customHeight="1">
      <c r="A91" s="2" t="s">
        <v>283</v>
      </c>
      <c r="B91" s="231">
        <v>2140</v>
      </c>
      <c r="C91" s="231">
        <v>149</v>
      </c>
    </row>
    <row r="92" spans="1:3" ht="14.25" customHeight="1">
      <c r="A92" s="2" t="s">
        <v>222</v>
      </c>
      <c r="B92" s="231">
        <v>25963</v>
      </c>
      <c r="C92" s="231">
        <v>1010</v>
      </c>
    </row>
    <row r="93" spans="1:3" ht="14.25" customHeight="1">
      <c r="A93" s="2" t="s">
        <v>223</v>
      </c>
      <c r="B93" s="231">
        <v>4997</v>
      </c>
      <c r="C93" s="231">
        <v>26</v>
      </c>
    </row>
    <row r="94" spans="1:3" ht="14.25" customHeight="1">
      <c r="A94" s="2" t="s">
        <v>224</v>
      </c>
      <c r="B94" s="231">
        <v>72405</v>
      </c>
      <c r="C94" s="231">
        <v>27037</v>
      </c>
    </row>
    <row r="95" spans="1:3" ht="14.25" customHeight="1">
      <c r="A95" s="2" t="s">
        <v>225</v>
      </c>
      <c r="B95" s="231">
        <v>43008</v>
      </c>
      <c r="C95" s="231">
        <v>6800</v>
      </c>
    </row>
    <row r="96" spans="1:3" ht="14.25" customHeight="1">
      <c r="A96" s="2" t="s">
        <v>226</v>
      </c>
      <c r="B96" s="231">
        <v>33069</v>
      </c>
      <c r="C96" s="231">
        <v>578</v>
      </c>
    </row>
    <row r="97" spans="1:3" ht="14.25" customHeight="1">
      <c r="A97" s="2" t="s">
        <v>227</v>
      </c>
      <c r="B97" s="231">
        <v>31906</v>
      </c>
      <c r="C97" s="231">
        <v>2241</v>
      </c>
    </row>
    <row r="98" spans="1:3" ht="14.25" customHeight="1">
      <c r="A98" s="2" t="s">
        <v>228</v>
      </c>
      <c r="B98" s="278">
        <v>9392</v>
      </c>
      <c r="C98" s="278">
        <v>432</v>
      </c>
    </row>
    <row r="99" spans="1:3" ht="14.25" customHeight="1">
      <c r="A99" s="2" t="s">
        <v>229</v>
      </c>
      <c r="B99" s="231">
        <v>42146</v>
      </c>
      <c r="C99" s="231">
        <v>11399</v>
      </c>
    </row>
    <row r="100" spans="1:3" ht="14.25" customHeight="1">
      <c r="A100" s="2" t="s">
        <v>230</v>
      </c>
      <c r="B100" s="231">
        <v>11922</v>
      </c>
      <c r="C100" s="231">
        <v>1033</v>
      </c>
    </row>
    <row r="101" spans="1:3" ht="14.25" customHeight="1">
      <c r="A101" s="2" t="s">
        <v>284</v>
      </c>
      <c r="B101" s="231">
        <v>40976</v>
      </c>
      <c r="C101" s="231">
        <v>23755</v>
      </c>
    </row>
    <row r="102" spans="1:3" ht="14.25" customHeight="1">
      <c r="A102" s="2" t="s">
        <v>232</v>
      </c>
      <c r="B102" s="231">
        <v>20748</v>
      </c>
      <c r="C102" s="231">
        <v>6052</v>
      </c>
    </row>
    <row r="103" spans="1:3" ht="14.25" customHeight="1">
      <c r="A103" s="2" t="s">
        <v>233</v>
      </c>
      <c r="B103" s="231">
        <v>32772</v>
      </c>
      <c r="C103" s="231">
        <v>1344</v>
      </c>
    </row>
    <row r="104" spans="1:3" ht="14.25" customHeight="1">
      <c r="A104" s="2" t="s">
        <v>234</v>
      </c>
      <c r="B104" s="231">
        <v>5461</v>
      </c>
      <c r="C104" s="231">
        <v>1302</v>
      </c>
    </row>
    <row r="105" spans="1:3" ht="14.25" customHeight="1">
      <c r="A105" s="2" t="s">
        <v>236</v>
      </c>
      <c r="B105" s="231">
        <v>7702</v>
      </c>
      <c r="C105" s="231">
        <v>80</v>
      </c>
    </row>
    <row r="106" spans="1:3" ht="14.25" customHeight="1">
      <c r="A106" s="2" t="s">
        <v>237</v>
      </c>
      <c r="B106" s="231">
        <v>2771</v>
      </c>
      <c r="C106" s="231">
        <v>79</v>
      </c>
    </row>
    <row r="107" spans="1:3" ht="14.25" customHeight="1">
      <c r="A107" s="2" t="s">
        <v>238</v>
      </c>
      <c r="B107" s="231">
        <v>22070</v>
      </c>
      <c r="C107" s="231">
        <v>11898</v>
      </c>
    </row>
    <row r="108" spans="1:3" ht="14.25" customHeight="1">
      <c r="A108" s="2" t="s">
        <v>239</v>
      </c>
      <c r="B108" s="231">
        <v>71469</v>
      </c>
      <c r="C108" s="231">
        <v>6495</v>
      </c>
    </row>
    <row r="109" spans="1:3" ht="14.25" customHeight="1">
      <c r="A109" s="2" t="s">
        <v>241</v>
      </c>
      <c r="B109" s="231">
        <v>59246</v>
      </c>
      <c r="C109" s="231">
        <v>22714</v>
      </c>
    </row>
    <row r="110" spans="1:3" ht="14.25" customHeight="1">
      <c r="A110" s="2" t="s">
        <v>242</v>
      </c>
      <c r="B110" s="231">
        <v>11293</v>
      </c>
      <c r="C110" s="231">
        <v>372</v>
      </c>
    </row>
    <row r="111" spans="1:3" ht="14.25" customHeight="1">
      <c r="A111" s="2" t="s">
        <v>243</v>
      </c>
      <c r="B111" s="278">
        <v>1270</v>
      </c>
      <c r="C111" s="278">
        <v>86</v>
      </c>
    </row>
    <row r="112" spans="1:3" ht="14.25" customHeight="1">
      <c r="A112" s="2" t="s">
        <v>244</v>
      </c>
      <c r="B112" s="278">
        <v>2212</v>
      </c>
      <c r="C112" s="278">
        <v>161</v>
      </c>
    </row>
    <row r="113" spans="1:3" ht="14.25" customHeight="1">
      <c r="A113" s="2" t="s">
        <v>245</v>
      </c>
      <c r="B113" s="231">
        <v>36581</v>
      </c>
      <c r="C113" s="231">
        <v>942</v>
      </c>
    </row>
    <row r="114" spans="1:3" ht="14.25" customHeight="1">
      <c r="A114" s="2" t="s">
        <v>246</v>
      </c>
      <c r="B114" s="231">
        <v>5657</v>
      </c>
      <c r="C114" s="231">
        <v>559</v>
      </c>
    </row>
    <row r="115" spans="1:3" ht="14.25" customHeight="1">
      <c r="A115" s="2" t="s">
        <v>247</v>
      </c>
      <c r="B115" s="231">
        <v>2508</v>
      </c>
      <c r="C115" s="231">
        <v>32</v>
      </c>
    </row>
    <row r="116" spans="1:3" ht="14.25" customHeight="1">
      <c r="A116" s="2" t="s">
        <v>248</v>
      </c>
      <c r="B116" s="231">
        <v>776</v>
      </c>
      <c r="C116" s="231">
        <v>6</v>
      </c>
    </row>
    <row r="117" spans="1:3" ht="14.25" customHeight="1">
      <c r="A117" s="2" t="s">
        <v>249</v>
      </c>
      <c r="B117" s="278">
        <v>18237</v>
      </c>
      <c r="C117" s="278">
        <v>949</v>
      </c>
    </row>
    <row r="118" spans="1:3" ht="14.25" customHeight="1">
      <c r="A118" s="2" t="s">
        <v>250</v>
      </c>
      <c r="B118" s="231">
        <v>548</v>
      </c>
      <c r="C118" s="231">
        <v>3</v>
      </c>
    </row>
    <row r="119" spans="1:3" ht="14.25" customHeight="1">
      <c r="A119" s="2" t="s">
        <v>251</v>
      </c>
      <c r="B119" s="278">
        <v>257</v>
      </c>
      <c r="C119" s="278">
        <v>0</v>
      </c>
    </row>
    <row r="120" spans="1:3" ht="14.25" customHeight="1">
      <c r="A120" s="2" t="s">
        <v>252</v>
      </c>
      <c r="B120" s="278">
        <v>1344</v>
      </c>
      <c r="C120" s="278">
        <v>40</v>
      </c>
    </row>
    <row r="121" spans="1:3" ht="14.25" customHeight="1">
      <c r="A121" s="2" t="s">
        <v>253</v>
      </c>
      <c r="B121" s="231">
        <v>5101</v>
      </c>
      <c r="C121" s="231">
        <v>104</v>
      </c>
    </row>
    <row r="122" spans="1:3" ht="14.25" customHeight="1">
      <c r="A122" s="2" t="s">
        <v>254</v>
      </c>
      <c r="B122" s="231">
        <v>14914</v>
      </c>
      <c r="C122" s="231">
        <v>12540</v>
      </c>
    </row>
    <row r="123" spans="1:3" ht="14.25" customHeight="1">
      <c r="A123" s="2" t="s">
        <v>255</v>
      </c>
      <c r="B123" s="231">
        <v>901</v>
      </c>
      <c r="C123" s="231">
        <v>32</v>
      </c>
    </row>
    <row r="124" spans="1:3" ht="14.25" customHeight="1">
      <c r="A124" s="2" t="s">
        <v>256</v>
      </c>
      <c r="B124" s="231">
        <v>1608</v>
      </c>
      <c r="C124" s="231">
        <v>97</v>
      </c>
    </row>
    <row r="125" spans="1:3" ht="14.25" customHeight="1">
      <c r="A125" s="2" t="s">
        <v>257</v>
      </c>
      <c r="B125" s="231">
        <v>23554</v>
      </c>
      <c r="C125" s="231">
        <v>27250</v>
      </c>
    </row>
    <row r="126" spans="1:3" ht="14.25" customHeight="1">
      <c r="A126" s="2" t="s">
        <v>258</v>
      </c>
      <c r="B126" s="231">
        <v>27424</v>
      </c>
      <c r="C126" s="231">
        <v>1235</v>
      </c>
    </row>
    <row r="127" spans="1:3" ht="14.25" customHeight="1">
      <c r="A127" s="2" t="s">
        <v>285</v>
      </c>
      <c r="B127" s="231">
        <v>6827</v>
      </c>
      <c r="C127" s="231">
        <v>914</v>
      </c>
    </row>
    <row r="128" spans="1:3" ht="14.25" customHeight="1">
      <c r="A128" s="2" t="s">
        <v>260</v>
      </c>
      <c r="B128" s="231">
        <v>46004</v>
      </c>
      <c r="C128" s="231">
        <v>3412</v>
      </c>
    </row>
    <row r="129" spans="1:11" ht="14.25" customHeight="1">
      <c r="A129" s="2" t="s">
        <v>261</v>
      </c>
      <c r="B129" s="231">
        <v>15584</v>
      </c>
      <c r="C129" s="231">
        <v>12903</v>
      </c>
    </row>
    <row r="130" spans="1:11" ht="14.25" customHeight="1">
      <c r="A130" s="2" t="s">
        <v>286</v>
      </c>
      <c r="B130" s="231">
        <v>4372</v>
      </c>
      <c r="C130" s="231">
        <v>450</v>
      </c>
    </row>
    <row r="131" spans="1:11" ht="14.25" customHeight="1">
      <c r="A131" s="2"/>
      <c r="B131" s="14"/>
      <c r="C131" s="39"/>
    </row>
    <row r="132" spans="1:11" ht="14.25" customHeight="1">
      <c r="A132" s="7" t="s">
        <v>105</v>
      </c>
      <c r="B132" s="7">
        <v>586</v>
      </c>
      <c r="C132" s="15">
        <v>10099</v>
      </c>
    </row>
    <row r="133" spans="1:11" ht="14.25" customHeight="1">
      <c r="A133" s="7" t="s">
        <v>104</v>
      </c>
      <c r="B133" s="15">
        <v>4389.3690476190477</v>
      </c>
      <c r="C133" s="15">
        <v>19056.142857142859</v>
      </c>
    </row>
    <row r="134" spans="1:11" ht="14.25" customHeight="1">
      <c r="A134" s="7" t="s">
        <v>329</v>
      </c>
      <c r="B134" s="15">
        <v>2401074</v>
      </c>
      <c r="C134" s="15">
        <v>554835</v>
      </c>
    </row>
    <row r="138" spans="1:11" ht="14.25" customHeight="1">
      <c r="A138" s="44" t="s">
        <v>267</v>
      </c>
      <c r="B138" s="44"/>
      <c r="C138" s="44"/>
      <c r="D138" s="44"/>
      <c r="E138" s="44"/>
      <c r="F138" s="44"/>
      <c r="G138" s="44"/>
      <c r="H138" s="44"/>
      <c r="I138" s="44"/>
      <c r="J138" s="44"/>
      <c r="K138" s="44"/>
    </row>
  </sheetData>
  <conditionalFormatting sqref="B4:C130">
    <cfRule type="cellIs" dxfId="37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6">
    <pageSetUpPr fitToPage="1"/>
  </sheetPr>
  <dimension ref="A1:H97"/>
  <sheetViews>
    <sheetView zoomScaleNormal="100" workbookViewId="0">
      <pane ySplit="3" topLeftCell="A80" activePane="bottomLeft" state="frozen"/>
      <selection pane="bottomLeft"/>
      <selection activeCell="G34" sqref="G34"/>
    </sheetView>
  </sheetViews>
  <sheetFormatPr defaultColWidth="18" defaultRowHeight="14.25" customHeight="1"/>
  <sheetData>
    <row r="1" spans="1:8" ht="15">
      <c r="A1" s="9" t="s">
        <v>468</v>
      </c>
    </row>
    <row r="2" spans="1:8" ht="12.75"/>
    <row r="3" spans="1:8" s="91" customFormat="1" ht="36.950000000000003" customHeight="1">
      <c r="A3" s="101"/>
      <c r="B3" s="105" t="s">
        <v>469</v>
      </c>
      <c r="C3" s="105" t="s">
        <v>470</v>
      </c>
      <c r="D3" s="105" t="s">
        <v>471</v>
      </c>
      <c r="E3" s="105" t="s">
        <v>472</v>
      </c>
      <c r="F3" s="105" t="s">
        <v>473</v>
      </c>
      <c r="G3" s="105" t="s">
        <v>474</v>
      </c>
      <c r="H3" s="105" t="s">
        <v>475</v>
      </c>
    </row>
    <row r="4" spans="1:8" ht="14.25" customHeight="1">
      <c r="A4" s="202" t="s">
        <v>118</v>
      </c>
      <c r="B4" s="244">
        <v>4</v>
      </c>
      <c r="C4" s="244">
        <v>4</v>
      </c>
      <c r="D4" s="244">
        <v>0</v>
      </c>
      <c r="E4" s="244">
        <v>0</v>
      </c>
      <c r="F4" s="243">
        <v>14</v>
      </c>
      <c r="G4" s="243">
        <v>0.8</v>
      </c>
      <c r="H4" s="243">
        <f>SUM(B4:G4)</f>
        <v>22.8</v>
      </c>
    </row>
    <row r="5" spans="1:8" ht="14.25" customHeight="1">
      <c r="A5" s="202" t="s">
        <v>278</v>
      </c>
      <c r="B5" s="244">
        <v>4</v>
      </c>
      <c r="C5" s="244">
        <v>1</v>
      </c>
      <c r="D5" s="244">
        <v>3</v>
      </c>
      <c r="E5" s="244">
        <v>0</v>
      </c>
      <c r="F5" s="243">
        <v>2</v>
      </c>
      <c r="G5" s="243">
        <v>0.4</v>
      </c>
      <c r="H5" s="243">
        <f t="shared" ref="H5:H68" si="0">SUM(B5:G5)</f>
        <v>10.4</v>
      </c>
    </row>
    <row r="6" spans="1:8" ht="14.25" customHeight="1">
      <c r="A6" s="202" t="s">
        <v>123</v>
      </c>
      <c r="B6" s="244">
        <v>1</v>
      </c>
      <c r="C6" s="244">
        <v>0</v>
      </c>
      <c r="D6" s="244">
        <v>0</v>
      </c>
      <c r="E6" s="244">
        <v>0</v>
      </c>
      <c r="F6" s="243">
        <v>0</v>
      </c>
      <c r="G6" s="243">
        <v>2</v>
      </c>
      <c r="H6" s="243">
        <f t="shared" si="0"/>
        <v>3</v>
      </c>
    </row>
    <row r="7" spans="1:8" ht="14.25" customHeight="1">
      <c r="A7" s="202" t="s">
        <v>124</v>
      </c>
      <c r="B7" s="244">
        <v>4</v>
      </c>
      <c r="C7" s="244">
        <v>3</v>
      </c>
      <c r="D7" s="244">
        <v>0</v>
      </c>
      <c r="E7" s="244">
        <v>1</v>
      </c>
      <c r="F7" s="243">
        <v>5</v>
      </c>
      <c r="G7" s="243">
        <v>0.3</v>
      </c>
      <c r="H7" s="243">
        <f t="shared" si="0"/>
        <v>13.3</v>
      </c>
    </row>
    <row r="8" spans="1:8" ht="14.25" customHeight="1">
      <c r="A8" s="202" t="s">
        <v>126</v>
      </c>
      <c r="B8" s="244">
        <v>12</v>
      </c>
      <c r="C8" s="244">
        <v>10</v>
      </c>
      <c r="D8" s="244">
        <v>10</v>
      </c>
      <c r="E8" s="244">
        <v>2</v>
      </c>
      <c r="F8" s="243">
        <v>6</v>
      </c>
      <c r="G8" s="243">
        <v>0</v>
      </c>
      <c r="H8" s="243">
        <f t="shared" si="0"/>
        <v>40</v>
      </c>
    </row>
    <row r="9" spans="1:8" ht="14.25" customHeight="1">
      <c r="A9" s="202" t="s">
        <v>127</v>
      </c>
      <c r="B9" s="244">
        <v>1</v>
      </c>
      <c r="C9" s="244">
        <v>0</v>
      </c>
      <c r="D9" s="244">
        <v>2</v>
      </c>
      <c r="E9" s="244">
        <v>0</v>
      </c>
      <c r="F9" s="243">
        <v>8</v>
      </c>
      <c r="G9" s="243">
        <v>2</v>
      </c>
      <c r="H9" s="243">
        <f t="shared" si="0"/>
        <v>13</v>
      </c>
    </row>
    <row r="10" spans="1:8" ht="14.25" customHeight="1">
      <c r="A10" s="202" t="s">
        <v>305</v>
      </c>
      <c r="B10" s="244">
        <v>0</v>
      </c>
      <c r="C10" s="244">
        <v>1</v>
      </c>
      <c r="D10" s="244">
        <v>2</v>
      </c>
      <c r="E10" s="244">
        <v>0</v>
      </c>
      <c r="F10" s="243">
        <v>1</v>
      </c>
      <c r="G10" s="243">
        <v>2</v>
      </c>
      <c r="H10" s="243">
        <f t="shared" si="0"/>
        <v>6</v>
      </c>
    </row>
    <row r="11" spans="1:8" ht="14.25" customHeight="1">
      <c r="A11" s="202" t="s">
        <v>133</v>
      </c>
      <c r="B11" s="244">
        <v>20</v>
      </c>
      <c r="C11" s="244">
        <v>17</v>
      </c>
      <c r="D11" s="244">
        <v>1</v>
      </c>
      <c r="E11" s="244">
        <v>8</v>
      </c>
      <c r="F11" s="243">
        <v>18</v>
      </c>
      <c r="G11" s="243">
        <v>4</v>
      </c>
      <c r="H11" s="243">
        <f t="shared" si="0"/>
        <v>68</v>
      </c>
    </row>
    <row r="12" spans="1:8" ht="14.25" customHeight="1">
      <c r="A12" s="202" t="s">
        <v>137</v>
      </c>
      <c r="B12" s="244">
        <v>10</v>
      </c>
      <c r="C12" s="244">
        <v>3</v>
      </c>
      <c r="D12" s="244">
        <v>3</v>
      </c>
      <c r="E12" s="244">
        <v>0</v>
      </c>
      <c r="F12" s="243">
        <v>18</v>
      </c>
      <c r="G12" s="243">
        <v>0</v>
      </c>
      <c r="H12" s="243">
        <f t="shared" si="0"/>
        <v>34</v>
      </c>
    </row>
    <row r="13" spans="1:8" ht="14.25" customHeight="1">
      <c r="A13" s="202" t="s">
        <v>139</v>
      </c>
      <c r="B13" s="244">
        <v>1</v>
      </c>
      <c r="C13" s="244">
        <v>0</v>
      </c>
      <c r="D13" s="244">
        <v>0</v>
      </c>
      <c r="E13" s="244">
        <v>0</v>
      </c>
      <c r="F13" s="243">
        <v>1</v>
      </c>
      <c r="G13" s="243">
        <v>0.5</v>
      </c>
      <c r="H13" s="243">
        <f t="shared" si="0"/>
        <v>2.5</v>
      </c>
    </row>
    <row r="14" spans="1:8" ht="14.25" customHeight="1">
      <c r="A14" s="202" t="s">
        <v>142</v>
      </c>
      <c r="B14" s="244">
        <v>0</v>
      </c>
      <c r="C14" s="244">
        <v>1</v>
      </c>
      <c r="D14" s="244">
        <v>3</v>
      </c>
      <c r="E14" s="244">
        <v>0</v>
      </c>
      <c r="F14" s="243">
        <v>1</v>
      </c>
      <c r="G14" s="243">
        <v>0.5</v>
      </c>
      <c r="H14" s="243">
        <f t="shared" si="0"/>
        <v>5.5</v>
      </c>
    </row>
    <row r="15" spans="1:8" ht="14.25" customHeight="1">
      <c r="A15" s="202" t="s">
        <v>144</v>
      </c>
      <c r="B15" s="244">
        <v>6</v>
      </c>
      <c r="C15" s="244">
        <v>7</v>
      </c>
      <c r="D15" s="244">
        <v>0</v>
      </c>
      <c r="E15" s="244">
        <v>1</v>
      </c>
      <c r="F15" s="243">
        <v>5</v>
      </c>
      <c r="G15" s="243">
        <v>0.26</v>
      </c>
      <c r="H15" s="243">
        <f t="shared" si="0"/>
        <v>19.260000000000002</v>
      </c>
    </row>
    <row r="16" spans="1:8" ht="14.25" customHeight="1">
      <c r="A16" s="202" t="s">
        <v>148</v>
      </c>
      <c r="B16" s="244">
        <v>8</v>
      </c>
      <c r="C16" s="244">
        <v>3</v>
      </c>
      <c r="D16" s="244">
        <v>6</v>
      </c>
      <c r="E16" s="244">
        <v>2</v>
      </c>
      <c r="F16" s="243">
        <v>5</v>
      </c>
      <c r="G16" s="243">
        <v>0</v>
      </c>
      <c r="H16" s="243">
        <f t="shared" si="0"/>
        <v>24</v>
      </c>
    </row>
    <row r="17" spans="1:8" ht="14.25" customHeight="1">
      <c r="A17" s="202" t="s">
        <v>149</v>
      </c>
      <c r="B17" s="244">
        <v>15</v>
      </c>
      <c r="C17" s="244">
        <v>12</v>
      </c>
      <c r="D17" s="244">
        <v>15</v>
      </c>
      <c r="E17" s="244">
        <v>1</v>
      </c>
      <c r="F17" s="243">
        <v>4</v>
      </c>
      <c r="G17" s="243">
        <v>0</v>
      </c>
      <c r="H17" s="243">
        <f t="shared" si="0"/>
        <v>47</v>
      </c>
    </row>
    <row r="18" spans="1:8" ht="14.25" customHeight="1">
      <c r="A18" s="202" t="s">
        <v>151</v>
      </c>
      <c r="B18" s="244">
        <v>10</v>
      </c>
      <c r="C18" s="244">
        <v>8</v>
      </c>
      <c r="D18" s="244">
        <v>2</v>
      </c>
      <c r="E18" s="244">
        <v>1</v>
      </c>
      <c r="F18" s="243">
        <v>9</v>
      </c>
      <c r="G18" s="243">
        <v>4</v>
      </c>
      <c r="H18" s="243">
        <f t="shared" si="0"/>
        <v>34</v>
      </c>
    </row>
    <row r="19" spans="1:8" ht="14.25" customHeight="1">
      <c r="A19" s="202" t="s">
        <v>152</v>
      </c>
      <c r="B19" s="244">
        <v>28</v>
      </c>
      <c r="C19" s="244">
        <v>33</v>
      </c>
      <c r="D19" s="244">
        <v>23</v>
      </c>
      <c r="E19" s="244">
        <v>5</v>
      </c>
      <c r="F19" s="243">
        <v>7</v>
      </c>
      <c r="G19" s="243">
        <v>5</v>
      </c>
      <c r="H19" s="243">
        <f t="shared" si="0"/>
        <v>101</v>
      </c>
    </row>
    <row r="20" spans="1:8" ht="14.25" customHeight="1">
      <c r="A20" s="202" t="s">
        <v>154</v>
      </c>
      <c r="B20" s="244">
        <v>20</v>
      </c>
      <c r="C20" s="244">
        <v>9</v>
      </c>
      <c r="D20" s="244">
        <v>4</v>
      </c>
      <c r="E20" s="244">
        <v>2</v>
      </c>
      <c r="F20" s="243">
        <v>27</v>
      </c>
      <c r="G20" s="243">
        <v>2</v>
      </c>
      <c r="H20" s="243">
        <f t="shared" si="0"/>
        <v>64</v>
      </c>
    </row>
    <row r="21" spans="1:8" ht="14.25" customHeight="1">
      <c r="A21" s="202" t="s">
        <v>347</v>
      </c>
      <c r="B21" s="244">
        <v>9</v>
      </c>
      <c r="C21" s="244">
        <v>3</v>
      </c>
      <c r="D21" s="244">
        <v>5</v>
      </c>
      <c r="E21" s="244">
        <v>0</v>
      </c>
      <c r="F21" s="243">
        <v>12</v>
      </c>
      <c r="G21" s="243">
        <v>1</v>
      </c>
      <c r="H21" s="243">
        <f t="shared" si="0"/>
        <v>30</v>
      </c>
    </row>
    <row r="22" spans="1:8" ht="14.25" customHeight="1">
      <c r="A22" s="202" t="s">
        <v>312</v>
      </c>
      <c r="B22" s="244">
        <v>7</v>
      </c>
      <c r="C22" s="244">
        <v>2</v>
      </c>
      <c r="D22" s="244">
        <v>3</v>
      </c>
      <c r="E22" s="244">
        <v>3</v>
      </c>
      <c r="F22" s="243">
        <v>11</v>
      </c>
      <c r="G22" s="243">
        <v>1</v>
      </c>
      <c r="H22" s="243">
        <f t="shared" si="0"/>
        <v>27</v>
      </c>
    </row>
    <row r="23" spans="1:8" ht="14.25" customHeight="1">
      <c r="A23" s="202" t="s">
        <v>155</v>
      </c>
      <c r="B23" s="244">
        <v>6</v>
      </c>
      <c r="C23" s="244">
        <v>5</v>
      </c>
      <c r="D23" s="244">
        <v>0</v>
      </c>
      <c r="E23" s="244">
        <v>1</v>
      </c>
      <c r="F23" s="243">
        <v>4</v>
      </c>
      <c r="G23" s="243">
        <v>2</v>
      </c>
      <c r="H23" s="243">
        <f t="shared" si="0"/>
        <v>18</v>
      </c>
    </row>
    <row r="24" spans="1:8" ht="14.25" customHeight="1">
      <c r="A24" s="202" t="s">
        <v>348</v>
      </c>
      <c r="B24" s="244">
        <v>3</v>
      </c>
      <c r="C24" s="244">
        <v>3</v>
      </c>
      <c r="D24" s="244">
        <v>5</v>
      </c>
      <c r="E24" s="244">
        <v>1</v>
      </c>
      <c r="F24" s="243">
        <v>7</v>
      </c>
      <c r="G24" s="243">
        <v>4</v>
      </c>
      <c r="H24" s="243">
        <f t="shared" si="0"/>
        <v>23</v>
      </c>
    </row>
    <row r="25" spans="1:8" ht="14.25" customHeight="1">
      <c r="A25" s="202" t="s">
        <v>158</v>
      </c>
      <c r="B25" s="244">
        <v>1</v>
      </c>
      <c r="C25" s="244">
        <v>0</v>
      </c>
      <c r="D25" s="244">
        <v>0</v>
      </c>
      <c r="E25" s="244">
        <v>0</v>
      </c>
      <c r="F25" s="243">
        <v>3</v>
      </c>
      <c r="G25" s="243">
        <v>0.14000000000000001</v>
      </c>
      <c r="H25" s="243">
        <f t="shared" si="0"/>
        <v>4.1399999999999997</v>
      </c>
    </row>
    <row r="26" spans="1:8" ht="14.25" customHeight="1">
      <c r="A26" s="202" t="s">
        <v>160</v>
      </c>
      <c r="B26" s="244">
        <v>4</v>
      </c>
      <c r="C26" s="244">
        <v>3</v>
      </c>
      <c r="D26" s="244">
        <v>3</v>
      </c>
      <c r="E26" s="244">
        <v>0</v>
      </c>
      <c r="F26" s="243">
        <v>6</v>
      </c>
      <c r="G26" s="243">
        <v>2</v>
      </c>
      <c r="H26" s="243">
        <f t="shared" si="0"/>
        <v>18</v>
      </c>
    </row>
    <row r="27" spans="1:8" ht="14.25" customHeight="1">
      <c r="A27" s="202" t="s">
        <v>165</v>
      </c>
      <c r="B27" s="244">
        <v>8</v>
      </c>
      <c r="C27" s="244">
        <v>18</v>
      </c>
      <c r="D27" s="244">
        <v>18</v>
      </c>
      <c r="E27" s="244">
        <v>0</v>
      </c>
      <c r="F27" s="243">
        <v>15</v>
      </c>
      <c r="G27" s="243">
        <v>4</v>
      </c>
      <c r="H27" s="243">
        <f t="shared" si="0"/>
        <v>63</v>
      </c>
    </row>
    <row r="28" spans="1:8" ht="14.25" customHeight="1">
      <c r="A28" s="202" t="s">
        <v>168</v>
      </c>
      <c r="B28" s="244">
        <v>1</v>
      </c>
      <c r="C28" s="244">
        <v>0</v>
      </c>
      <c r="D28" s="244">
        <v>0</v>
      </c>
      <c r="E28" s="244">
        <v>1</v>
      </c>
      <c r="F28" s="243">
        <v>0.8</v>
      </c>
      <c r="G28" s="243">
        <v>0.34</v>
      </c>
      <c r="H28" s="243">
        <f t="shared" si="0"/>
        <v>3.1399999999999997</v>
      </c>
    </row>
    <row r="29" spans="1:8" ht="14.25" customHeight="1">
      <c r="A29" s="202" t="s">
        <v>169</v>
      </c>
      <c r="B29" s="244">
        <v>2</v>
      </c>
      <c r="C29" s="244">
        <v>0</v>
      </c>
      <c r="D29" s="244">
        <v>0</v>
      </c>
      <c r="E29" s="244">
        <v>1</v>
      </c>
      <c r="F29" s="243">
        <v>10</v>
      </c>
      <c r="G29" s="243">
        <v>0</v>
      </c>
      <c r="H29" s="243">
        <f t="shared" si="0"/>
        <v>13</v>
      </c>
    </row>
    <row r="30" spans="1:8" s="41" customFormat="1" ht="14.25" customHeight="1">
      <c r="A30" s="202" t="s">
        <v>170</v>
      </c>
      <c r="B30" s="244">
        <v>6</v>
      </c>
      <c r="C30" s="244">
        <v>26</v>
      </c>
      <c r="D30" s="244">
        <v>6</v>
      </c>
      <c r="E30" s="244">
        <v>4</v>
      </c>
      <c r="F30" s="243">
        <v>6</v>
      </c>
      <c r="G30" s="243">
        <v>0</v>
      </c>
      <c r="H30" s="243">
        <f t="shared" si="0"/>
        <v>48</v>
      </c>
    </row>
    <row r="31" spans="1:8" ht="14.25" customHeight="1">
      <c r="A31" s="202" t="s">
        <v>173</v>
      </c>
      <c r="B31" s="244">
        <v>21</v>
      </c>
      <c r="C31" s="244">
        <v>15</v>
      </c>
      <c r="D31" s="244">
        <v>6</v>
      </c>
      <c r="E31" s="244">
        <v>2</v>
      </c>
      <c r="F31" s="243">
        <v>11</v>
      </c>
      <c r="G31" s="243">
        <v>0</v>
      </c>
      <c r="H31" s="243">
        <f t="shared" si="0"/>
        <v>55</v>
      </c>
    </row>
    <row r="32" spans="1:8" ht="14.25" customHeight="1">
      <c r="A32" s="202" t="s">
        <v>280</v>
      </c>
      <c r="B32" s="244">
        <v>1</v>
      </c>
      <c r="C32" s="244">
        <v>1</v>
      </c>
      <c r="D32" s="244">
        <v>3</v>
      </c>
      <c r="E32" s="244">
        <v>0</v>
      </c>
      <c r="F32" s="243">
        <v>0</v>
      </c>
      <c r="G32" s="243">
        <v>0</v>
      </c>
      <c r="H32" s="243">
        <f t="shared" si="0"/>
        <v>5</v>
      </c>
    </row>
    <row r="33" spans="1:8" ht="14.25" customHeight="1">
      <c r="A33" s="202" t="s">
        <v>176</v>
      </c>
      <c r="B33" s="244">
        <v>4</v>
      </c>
      <c r="C33" s="244">
        <v>0</v>
      </c>
      <c r="D33" s="244">
        <v>0</v>
      </c>
      <c r="E33" s="244">
        <v>1</v>
      </c>
      <c r="F33" s="243">
        <v>5</v>
      </c>
      <c r="G33" s="243">
        <v>2</v>
      </c>
      <c r="H33" s="243">
        <f t="shared" si="0"/>
        <v>12</v>
      </c>
    </row>
    <row r="34" spans="1:8" ht="14.25" customHeight="1">
      <c r="A34" s="202" t="s">
        <v>316</v>
      </c>
      <c r="B34" s="244">
        <v>1</v>
      </c>
      <c r="C34" s="244">
        <v>0</v>
      </c>
      <c r="D34" s="244">
        <v>0</v>
      </c>
      <c r="E34" s="244">
        <v>0</v>
      </c>
      <c r="F34" s="243">
        <v>1</v>
      </c>
      <c r="G34" s="243">
        <v>0</v>
      </c>
      <c r="H34" s="243">
        <f t="shared" si="0"/>
        <v>2</v>
      </c>
    </row>
    <row r="35" spans="1:8" ht="14.25" customHeight="1">
      <c r="A35" s="202" t="s">
        <v>179</v>
      </c>
      <c r="B35" s="244">
        <v>1</v>
      </c>
      <c r="C35" s="244">
        <v>1</v>
      </c>
      <c r="D35" s="244">
        <v>1</v>
      </c>
      <c r="E35" s="244">
        <v>0</v>
      </c>
      <c r="F35" s="243">
        <v>0.6</v>
      </c>
      <c r="G35" s="243">
        <v>0.1</v>
      </c>
      <c r="H35" s="243">
        <f t="shared" si="0"/>
        <v>3.7</v>
      </c>
    </row>
    <row r="36" spans="1:8" ht="14.25" customHeight="1">
      <c r="A36" s="202" t="s">
        <v>182</v>
      </c>
      <c r="B36" s="244">
        <v>4</v>
      </c>
      <c r="C36" s="244">
        <v>6</v>
      </c>
      <c r="D36" s="244">
        <v>1</v>
      </c>
      <c r="E36" s="244">
        <v>1</v>
      </c>
      <c r="F36" s="243">
        <v>5</v>
      </c>
      <c r="G36" s="243">
        <v>0</v>
      </c>
      <c r="H36" s="243">
        <f t="shared" si="0"/>
        <v>17</v>
      </c>
    </row>
    <row r="37" spans="1:8" ht="14.25" customHeight="1">
      <c r="A37" s="202" t="s">
        <v>317</v>
      </c>
      <c r="B37" s="244">
        <v>9</v>
      </c>
      <c r="C37" s="244">
        <v>4</v>
      </c>
      <c r="D37" s="244">
        <v>0</v>
      </c>
      <c r="E37" s="244">
        <v>14</v>
      </c>
      <c r="F37" s="243">
        <v>12</v>
      </c>
      <c r="G37" s="243">
        <v>2</v>
      </c>
      <c r="H37" s="243">
        <f t="shared" si="0"/>
        <v>41</v>
      </c>
    </row>
    <row r="38" spans="1:8" ht="14.25" customHeight="1">
      <c r="A38" s="202" t="s">
        <v>185</v>
      </c>
      <c r="B38" s="244">
        <v>1</v>
      </c>
      <c r="C38" s="244">
        <v>0</v>
      </c>
      <c r="D38" s="244">
        <v>1</v>
      </c>
      <c r="E38" s="244">
        <v>0</v>
      </c>
      <c r="F38" s="243">
        <v>3</v>
      </c>
      <c r="G38" s="243">
        <v>4</v>
      </c>
      <c r="H38" s="243">
        <f t="shared" si="0"/>
        <v>9</v>
      </c>
    </row>
    <row r="39" spans="1:8" ht="14.25" customHeight="1">
      <c r="A39" s="202" t="s">
        <v>186</v>
      </c>
      <c r="B39" s="244">
        <v>15</v>
      </c>
      <c r="C39" s="244">
        <v>6</v>
      </c>
      <c r="D39" s="244">
        <v>5</v>
      </c>
      <c r="E39" s="244">
        <v>0</v>
      </c>
      <c r="F39" s="243">
        <v>16</v>
      </c>
      <c r="G39" s="243">
        <v>0.32</v>
      </c>
      <c r="H39" s="243">
        <f t="shared" si="0"/>
        <v>42.32</v>
      </c>
    </row>
    <row r="40" spans="1:8" ht="14.25" customHeight="1">
      <c r="A40" s="202" t="s">
        <v>282</v>
      </c>
      <c r="B40" s="244">
        <v>14</v>
      </c>
      <c r="C40" s="244">
        <v>18</v>
      </c>
      <c r="D40" s="244">
        <v>14</v>
      </c>
      <c r="E40" s="244">
        <v>1</v>
      </c>
      <c r="F40" s="243">
        <v>17</v>
      </c>
      <c r="G40" s="243">
        <v>2</v>
      </c>
      <c r="H40" s="243">
        <f t="shared" si="0"/>
        <v>66</v>
      </c>
    </row>
    <row r="41" spans="1:8" ht="14.25" customHeight="1">
      <c r="A41" s="202" t="s">
        <v>190</v>
      </c>
      <c r="B41" s="244">
        <v>2</v>
      </c>
      <c r="C41" s="244">
        <v>2</v>
      </c>
      <c r="D41" s="244">
        <v>3</v>
      </c>
      <c r="E41" s="244">
        <v>1</v>
      </c>
      <c r="F41" s="243">
        <v>0</v>
      </c>
      <c r="G41" s="243">
        <v>0</v>
      </c>
      <c r="H41" s="243">
        <f t="shared" si="0"/>
        <v>8</v>
      </c>
    </row>
    <row r="42" spans="1:8" ht="14.25" customHeight="1">
      <c r="A42" s="202" t="s">
        <v>192</v>
      </c>
      <c r="B42" s="244">
        <v>3</v>
      </c>
      <c r="C42" s="244">
        <v>1</v>
      </c>
      <c r="D42" s="244">
        <v>2</v>
      </c>
      <c r="E42" s="244">
        <v>0</v>
      </c>
      <c r="F42" s="243">
        <v>4</v>
      </c>
      <c r="G42" s="243">
        <v>0</v>
      </c>
      <c r="H42" s="243">
        <f t="shared" si="0"/>
        <v>10</v>
      </c>
    </row>
    <row r="43" spans="1:8" ht="14.25" customHeight="1">
      <c r="A43" s="202" t="s">
        <v>193</v>
      </c>
      <c r="B43" s="244">
        <v>2</v>
      </c>
      <c r="C43" s="244">
        <v>0</v>
      </c>
      <c r="D43" s="244">
        <v>0</v>
      </c>
      <c r="E43" s="244">
        <v>0</v>
      </c>
      <c r="F43" s="243">
        <v>5</v>
      </c>
      <c r="G43" s="243">
        <v>2</v>
      </c>
      <c r="H43" s="243">
        <f t="shared" si="0"/>
        <v>9</v>
      </c>
    </row>
    <row r="44" spans="1:8" ht="14.25" customHeight="1">
      <c r="A44" s="202" t="s">
        <v>318</v>
      </c>
      <c r="B44" s="244">
        <v>13</v>
      </c>
      <c r="C44" s="244">
        <v>7</v>
      </c>
      <c r="D44" s="244">
        <v>8</v>
      </c>
      <c r="E44" s="244">
        <v>4</v>
      </c>
      <c r="F44" s="243">
        <v>8</v>
      </c>
      <c r="G44" s="243">
        <v>1</v>
      </c>
      <c r="H44" s="243">
        <f t="shared" si="0"/>
        <v>41</v>
      </c>
    </row>
    <row r="45" spans="1:8" ht="14.25" customHeight="1">
      <c r="A45" s="202" t="s">
        <v>196</v>
      </c>
      <c r="B45" s="244">
        <v>0</v>
      </c>
      <c r="C45" s="244">
        <v>0</v>
      </c>
      <c r="D45" s="244">
        <v>0</v>
      </c>
      <c r="E45" s="244">
        <v>0</v>
      </c>
      <c r="F45" s="243">
        <v>2</v>
      </c>
      <c r="G45" s="243">
        <v>0.6</v>
      </c>
      <c r="H45" s="243">
        <f t="shared" si="0"/>
        <v>2.6</v>
      </c>
    </row>
    <row r="46" spans="1:8" ht="14.25" customHeight="1">
      <c r="A46" s="202" t="s">
        <v>198</v>
      </c>
      <c r="B46" s="244">
        <v>12</v>
      </c>
      <c r="C46" s="244">
        <v>0</v>
      </c>
      <c r="D46" s="244">
        <v>8</v>
      </c>
      <c r="E46" s="244">
        <v>7</v>
      </c>
      <c r="F46" s="243">
        <v>13</v>
      </c>
      <c r="G46" s="243">
        <v>0</v>
      </c>
      <c r="H46" s="243">
        <f t="shared" si="0"/>
        <v>40</v>
      </c>
    </row>
    <row r="47" spans="1:8" ht="14.25" customHeight="1">
      <c r="A47" s="202" t="s">
        <v>199</v>
      </c>
      <c r="B47" s="244">
        <v>7</v>
      </c>
      <c r="C47" s="244">
        <v>4</v>
      </c>
      <c r="D47" s="244">
        <v>3</v>
      </c>
      <c r="E47" s="244">
        <v>1</v>
      </c>
      <c r="F47" s="243">
        <v>11</v>
      </c>
      <c r="G47" s="243">
        <v>0.4</v>
      </c>
      <c r="H47" s="243">
        <f t="shared" si="0"/>
        <v>26.4</v>
      </c>
    </row>
    <row r="48" spans="1:8" ht="14.25" customHeight="1">
      <c r="A48" s="202" t="s">
        <v>202</v>
      </c>
      <c r="B48" s="244">
        <v>1</v>
      </c>
      <c r="C48" s="244">
        <v>0</v>
      </c>
      <c r="D48" s="244">
        <v>0</v>
      </c>
      <c r="E48" s="244">
        <v>1</v>
      </c>
      <c r="F48" s="243">
        <v>6</v>
      </c>
      <c r="G48" s="243">
        <v>0</v>
      </c>
      <c r="H48" s="243">
        <f t="shared" si="0"/>
        <v>8</v>
      </c>
    </row>
    <row r="49" spans="1:8" ht="14.25" customHeight="1">
      <c r="A49" s="202" t="s">
        <v>203</v>
      </c>
      <c r="B49" s="244">
        <v>9</v>
      </c>
      <c r="C49" s="244">
        <v>11</v>
      </c>
      <c r="D49" s="244">
        <v>13</v>
      </c>
      <c r="E49" s="244">
        <v>4</v>
      </c>
      <c r="F49" s="243">
        <v>8</v>
      </c>
      <c r="G49" s="243">
        <v>3</v>
      </c>
      <c r="H49" s="243">
        <f t="shared" si="0"/>
        <v>48</v>
      </c>
    </row>
    <row r="50" spans="1:8" ht="14.25" customHeight="1">
      <c r="A50" s="2" t="s">
        <v>319</v>
      </c>
      <c r="B50" s="244">
        <v>6</v>
      </c>
      <c r="C50" s="244">
        <v>5</v>
      </c>
      <c r="D50" s="244">
        <v>4</v>
      </c>
      <c r="E50" s="244">
        <v>3</v>
      </c>
      <c r="F50" s="243">
        <v>6</v>
      </c>
      <c r="G50" s="243">
        <v>0</v>
      </c>
      <c r="H50" s="243">
        <f t="shared" si="0"/>
        <v>24</v>
      </c>
    </row>
    <row r="51" spans="1:8" ht="14.25" customHeight="1">
      <c r="A51" s="2" t="s">
        <v>206</v>
      </c>
      <c r="B51" s="37">
        <v>7</v>
      </c>
      <c r="C51" s="37">
        <v>3</v>
      </c>
      <c r="D51" s="37">
        <v>4</v>
      </c>
      <c r="E51" s="37">
        <v>4</v>
      </c>
      <c r="F51" s="57">
        <v>4</v>
      </c>
      <c r="G51" s="57">
        <v>3</v>
      </c>
      <c r="H51" s="243">
        <f t="shared" si="0"/>
        <v>25</v>
      </c>
    </row>
    <row r="52" spans="1:8" ht="14.25" customHeight="1">
      <c r="A52" s="2" t="s">
        <v>207</v>
      </c>
      <c r="B52" s="37">
        <v>9</v>
      </c>
      <c r="C52" s="37">
        <v>8</v>
      </c>
      <c r="D52" s="37">
        <v>0</v>
      </c>
      <c r="E52" s="37">
        <v>2</v>
      </c>
      <c r="F52" s="57">
        <v>13</v>
      </c>
      <c r="G52" s="57">
        <v>2</v>
      </c>
      <c r="H52" s="243">
        <f t="shared" si="0"/>
        <v>34</v>
      </c>
    </row>
    <row r="53" spans="1:8" ht="14.25" customHeight="1">
      <c r="A53" s="2" t="s">
        <v>208</v>
      </c>
      <c r="B53" s="37">
        <v>2</v>
      </c>
      <c r="C53" s="37">
        <v>0</v>
      </c>
      <c r="D53" s="37">
        <v>2</v>
      </c>
      <c r="E53" s="37">
        <v>0</v>
      </c>
      <c r="F53" s="57">
        <v>4</v>
      </c>
      <c r="G53" s="57">
        <v>1</v>
      </c>
      <c r="H53" s="243">
        <f t="shared" si="0"/>
        <v>9</v>
      </c>
    </row>
    <row r="54" spans="1:8" ht="14.25" customHeight="1">
      <c r="A54" s="2" t="s">
        <v>210</v>
      </c>
      <c r="B54" s="37">
        <v>9</v>
      </c>
      <c r="C54" s="37">
        <v>2</v>
      </c>
      <c r="D54" s="37">
        <v>0</v>
      </c>
      <c r="E54" s="37">
        <v>4</v>
      </c>
      <c r="F54" s="57">
        <v>4</v>
      </c>
      <c r="G54" s="57">
        <v>2</v>
      </c>
      <c r="H54" s="243">
        <f t="shared" si="0"/>
        <v>21</v>
      </c>
    </row>
    <row r="55" spans="1:8" ht="14.25" customHeight="1">
      <c r="A55" s="2" t="s">
        <v>349</v>
      </c>
      <c r="B55" s="37">
        <v>0</v>
      </c>
      <c r="C55" s="37">
        <v>0</v>
      </c>
      <c r="D55" s="37">
        <v>0</v>
      </c>
      <c r="E55" s="37">
        <v>0</v>
      </c>
      <c r="F55" s="57">
        <v>1</v>
      </c>
      <c r="G55" s="57">
        <v>0.23</v>
      </c>
      <c r="H55" s="243">
        <f t="shared" si="0"/>
        <v>1.23</v>
      </c>
    </row>
    <row r="56" spans="1:8" ht="14.25" customHeight="1">
      <c r="A56" s="2" t="s">
        <v>213</v>
      </c>
      <c r="B56" s="37">
        <v>1</v>
      </c>
      <c r="C56" s="37">
        <v>1</v>
      </c>
      <c r="D56" s="37">
        <v>1</v>
      </c>
      <c r="E56" s="37">
        <v>1</v>
      </c>
      <c r="F56" s="57">
        <v>3</v>
      </c>
      <c r="G56" s="57">
        <v>0</v>
      </c>
      <c r="H56" s="243">
        <f t="shared" si="0"/>
        <v>7</v>
      </c>
    </row>
    <row r="57" spans="1:8" ht="14.25" customHeight="1">
      <c r="A57" s="2" t="s">
        <v>357</v>
      </c>
      <c r="B57" s="37">
        <v>0</v>
      </c>
      <c r="C57" s="37">
        <v>0</v>
      </c>
      <c r="D57" s="37">
        <v>0</v>
      </c>
      <c r="E57" s="37">
        <v>1</v>
      </c>
      <c r="F57" s="57">
        <v>3</v>
      </c>
      <c r="G57" s="57">
        <v>0</v>
      </c>
      <c r="H57" s="243">
        <f t="shared" si="0"/>
        <v>4</v>
      </c>
    </row>
    <row r="58" spans="1:8" ht="14.25" customHeight="1">
      <c r="A58" s="2" t="s">
        <v>218</v>
      </c>
      <c r="B58" s="37">
        <v>17</v>
      </c>
      <c r="C58" s="37">
        <v>24</v>
      </c>
      <c r="D58" s="37">
        <v>11</v>
      </c>
      <c r="E58" s="37">
        <v>6</v>
      </c>
      <c r="F58" s="57">
        <v>15</v>
      </c>
      <c r="G58" s="57">
        <v>33</v>
      </c>
      <c r="H58" s="243">
        <f t="shared" si="0"/>
        <v>106</v>
      </c>
    </row>
    <row r="59" spans="1:8" ht="14.25" customHeight="1">
      <c r="A59" s="2" t="s">
        <v>219</v>
      </c>
      <c r="B59" s="37">
        <v>6</v>
      </c>
      <c r="C59" s="37">
        <v>6</v>
      </c>
      <c r="D59" s="37">
        <v>0</v>
      </c>
      <c r="E59" s="37">
        <v>1</v>
      </c>
      <c r="F59" s="57">
        <v>16</v>
      </c>
      <c r="G59" s="57">
        <v>0.5</v>
      </c>
      <c r="H59" s="243">
        <f t="shared" si="0"/>
        <v>29.5</v>
      </c>
    </row>
    <row r="60" spans="1:8" ht="14.25" customHeight="1">
      <c r="A60" s="2" t="s">
        <v>320</v>
      </c>
      <c r="B60" s="37">
        <v>4</v>
      </c>
      <c r="C60" s="37">
        <v>0</v>
      </c>
      <c r="D60" s="37">
        <v>1</v>
      </c>
      <c r="E60" s="37">
        <v>0</v>
      </c>
      <c r="F60" s="57">
        <v>1</v>
      </c>
      <c r="G60" s="57">
        <v>2</v>
      </c>
      <c r="H60" s="243">
        <f t="shared" si="0"/>
        <v>8</v>
      </c>
    </row>
    <row r="61" spans="1:8" ht="14.25" customHeight="1">
      <c r="A61" s="2" t="s">
        <v>220</v>
      </c>
      <c r="B61" s="37">
        <v>21</v>
      </c>
      <c r="C61" s="37">
        <v>4</v>
      </c>
      <c r="D61" s="37">
        <v>9</v>
      </c>
      <c r="E61" s="37">
        <v>17</v>
      </c>
      <c r="F61" s="57">
        <v>27</v>
      </c>
      <c r="G61" s="57">
        <v>0</v>
      </c>
      <c r="H61" s="243">
        <f t="shared" si="0"/>
        <v>78</v>
      </c>
    </row>
    <row r="62" spans="1:8" ht="14.25" customHeight="1">
      <c r="A62" s="2" t="s">
        <v>283</v>
      </c>
      <c r="B62" s="37">
        <v>1</v>
      </c>
      <c r="C62" s="37">
        <v>0</v>
      </c>
      <c r="D62" s="37">
        <v>0</v>
      </c>
      <c r="E62" s="37">
        <v>0</v>
      </c>
      <c r="F62" s="57">
        <v>0.68</v>
      </c>
      <c r="G62" s="57">
        <v>0.34</v>
      </c>
      <c r="H62" s="243">
        <f t="shared" si="0"/>
        <v>2.02</v>
      </c>
    </row>
    <row r="63" spans="1:8" ht="14.25" customHeight="1">
      <c r="A63" s="2" t="s">
        <v>223</v>
      </c>
      <c r="B63" s="37">
        <v>2</v>
      </c>
      <c r="C63" s="37">
        <v>1</v>
      </c>
      <c r="D63" s="37">
        <v>0</v>
      </c>
      <c r="E63" s="37">
        <v>3</v>
      </c>
      <c r="F63" s="57">
        <v>2</v>
      </c>
      <c r="G63" s="57">
        <v>0.08</v>
      </c>
      <c r="H63" s="243">
        <f t="shared" si="0"/>
        <v>8.08</v>
      </c>
    </row>
    <row r="64" spans="1:8" ht="14.25" customHeight="1">
      <c r="A64" s="2" t="s">
        <v>224</v>
      </c>
      <c r="B64" s="37">
        <v>21</v>
      </c>
      <c r="C64" s="37">
        <v>11</v>
      </c>
      <c r="D64" s="37">
        <v>16</v>
      </c>
      <c r="E64" s="37">
        <v>2</v>
      </c>
      <c r="F64" s="57">
        <v>30</v>
      </c>
      <c r="G64" s="57">
        <v>0</v>
      </c>
      <c r="H64" s="243">
        <f t="shared" si="0"/>
        <v>80</v>
      </c>
    </row>
    <row r="65" spans="1:8" ht="14.25" customHeight="1">
      <c r="A65" s="2" t="s">
        <v>225</v>
      </c>
      <c r="B65" s="37">
        <v>15</v>
      </c>
      <c r="C65" s="37">
        <v>11</v>
      </c>
      <c r="D65" s="37">
        <v>4</v>
      </c>
      <c r="E65" s="37">
        <v>1</v>
      </c>
      <c r="F65" s="57">
        <v>13</v>
      </c>
      <c r="G65" s="57">
        <v>0</v>
      </c>
      <c r="H65" s="243">
        <f t="shared" si="0"/>
        <v>44</v>
      </c>
    </row>
    <row r="66" spans="1:8" ht="14.25" customHeight="1">
      <c r="A66" s="2" t="s">
        <v>226</v>
      </c>
      <c r="B66" s="37">
        <v>9</v>
      </c>
      <c r="C66" s="37">
        <v>0</v>
      </c>
      <c r="D66" s="37">
        <v>6</v>
      </c>
      <c r="E66" s="37">
        <v>2</v>
      </c>
      <c r="F66" s="57">
        <v>4</v>
      </c>
      <c r="G66" s="57">
        <v>0.7</v>
      </c>
      <c r="H66" s="243">
        <f t="shared" si="0"/>
        <v>21.7</v>
      </c>
    </row>
    <row r="67" spans="1:8" ht="14.25" customHeight="1">
      <c r="A67" s="2" t="s">
        <v>228</v>
      </c>
      <c r="B67" s="37">
        <v>3</v>
      </c>
      <c r="C67" s="37">
        <v>2</v>
      </c>
      <c r="D67" s="37">
        <v>2</v>
      </c>
      <c r="E67" s="37">
        <v>0</v>
      </c>
      <c r="F67" s="57">
        <v>5</v>
      </c>
      <c r="G67" s="57">
        <v>3</v>
      </c>
      <c r="H67" s="243">
        <f t="shared" si="0"/>
        <v>15</v>
      </c>
    </row>
    <row r="68" spans="1:8" ht="14.25" customHeight="1">
      <c r="A68" s="2" t="s">
        <v>229</v>
      </c>
      <c r="B68" s="37">
        <v>12</v>
      </c>
      <c r="C68" s="37">
        <v>8</v>
      </c>
      <c r="D68" s="37">
        <v>10</v>
      </c>
      <c r="E68" s="37">
        <v>2</v>
      </c>
      <c r="F68" s="57">
        <v>10</v>
      </c>
      <c r="G68" s="57">
        <v>4</v>
      </c>
      <c r="H68" s="243">
        <f t="shared" si="0"/>
        <v>46</v>
      </c>
    </row>
    <row r="69" spans="1:8" ht="14.25" customHeight="1">
      <c r="A69" s="2" t="s">
        <v>322</v>
      </c>
      <c r="B69" s="37">
        <v>7</v>
      </c>
      <c r="C69" s="37">
        <v>10</v>
      </c>
      <c r="D69" s="37">
        <v>13</v>
      </c>
      <c r="E69" s="37">
        <v>4</v>
      </c>
      <c r="F69" s="57">
        <v>35</v>
      </c>
      <c r="G69" s="57">
        <v>0</v>
      </c>
      <c r="H69" s="243">
        <f t="shared" ref="H69:H92" si="1">SUM(B69:G69)</f>
        <v>69</v>
      </c>
    </row>
    <row r="70" spans="1:8" ht="14.25" customHeight="1">
      <c r="A70" s="2" t="s">
        <v>323</v>
      </c>
      <c r="B70" s="37">
        <v>4</v>
      </c>
      <c r="C70" s="37">
        <v>0</v>
      </c>
      <c r="D70" s="37">
        <v>3</v>
      </c>
      <c r="E70" s="37">
        <v>2</v>
      </c>
      <c r="F70" s="57">
        <v>5</v>
      </c>
      <c r="G70" s="57">
        <v>1</v>
      </c>
      <c r="H70" s="243">
        <f t="shared" si="1"/>
        <v>15</v>
      </c>
    </row>
    <row r="71" spans="1:8" ht="14.25" customHeight="1">
      <c r="A71" s="2" t="s">
        <v>350</v>
      </c>
      <c r="B71" s="37">
        <v>5</v>
      </c>
      <c r="C71" s="37">
        <v>2</v>
      </c>
      <c r="D71" s="37">
        <v>7</v>
      </c>
      <c r="E71" s="37">
        <v>10</v>
      </c>
      <c r="F71" s="57">
        <v>20</v>
      </c>
      <c r="G71" s="57">
        <v>8</v>
      </c>
      <c r="H71" s="243">
        <f t="shared" si="1"/>
        <v>52</v>
      </c>
    </row>
    <row r="72" spans="1:8" ht="14.25" customHeight="1">
      <c r="A72" s="2" t="s">
        <v>284</v>
      </c>
      <c r="B72" s="37">
        <v>15</v>
      </c>
      <c r="C72" s="37">
        <v>8</v>
      </c>
      <c r="D72" s="37">
        <v>9</v>
      </c>
      <c r="E72" s="37">
        <v>4</v>
      </c>
      <c r="F72" s="57">
        <v>14</v>
      </c>
      <c r="G72" s="57">
        <v>1</v>
      </c>
      <c r="H72" s="243">
        <f t="shared" si="1"/>
        <v>51</v>
      </c>
    </row>
    <row r="73" spans="1:8" ht="14.25" customHeight="1">
      <c r="A73" s="2" t="s">
        <v>232</v>
      </c>
      <c r="B73" s="37">
        <v>6</v>
      </c>
      <c r="C73" s="37">
        <v>7</v>
      </c>
      <c r="D73" s="37">
        <v>4</v>
      </c>
      <c r="E73" s="37">
        <v>1</v>
      </c>
      <c r="F73" s="57">
        <v>5</v>
      </c>
      <c r="G73" s="57">
        <v>0</v>
      </c>
      <c r="H73" s="243">
        <f t="shared" si="1"/>
        <v>23</v>
      </c>
    </row>
    <row r="74" spans="1:8" ht="14.25" customHeight="1">
      <c r="A74" s="2" t="s">
        <v>233</v>
      </c>
      <c r="B74" s="37">
        <v>9</v>
      </c>
      <c r="C74" s="37">
        <v>2</v>
      </c>
      <c r="D74" s="37">
        <v>7</v>
      </c>
      <c r="E74" s="37">
        <v>1</v>
      </c>
      <c r="F74" s="57">
        <v>6</v>
      </c>
      <c r="G74" s="57">
        <v>0.09</v>
      </c>
      <c r="H74" s="243">
        <f t="shared" si="1"/>
        <v>25.09</v>
      </c>
    </row>
    <row r="75" spans="1:8" ht="14.25" customHeight="1">
      <c r="A75" s="2" t="s">
        <v>234</v>
      </c>
      <c r="B75" s="37">
        <v>2</v>
      </c>
      <c r="C75" s="37">
        <v>3</v>
      </c>
      <c r="D75" s="37">
        <v>0</v>
      </c>
      <c r="E75" s="37">
        <v>1</v>
      </c>
      <c r="F75" s="57">
        <v>4</v>
      </c>
      <c r="G75" s="57">
        <v>0</v>
      </c>
      <c r="H75" s="243">
        <f t="shared" si="1"/>
        <v>10</v>
      </c>
    </row>
    <row r="76" spans="1:8" ht="14.25" customHeight="1">
      <c r="A76" s="2" t="s">
        <v>236</v>
      </c>
      <c r="B76" s="37">
        <v>1</v>
      </c>
      <c r="C76" s="37">
        <v>1</v>
      </c>
      <c r="D76" s="37">
        <v>0</v>
      </c>
      <c r="E76" s="37">
        <v>0</v>
      </c>
      <c r="F76" s="57">
        <v>2</v>
      </c>
      <c r="G76" s="57">
        <v>0.9</v>
      </c>
      <c r="H76" s="243">
        <f t="shared" si="1"/>
        <v>4.9000000000000004</v>
      </c>
    </row>
    <row r="77" spans="1:8" ht="14.25" customHeight="1">
      <c r="A77" s="2" t="s">
        <v>238</v>
      </c>
      <c r="B77" s="37">
        <v>6</v>
      </c>
      <c r="C77" s="37">
        <v>3</v>
      </c>
      <c r="D77" s="37">
        <v>1</v>
      </c>
      <c r="E77" s="37">
        <v>0</v>
      </c>
      <c r="F77" s="57">
        <v>3</v>
      </c>
      <c r="G77" s="57">
        <v>1</v>
      </c>
      <c r="H77" s="243">
        <f t="shared" si="1"/>
        <v>14</v>
      </c>
    </row>
    <row r="78" spans="1:8" ht="14.25" customHeight="1">
      <c r="A78" s="2" t="s">
        <v>239</v>
      </c>
      <c r="B78" s="37">
        <v>22</v>
      </c>
      <c r="C78" s="37">
        <v>15</v>
      </c>
      <c r="D78" s="37">
        <v>17</v>
      </c>
      <c r="E78" s="37">
        <v>3</v>
      </c>
      <c r="F78" s="57">
        <v>14</v>
      </c>
      <c r="G78" s="57">
        <v>0</v>
      </c>
      <c r="H78" s="243">
        <f t="shared" si="1"/>
        <v>71</v>
      </c>
    </row>
    <row r="79" spans="1:8" ht="14.25" customHeight="1">
      <c r="A79" s="2" t="s">
        <v>351</v>
      </c>
      <c r="B79" s="37">
        <v>22</v>
      </c>
      <c r="C79" s="37">
        <v>10</v>
      </c>
      <c r="D79" s="37">
        <v>16</v>
      </c>
      <c r="E79" s="37">
        <v>12</v>
      </c>
      <c r="F79" s="57">
        <v>18</v>
      </c>
      <c r="G79" s="57">
        <v>26</v>
      </c>
      <c r="H79" s="243">
        <f t="shared" si="1"/>
        <v>104</v>
      </c>
    </row>
    <row r="80" spans="1:8" ht="14.25" customHeight="1">
      <c r="A80" s="2" t="s">
        <v>244</v>
      </c>
      <c r="B80" s="37">
        <v>1</v>
      </c>
      <c r="C80" s="37">
        <v>0</v>
      </c>
      <c r="D80" s="37">
        <v>1</v>
      </c>
      <c r="E80" s="37">
        <v>0</v>
      </c>
      <c r="F80" s="57">
        <v>0.6</v>
      </c>
      <c r="G80" s="57">
        <v>1</v>
      </c>
      <c r="H80" s="243">
        <f t="shared" si="1"/>
        <v>3.6</v>
      </c>
    </row>
    <row r="81" spans="1:8" ht="14.25" customHeight="1">
      <c r="A81" s="2" t="s">
        <v>326</v>
      </c>
      <c r="B81" s="37">
        <v>1</v>
      </c>
      <c r="C81" s="37">
        <v>0</v>
      </c>
      <c r="D81" s="37">
        <v>0</v>
      </c>
      <c r="E81" s="37">
        <v>0</v>
      </c>
      <c r="F81" s="57">
        <v>7</v>
      </c>
      <c r="G81" s="57">
        <v>6</v>
      </c>
      <c r="H81" s="243">
        <f t="shared" si="1"/>
        <v>14</v>
      </c>
    </row>
    <row r="82" spans="1:8" ht="14.25" customHeight="1">
      <c r="A82" s="2" t="s">
        <v>247</v>
      </c>
      <c r="B82" s="37">
        <v>1</v>
      </c>
      <c r="C82" s="37">
        <v>0</v>
      </c>
      <c r="D82" s="37">
        <v>0</v>
      </c>
      <c r="E82" s="37">
        <v>0</v>
      </c>
      <c r="F82" s="57">
        <v>1</v>
      </c>
      <c r="G82" s="57">
        <v>0</v>
      </c>
      <c r="H82" s="243">
        <f t="shared" si="1"/>
        <v>2</v>
      </c>
    </row>
    <row r="83" spans="1:8" ht="14.25" customHeight="1">
      <c r="A83" s="2" t="s">
        <v>249</v>
      </c>
      <c r="B83" s="37">
        <v>4</v>
      </c>
      <c r="C83" s="37">
        <v>0</v>
      </c>
      <c r="D83" s="37">
        <v>12</v>
      </c>
      <c r="E83" s="37">
        <v>0</v>
      </c>
      <c r="F83" s="57">
        <v>4</v>
      </c>
      <c r="G83" s="57">
        <v>0.6</v>
      </c>
      <c r="H83" s="243">
        <f t="shared" si="1"/>
        <v>20.6</v>
      </c>
    </row>
    <row r="84" spans="1:8" ht="14.25" customHeight="1">
      <c r="A84" s="2" t="s">
        <v>254</v>
      </c>
      <c r="B84" s="37">
        <v>10</v>
      </c>
      <c r="C84" s="37">
        <v>5</v>
      </c>
      <c r="D84" s="37">
        <v>3</v>
      </c>
      <c r="E84" s="37">
        <v>3</v>
      </c>
      <c r="F84" s="57">
        <v>10</v>
      </c>
      <c r="G84" s="57">
        <v>0</v>
      </c>
      <c r="H84" s="243">
        <f t="shared" si="1"/>
        <v>31</v>
      </c>
    </row>
    <row r="85" spans="1:8" ht="14.25" customHeight="1">
      <c r="A85" s="2" t="s">
        <v>256</v>
      </c>
      <c r="B85" s="37">
        <v>0</v>
      </c>
      <c r="C85" s="37">
        <v>0</v>
      </c>
      <c r="D85" s="37">
        <v>2</v>
      </c>
      <c r="E85" s="37">
        <v>0</v>
      </c>
      <c r="F85" s="57">
        <v>5</v>
      </c>
      <c r="G85" s="57">
        <v>1</v>
      </c>
      <c r="H85" s="243">
        <f t="shared" si="1"/>
        <v>8</v>
      </c>
    </row>
    <row r="86" spans="1:8" ht="14.25" customHeight="1">
      <c r="A86" s="2" t="s">
        <v>327</v>
      </c>
      <c r="B86" s="37">
        <v>5</v>
      </c>
      <c r="C86" s="37">
        <v>1</v>
      </c>
      <c r="D86" s="37">
        <v>4</v>
      </c>
      <c r="E86" s="37">
        <v>0</v>
      </c>
      <c r="F86" s="57">
        <v>5</v>
      </c>
      <c r="G86" s="57">
        <v>0.25</v>
      </c>
      <c r="H86" s="243">
        <f t="shared" si="1"/>
        <v>15.25</v>
      </c>
    </row>
    <row r="87" spans="1:8" ht="14.25" customHeight="1">
      <c r="A87" s="2" t="s">
        <v>257</v>
      </c>
      <c r="B87" s="37">
        <v>14</v>
      </c>
      <c r="C87" s="37">
        <v>10</v>
      </c>
      <c r="D87" s="37">
        <v>3</v>
      </c>
      <c r="E87" s="37">
        <v>0</v>
      </c>
      <c r="F87" s="57">
        <v>8</v>
      </c>
      <c r="G87" s="57">
        <v>3</v>
      </c>
      <c r="H87" s="243">
        <f t="shared" si="1"/>
        <v>38</v>
      </c>
    </row>
    <row r="88" spans="1:8" ht="14.25" customHeight="1">
      <c r="A88" s="2" t="s">
        <v>258</v>
      </c>
      <c r="B88" s="37">
        <v>2</v>
      </c>
      <c r="C88" s="37">
        <v>6</v>
      </c>
      <c r="D88" s="37">
        <v>2</v>
      </c>
      <c r="E88" s="37">
        <v>0</v>
      </c>
      <c r="F88" s="57">
        <v>3</v>
      </c>
      <c r="G88" s="57">
        <v>0.8</v>
      </c>
      <c r="H88" s="243">
        <f t="shared" si="1"/>
        <v>13.8</v>
      </c>
    </row>
    <row r="89" spans="1:8" ht="14.25" customHeight="1">
      <c r="A89" s="2" t="s">
        <v>285</v>
      </c>
      <c r="B89" s="37">
        <v>6</v>
      </c>
      <c r="C89" s="37">
        <v>1</v>
      </c>
      <c r="D89" s="37">
        <v>1</v>
      </c>
      <c r="E89" s="37">
        <v>1</v>
      </c>
      <c r="F89" s="57">
        <v>2</v>
      </c>
      <c r="G89" s="57">
        <v>0.49</v>
      </c>
      <c r="H89" s="243">
        <f t="shared" si="1"/>
        <v>11.49</v>
      </c>
    </row>
    <row r="90" spans="1:8" ht="14.25" customHeight="1">
      <c r="A90" s="2" t="s">
        <v>260</v>
      </c>
      <c r="B90" s="37">
        <v>20</v>
      </c>
      <c r="C90" s="37">
        <v>20</v>
      </c>
      <c r="D90" s="37">
        <v>0</v>
      </c>
      <c r="E90" s="37">
        <v>3</v>
      </c>
      <c r="F90" s="57">
        <v>22</v>
      </c>
      <c r="G90" s="57">
        <v>2</v>
      </c>
      <c r="H90" s="243">
        <f t="shared" si="1"/>
        <v>67</v>
      </c>
    </row>
    <row r="91" spans="1:8" ht="14.25" customHeight="1">
      <c r="A91" s="2" t="s">
        <v>261</v>
      </c>
      <c r="B91" s="37">
        <v>9</v>
      </c>
      <c r="C91" s="37">
        <v>10</v>
      </c>
      <c r="D91" s="37">
        <v>2</v>
      </c>
      <c r="E91" s="37">
        <v>3</v>
      </c>
      <c r="F91" s="57">
        <v>10</v>
      </c>
      <c r="G91" s="57">
        <v>0</v>
      </c>
      <c r="H91" s="243">
        <f t="shared" si="1"/>
        <v>34</v>
      </c>
    </row>
    <row r="92" spans="1:8" ht="14.25" customHeight="1">
      <c r="A92" s="2" t="s">
        <v>286</v>
      </c>
      <c r="B92" s="37">
        <v>1</v>
      </c>
      <c r="C92" s="37">
        <v>2</v>
      </c>
      <c r="D92" s="37">
        <v>0</v>
      </c>
      <c r="E92" s="37">
        <v>0</v>
      </c>
      <c r="F92" s="57">
        <v>1</v>
      </c>
      <c r="G92" s="57">
        <v>1</v>
      </c>
      <c r="H92" s="243">
        <f t="shared" si="1"/>
        <v>5</v>
      </c>
    </row>
    <row r="93" spans="1:8" ht="14.25" customHeight="1">
      <c r="A93" s="2"/>
      <c r="B93" s="37"/>
      <c r="C93" s="37"/>
      <c r="D93" s="37"/>
      <c r="E93" s="37"/>
      <c r="F93" s="57"/>
      <c r="G93" s="57"/>
      <c r="H93" s="57"/>
    </row>
    <row r="94" spans="1:8" ht="14.25" customHeight="1">
      <c r="A94" s="7" t="s">
        <v>105</v>
      </c>
      <c r="B94" s="245">
        <f>MEDIAN(B4:B92)</f>
        <v>6</v>
      </c>
      <c r="C94" s="245">
        <f t="shared" ref="C94:H94" si="2">MEDIAN(C4:C92)</f>
        <v>3</v>
      </c>
      <c r="D94" s="245">
        <f t="shared" si="2"/>
        <v>2</v>
      </c>
      <c r="E94" s="245">
        <f t="shared" si="2"/>
        <v>1</v>
      </c>
      <c r="F94" s="32">
        <f t="shared" si="2"/>
        <v>5</v>
      </c>
      <c r="G94" s="32">
        <f t="shared" si="2"/>
        <v>0.6</v>
      </c>
      <c r="H94" s="32">
        <f t="shared" si="2"/>
        <v>20.6</v>
      </c>
    </row>
    <row r="95" spans="1:8" ht="14.25" customHeight="1">
      <c r="A95" s="7" t="s">
        <v>104</v>
      </c>
      <c r="B95" s="245">
        <f>AVERAGE(B4:B92)</f>
        <v>7.0674157303370784</v>
      </c>
      <c r="C95" s="245">
        <f t="shared" ref="C95:H95" si="3">AVERAGE(C4:C92)</f>
        <v>5.0561797752808992</v>
      </c>
      <c r="D95" s="245">
        <f t="shared" si="3"/>
        <v>4.0337078651685392</v>
      </c>
      <c r="E95" s="245">
        <f t="shared" si="3"/>
        <v>1.8876404494382022</v>
      </c>
      <c r="F95" s="32">
        <f t="shared" si="3"/>
        <v>7.8615730337078649</v>
      </c>
      <c r="G95" s="32">
        <f t="shared" si="3"/>
        <v>1.816179775280899</v>
      </c>
      <c r="H95" s="32">
        <f t="shared" si="3"/>
        <v>27.72269662921348</v>
      </c>
    </row>
    <row r="96" spans="1:8" ht="14.25" customHeight="1">
      <c r="A96" s="7" t="s">
        <v>329</v>
      </c>
      <c r="B96" s="245">
        <f>SUM(B4:B92)</f>
        <v>629</v>
      </c>
      <c r="C96" s="245">
        <f t="shared" ref="C96:H96" si="4">SUM(C4:C92)</f>
        <v>450</v>
      </c>
      <c r="D96" s="245">
        <f t="shared" si="4"/>
        <v>359</v>
      </c>
      <c r="E96" s="245">
        <f t="shared" si="4"/>
        <v>168</v>
      </c>
      <c r="F96" s="32">
        <f t="shared" si="4"/>
        <v>699.68</v>
      </c>
      <c r="G96" s="32">
        <f t="shared" si="4"/>
        <v>161.64000000000001</v>
      </c>
      <c r="H96" s="58">
        <f t="shared" si="4"/>
        <v>2467.3199999999997</v>
      </c>
    </row>
    <row r="97" spans="1:8" ht="14.25" customHeight="1">
      <c r="A97" s="7"/>
      <c r="B97" s="245"/>
      <c r="C97" s="245"/>
      <c r="D97" s="245"/>
      <c r="E97" s="245"/>
      <c r="F97" s="58"/>
      <c r="G97" s="58"/>
      <c r="H97" s="58"/>
    </row>
  </sheetData>
  <sortState xmlns:xlrd2="http://schemas.microsoft.com/office/spreadsheetml/2017/richdata2" ref="A4:H50">
    <sortCondition ref="A4"/>
  </sortState>
  <phoneticPr fontId="51" type="noConversion"/>
  <conditionalFormatting sqref="B4:H50 H5:H92">
    <cfRule type="cellIs" dxfId="36" priority="2" operator="lessThan">
      <formula>0</formula>
    </cfRule>
  </conditionalFormatting>
  <conditionalFormatting sqref="B4:H97">
    <cfRule type="cellIs" dxfId="35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48">
    <pageSetUpPr fitToPage="1"/>
  </sheetPr>
  <dimension ref="A1:D92"/>
  <sheetViews>
    <sheetView zoomScaleNormal="100" workbookViewId="0">
      <pane ySplit="3" topLeftCell="A4" activePane="bottomLeft" state="frozen"/>
      <selection pane="bottomLeft"/>
    </sheetView>
  </sheetViews>
  <sheetFormatPr defaultColWidth="9.140625" defaultRowHeight="14.25" customHeight="1"/>
  <cols>
    <col min="1" max="1" width="27" style="41" customWidth="1"/>
    <col min="2" max="2" width="14.42578125" style="41" customWidth="1"/>
    <col min="3" max="3" width="25.7109375" style="41" customWidth="1"/>
    <col min="4" max="4" width="15.28515625" style="41" customWidth="1"/>
    <col min="5" max="5" width="25.85546875" style="41" customWidth="1"/>
    <col min="6" max="6" width="25.140625" style="41" customWidth="1"/>
    <col min="7" max="7" width="27.85546875" style="41" customWidth="1"/>
    <col min="8" max="16384" width="9.140625" style="41"/>
  </cols>
  <sheetData>
    <row r="1" spans="1:4" ht="14.25" customHeight="1">
      <c r="A1" s="9" t="s">
        <v>476</v>
      </c>
      <c r="B1" s="128"/>
      <c r="C1" s="128"/>
      <c r="D1" s="128"/>
    </row>
    <row r="2" spans="1:4" ht="14.25" customHeight="1">
      <c r="A2" s="3" t="s">
        <v>477</v>
      </c>
      <c r="B2" s="128"/>
      <c r="C2" s="128"/>
      <c r="D2" s="128"/>
    </row>
    <row r="3" spans="1:4" ht="14.25" customHeight="1">
      <c r="A3" s="3" t="s">
        <v>478</v>
      </c>
      <c r="B3" s="128"/>
      <c r="C3" s="128"/>
      <c r="D3" s="128"/>
    </row>
    <row r="4" spans="1:4" ht="12.75">
      <c r="A4" s="128"/>
      <c r="B4" s="128"/>
      <c r="C4" s="128"/>
      <c r="D4" s="128"/>
    </row>
    <row r="5" spans="1:4" ht="14.25" customHeight="1">
      <c r="A5" s="1"/>
      <c r="B5" s="129" t="s">
        <v>43</v>
      </c>
      <c r="C5" s="129" t="s">
        <v>479</v>
      </c>
      <c r="D5" s="129" t="s">
        <v>480</v>
      </c>
    </row>
    <row r="6" spans="1:4" ht="14.25" customHeight="1">
      <c r="A6" s="1"/>
      <c r="B6" s="129">
        <v>2024</v>
      </c>
      <c r="C6" s="129" t="s">
        <v>481</v>
      </c>
      <c r="D6" s="129" t="s">
        <v>98</v>
      </c>
    </row>
    <row r="7" spans="1:4" ht="14.25" customHeight="1">
      <c r="A7" s="1"/>
      <c r="B7" s="126"/>
      <c r="C7" s="110" t="s">
        <v>102</v>
      </c>
      <c r="D7" s="110" t="s">
        <v>102</v>
      </c>
    </row>
    <row r="8" spans="1:4" ht="14.25" customHeight="1">
      <c r="A8" s="3" t="s">
        <v>482</v>
      </c>
      <c r="B8" s="74">
        <v>19721</v>
      </c>
      <c r="C8" s="280">
        <v>1173679</v>
      </c>
      <c r="D8" s="283">
        <v>59.514172709294662</v>
      </c>
    </row>
    <row r="9" spans="1:4" ht="14.25" customHeight="1">
      <c r="A9" s="2" t="s">
        <v>483</v>
      </c>
      <c r="B9" s="72">
        <v>12816</v>
      </c>
      <c r="C9" s="271">
        <v>620470</v>
      </c>
      <c r="D9" s="131">
        <v>48.413701622971288</v>
      </c>
    </row>
    <row r="10" spans="1:4" ht="14.25" customHeight="1">
      <c r="A10" s="2" t="s">
        <v>484</v>
      </c>
      <c r="B10" s="72">
        <v>1408</v>
      </c>
      <c r="C10" s="271">
        <v>124400</v>
      </c>
      <c r="D10" s="131">
        <v>88.352272727272734</v>
      </c>
    </row>
    <row r="11" spans="1:4" ht="14.25" customHeight="1">
      <c r="A11" s="2" t="s">
        <v>485</v>
      </c>
      <c r="B11" s="72">
        <v>5497</v>
      </c>
      <c r="C11" s="271">
        <v>428809</v>
      </c>
      <c r="D11" s="131">
        <v>78.007822448608337</v>
      </c>
    </row>
    <row r="12" spans="1:4" ht="14.25" customHeight="1">
      <c r="A12" s="2"/>
      <c r="B12" s="174"/>
      <c r="C12" s="281"/>
      <c r="D12" s="284"/>
    </row>
    <row r="13" spans="1:4" ht="14.25" customHeight="1">
      <c r="A13" s="1"/>
      <c r="B13" s="14"/>
      <c r="C13" s="262"/>
      <c r="D13" s="131"/>
    </row>
    <row r="14" spans="1:4" ht="14.25" customHeight="1">
      <c r="A14" s="3" t="s">
        <v>486</v>
      </c>
      <c r="B14" s="74">
        <v>100353</v>
      </c>
      <c r="C14" s="280">
        <v>5002588</v>
      </c>
      <c r="D14" s="283">
        <v>49.849909818341253</v>
      </c>
    </row>
    <row r="15" spans="1:4" ht="14.25" customHeight="1">
      <c r="A15" s="2" t="s">
        <v>487</v>
      </c>
      <c r="B15" s="72">
        <v>65908</v>
      </c>
      <c r="C15" s="271">
        <v>2885218</v>
      </c>
      <c r="D15" s="131">
        <v>43.776445954967528</v>
      </c>
    </row>
    <row r="16" spans="1:4" ht="14.25" customHeight="1">
      <c r="A16" s="2" t="s">
        <v>488</v>
      </c>
      <c r="B16" s="72">
        <v>4893</v>
      </c>
      <c r="C16" s="271">
        <v>231778</v>
      </c>
      <c r="D16" s="131">
        <v>47.369303086041285</v>
      </c>
    </row>
    <row r="17" spans="1:4" ht="14.25" customHeight="1">
      <c r="A17" s="2" t="s">
        <v>489</v>
      </c>
      <c r="B17" s="72">
        <v>7670</v>
      </c>
      <c r="C17" s="271">
        <v>579845</v>
      </c>
      <c r="D17" s="131">
        <v>75.599087353324634</v>
      </c>
    </row>
    <row r="18" spans="1:4" ht="14.25" customHeight="1">
      <c r="A18" s="2" t="s">
        <v>490</v>
      </c>
      <c r="B18" s="72">
        <v>12796</v>
      </c>
      <c r="C18" s="271">
        <v>839936</v>
      </c>
      <c r="D18" s="131">
        <v>65.640512660206312</v>
      </c>
    </row>
    <row r="19" spans="1:4" ht="14.25" customHeight="1">
      <c r="A19" s="2" t="s">
        <v>491</v>
      </c>
      <c r="B19" s="72">
        <v>6096</v>
      </c>
      <c r="C19" s="271">
        <v>260515</v>
      </c>
      <c r="D19" s="131">
        <v>42.735400262467195</v>
      </c>
    </row>
    <row r="20" spans="1:4" ht="14.25" customHeight="1">
      <c r="A20" s="2" t="s">
        <v>492</v>
      </c>
      <c r="B20" s="72">
        <v>2990</v>
      </c>
      <c r="C20" s="271">
        <v>205296</v>
      </c>
      <c r="D20" s="131">
        <v>68.660869565217396</v>
      </c>
    </row>
    <row r="21" spans="1:4" ht="14.25" customHeight="1">
      <c r="A21" s="2"/>
      <c r="B21" s="14"/>
      <c r="C21" s="262"/>
      <c r="D21" s="131"/>
    </row>
    <row r="22" spans="1:4" ht="14.25" customHeight="1">
      <c r="A22" s="1"/>
      <c r="B22" s="74"/>
      <c r="C22" s="280"/>
      <c r="D22" s="283"/>
    </row>
    <row r="23" spans="1:4" ht="14.25" customHeight="1">
      <c r="A23" s="3" t="s">
        <v>493</v>
      </c>
      <c r="B23" s="74">
        <v>88249</v>
      </c>
      <c r="C23" s="280">
        <v>4958687</v>
      </c>
      <c r="D23" s="283">
        <v>56.189724529456427</v>
      </c>
    </row>
    <row r="24" spans="1:4" ht="14.25" customHeight="1">
      <c r="A24" s="2" t="s">
        <v>494</v>
      </c>
      <c r="B24" s="72">
        <v>44610</v>
      </c>
      <c r="C24" s="268">
        <v>3017851</v>
      </c>
      <c r="D24" s="131">
        <v>67.649652544272584</v>
      </c>
    </row>
    <row r="25" spans="1:4" ht="14.25" customHeight="1">
      <c r="A25" s="2" t="s">
        <v>495</v>
      </c>
      <c r="B25" s="72">
        <v>7767</v>
      </c>
      <c r="C25" s="271">
        <v>317710</v>
      </c>
      <c r="D25" s="131">
        <v>40.90511136861079</v>
      </c>
    </row>
    <row r="26" spans="1:4" ht="14.25" customHeight="1">
      <c r="A26" s="2" t="s">
        <v>496</v>
      </c>
      <c r="B26" s="72">
        <v>13897</v>
      </c>
      <c r="C26" s="271">
        <v>624461</v>
      </c>
      <c r="D26" s="131">
        <v>44.934949989206302</v>
      </c>
    </row>
    <row r="27" spans="1:4" ht="14.25" customHeight="1">
      <c r="A27" s="2" t="s">
        <v>497</v>
      </c>
      <c r="B27" s="72">
        <v>12680</v>
      </c>
      <c r="C27" s="271">
        <v>559565</v>
      </c>
      <c r="D27" s="131">
        <v>44.129731861198735</v>
      </c>
    </row>
    <row r="28" spans="1:4" ht="14.25" customHeight="1">
      <c r="A28" s="2" t="s">
        <v>498</v>
      </c>
      <c r="B28" s="72">
        <v>9295</v>
      </c>
      <c r="C28" s="271">
        <v>439100</v>
      </c>
      <c r="D28" s="131">
        <v>47.240451855836469</v>
      </c>
    </row>
    <row r="29" spans="1:4" ht="14.25" customHeight="1">
      <c r="A29" s="2"/>
      <c r="B29" s="14"/>
      <c r="C29" s="262"/>
      <c r="D29" s="131"/>
    </row>
    <row r="30" spans="1:4" ht="14.25" customHeight="1">
      <c r="A30" s="1"/>
      <c r="B30" s="74"/>
      <c r="C30" s="280"/>
      <c r="D30" s="283"/>
    </row>
    <row r="31" spans="1:4" ht="14.25" customHeight="1">
      <c r="A31" s="3" t="s">
        <v>499</v>
      </c>
      <c r="B31" s="74">
        <v>69315</v>
      </c>
      <c r="C31" s="280">
        <v>3614118</v>
      </c>
      <c r="D31" s="283">
        <v>52.140489071629517</v>
      </c>
    </row>
    <row r="32" spans="1:4" ht="14.25" customHeight="1">
      <c r="A32" s="2" t="s">
        <v>500</v>
      </c>
      <c r="B32" s="72">
        <v>56037</v>
      </c>
      <c r="C32" s="271">
        <v>2880407</v>
      </c>
      <c r="D32" s="131">
        <v>51.401877331049128</v>
      </c>
    </row>
    <row r="33" spans="1:4" ht="14.25" customHeight="1">
      <c r="A33" s="2" t="s">
        <v>501</v>
      </c>
      <c r="B33" s="72">
        <v>13278</v>
      </c>
      <c r="C33" s="271">
        <v>733711</v>
      </c>
      <c r="D33" s="131">
        <v>55.257644223527642</v>
      </c>
    </row>
    <row r="34" spans="1:4" ht="14.25" customHeight="1">
      <c r="A34" s="2"/>
      <c r="B34" s="71"/>
      <c r="C34" s="266"/>
      <c r="D34" s="131"/>
    </row>
    <row r="35" spans="1:4" ht="14.25" customHeight="1">
      <c r="A35" s="1"/>
      <c r="B35" s="14"/>
      <c r="C35" s="262"/>
      <c r="D35" s="131"/>
    </row>
    <row r="36" spans="1:4" ht="14.25" customHeight="1">
      <c r="A36" s="3" t="s">
        <v>502</v>
      </c>
      <c r="B36" s="74">
        <v>72668</v>
      </c>
      <c r="C36" s="280">
        <v>4040085.85</v>
      </c>
      <c r="D36" s="283">
        <v>55.596491578136181</v>
      </c>
    </row>
    <row r="37" spans="1:4" ht="14.25" customHeight="1">
      <c r="A37" s="2" t="s">
        <v>503</v>
      </c>
      <c r="B37" s="72">
        <v>56997</v>
      </c>
      <c r="C37" s="271">
        <v>2628866</v>
      </c>
      <c r="D37" s="131">
        <v>46.122883660543536</v>
      </c>
    </row>
    <row r="38" spans="1:4" ht="14.25" customHeight="1">
      <c r="A38" s="2" t="s">
        <v>504</v>
      </c>
      <c r="B38" s="72">
        <v>6432</v>
      </c>
      <c r="C38" s="271">
        <v>592130</v>
      </c>
      <c r="D38" s="131">
        <v>92.06001243781094</v>
      </c>
    </row>
    <row r="39" spans="1:4" ht="14.25" customHeight="1">
      <c r="A39" s="2" t="s">
        <v>505</v>
      </c>
      <c r="B39" s="72">
        <v>9239</v>
      </c>
      <c r="C39" s="271">
        <v>819089.85</v>
      </c>
      <c r="D39" s="131">
        <v>88.655682433163761</v>
      </c>
    </row>
    <row r="40" spans="1:4" ht="14.25" customHeight="1">
      <c r="A40" s="1"/>
      <c r="B40" s="71"/>
      <c r="C40" s="266"/>
      <c r="D40" s="131"/>
    </row>
    <row r="41" spans="1:4" ht="14.25" customHeight="1">
      <c r="A41" s="1"/>
      <c r="B41" s="14"/>
      <c r="C41" s="262"/>
      <c r="D41" s="131"/>
    </row>
    <row r="42" spans="1:4" ht="14.25" customHeight="1">
      <c r="A42" s="3" t="s">
        <v>506</v>
      </c>
      <c r="B42" s="74">
        <v>265671</v>
      </c>
      <c r="C42" s="280">
        <v>14751224</v>
      </c>
      <c r="D42" s="283">
        <v>55.52440424434733</v>
      </c>
    </row>
    <row r="43" spans="1:4" ht="14.25" customHeight="1">
      <c r="A43" s="2" t="s">
        <v>507</v>
      </c>
      <c r="B43" s="72">
        <v>176860</v>
      </c>
      <c r="C43" s="271">
        <v>11492698</v>
      </c>
      <c r="D43" s="131">
        <v>64.981895284405738</v>
      </c>
    </row>
    <row r="44" spans="1:4" ht="14.25" customHeight="1">
      <c r="A44" s="2" t="s">
        <v>508</v>
      </c>
      <c r="B44" s="72">
        <v>9905</v>
      </c>
      <c r="C44" s="271">
        <v>382582</v>
      </c>
      <c r="D44" s="131">
        <v>38.625138818778396</v>
      </c>
    </row>
    <row r="45" spans="1:4" ht="14.25" customHeight="1">
      <c r="A45" s="2" t="s">
        <v>509</v>
      </c>
      <c r="B45" s="72">
        <v>78906</v>
      </c>
      <c r="C45" s="271">
        <v>2875944</v>
      </c>
      <c r="D45" s="131">
        <v>36.447722606645883</v>
      </c>
    </row>
    <row r="46" spans="1:4" ht="14.25" customHeight="1">
      <c r="A46" s="2"/>
      <c r="B46" s="177"/>
      <c r="C46" s="282"/>
      <c r="D46" s="285"/>
    </row>
    <row r="47" spans="1:4" ht="12.75">
      <c r="A47" s="171"/>
      <c r="B47" s="229"/>
      <c r="C47" s="264"/>
      <c r="D47" s="265"/>
    </row>
    <row r="48" spans="1:4" ht="14.25" customHeight="1">
      <c r="A48" s="3" t="s">
        <v>510</v>
      </c>
      <c r="B48" s="74">
        <v>13176</v>
      </c>
      <c r="C48" s="280">
        <v>1579806</v>
      </c>
      <c r="D48" s="283">
        <v>119.90027322404372</v>
      </c>
    </row>
    <row r="49" spans="1:4" ht="14.25" customHeight="1">
      <c r="A49" s="2" t="s">
        <v>511</v>
      </c>
      <c r="B49" s="72">
        <v>2593</v>
      </c>
      <c r="C49" s="271">
        <v>351069</v>
      </c>
      <c r="D49" s="131">
        <v>135.39105283455456</v>
      </c>
    </row>
    <row r="50" spans="1:4" ht="14.25" customHeight="1">
      <c r="A50" s="2" t="s">
        <v>512</v>
      </c>
      <c r="B50" s="72">
        <v>2407</v>
      </c>
      <c r="C50" s="271">
        <v>183572</v>
      </c>
      <c r="D50" s="131">
        <v>76.265891150810134</v>
      </c>
    </row>
    <row r="51" spans="1:4" ht="14.25" customHeight="1">
      <c r="A51" s="2" t="s">
        <v>513</v>
      </c>
      <c r="B51" s="72">
        <v>3871</v>
      </c>
      <c r="C51" s="271">
        <v>348970</v>
      </c>
      <c r="D51" s="131">
        <v>90.149832084732623</v>
      </c>
    </row>
    <row r="52" spans="1:4" ht="14.25" customHeight="1">
      <c r="A52" s="2" t="s">
        <v>514</v>
      </c>
      <c r="B52" s="72">
        <v>4305</v>
      </c>
      <c r="C52" s="271">
        <v>696195</v>
      </c>
      <c r="D52" s="131">
        <v>161.7177700348432</v>
      </c>
    </row>
    <row r="53" spans="1:4" ht="14.25" customHeight="1">
      <c r="A53" s="128"/>
      <c r="B53" s="177"/>
      <c r="C53" s="282"/>
      <c r="D53" s="285"/>
    </row>
    <row r="54" spans="1:4" ht="14.25" customHeight="1">
      <c r="A54" s="128"/>
      <c r="B54" s="177"/>
      <c r="C54" s="282"/>
      <c r="D54" s="285"/>
    </row>
    <row r="55" spans="1:4" ht="14.25" customHeight="1">
      <c r="A55" s="3" t="s">
        <v>515</v>
      </c>
      <c r="B55" s="74">
        <v>229337</v>
      </c>
      <c r="C55" s="280">
        <v>11287304</v>
      </c>
      <c r="D55" s="283">
        <v>49.217108447394011</v>
      </c>
    </row>
    <row r="56" spans="1:4" ht="14.25" customHeight="1">
      <c r="A56" s="2" t="s">
        <v>516</v>
      </c>
      <c r="B56" s="14">
        <v>43783</v>
      </c>
      <c r="C56" s="262">
        <v>2251035</v>
      </c>
      <c r="D56" s="131">
        <v>51.413448141972914</v>
      </c>
    </row>
    <row r="57" spans="1:4" ht="14.25" customHeight="1">
      <c r="A57" s="2" t="s">
        <v>517</v>
      </c>
      <c r="B57" s="14">
        <v>47935</v>
      </c>
      <c r="C57" s="262">
        <v>3020000</v>
      </c>
      <c r="D57" s="131">
        <v>63.001981850422446</v>
      </c>
    </row>
    <row r="58" spans="1:4" ht="14.25" customHeight="1">
      <c r="A58" s="2" t="s">
        <v>518</v>
      </c>
      <c r="B58" s="14">
        <v>37826</v>
      </c>
      <c r="C58" s="262">
        <v>2639000</v>
      </c>
      <c r="D58" s="131">
        <v>69.766827050177127</v>
      </c>
    </row>
    <row r="59" spans="1:4" ht="14.25" customHeight="1">
      <c r="A59" s="2" t="s">
        <v>519</v>
      </c>
      <c r="B59" s="14">
        <v>99793</v>
      </c>
      <c r="C59" s="262">
        <v>3377269</v>
      </c>
      <c r="D59" s="131">
        <v>33.842744481075826</v>
      </c>
    </row>
    <row r="60" spans="1:4" ht="14.25" customHeight="1">
      <c r="A60" s="2"/>
      <c r="B60" s="14"/>
      <c r="C60" s="262"/>
      <c r="D60" s="131"/>
    </row>
    <row r="61" spans="1:4" ht="14.25" customHeight="1">
      <c r="A61" s="2"/>
      <c r="B61" s="14"/>
      <c r="C61" s="262"/>
      <c r="D61" s="131"/>
    </row>
    <row r="62" spans="1:4" ht="14.25" customHeight="1">
      <c r="A62" s="3" t="s">
        <v>520</v>
      </c>
      <c r="B62" s="74">
        <v>33474</v>
      </c>
      <c r="C62" s="280">
        <v>1719868</v>
      </c>
      <c r="D62" s="283">
        <v>51.37921969289598</v>
      </c>
    </row>
    <row r="63" spans="1:4" ht="14.25" customHeight="1">
      <c r="A63" s="2" t="s">
        <v>521</v>
      </c>
      <c r="B63" s="14">
        <v>23892</v>
      </c>
      <c r="C63" s="262">
        <v>1213137</v>
      </c>
      <c r="D63" s="131">
        <v>50.775866398794577</v>
      </c>
    </row>
    <row r="64" spans="1:4" ht="14.25" customHeight="1">
      <c r="A64" s="2" t="s">
        <v>522</v>
      </c>
      <c r="B64" s="14">
        <v>9582</v>
      </c>
      <c r="C64" s="262">
        <v>506731</v>
      </c>
      <c r="D64" s="131">
        <v>52.883635984136923</v>
      </c>
    </row>
    <row r="65" spans="1:4" ht="14.25" customHeight="1">
      <c r="A65" s="2"/>
      <c r="B65" s="14"/>
      <c r="C65" s="262"/>
      <c r="D65" s="131"/>
    </row>
    <row r="66" spans="1:4" ht="14.25" customHeight="1">
      <c r="A66" s="2"/>
      <c r="B66" s="14"/>
      <c r="C66" s="262"/>
      <c r="D66" s="131"/>
    </row>
    <row r="67" spans="1:4" ht="14.25" customHeight="1">
      <c r="A67" s="3" t="s">
        <v>523</v>
      </c>
      <c r="B67" s="74">
        <v>97162</v>
      </c>
      <c r="C67" s="280">
        <v>7087644</v>
      </c>
      <c r="D67" s="283">
        <v>72.946666392210943</v>
      </c>
    </row>
    <row r="68" spans="1:4" ht="14.25" customHeight="1">
      <c r="A68" s="2" t="s">
        <v>524</v>
      </c>
      <c r="B68" s="14">
        <v>4613</v>
      </c>
      <c r="C68" s="262">
        <v>318153</v>
      </c>
      <c r="D68" s="131">
        <v>68.968783871667029</v>
      </c>
    </row>
    <row r="69" spans="1:4" ht="14.25" customHeight="1">
      <c r="A69" s="2" t="s">
        <v>525</v>
      </c>
      <c r="B69" s="14">
        <v>8666</v>
      </c>
      <c r="C69" s="262">
        <v>780000</v>
      </c>
      <c r="D69" s="131">
        <v>90.006923609508419</v>
      </c>
    </row>
    <row r="70" spans="1:4" ht="14.25" customHeight="1">
      <c r="A70" s="2" t="s">
        <v>526</v>
      </c>
      <c r="B70" s="14">
        <v>5454</v>
      </c>
      <c r="C70" s="262">
        <v>525432</v>
      </c>
      <c r="D70" s="131">
        <v>96.338833883388332</v>
      </c>
    </row>
    <row r="71" spans="1:4" ht="14.25" customHeight="1">
      <c r="A71" s="2" t="s">
        <v>527</v>
      </c>
      <c r="B71" s="14">
        <v>11424</v>
      </c>
      <c r="C71" s="262">
        <v>1034213</v>
      </c>
      <c r="D71" s="131">
        <v>90.529849439775916</v>
      </c>
    </row>
    <row r="72" spans="1:4" ht="14.25" customHeight="1">
      <c r="A72" s="2" t="s">
        <v>528</v>
      </c>
      <c r="B72" s="14">
        <v>13075</v>
      </c>
      <c r="C72" s="262">
        <v>747893</v>
      </c>
      <c r="D72" s="131">
        <v>57.200229445506693</v>
      </c>
    </row>
    <row r="73" spans="1:4" ht="14.25" customHeight="1">
      <c r="A73" s="2" t="s">
        <v>529</v>
      </c>
      <c r="B73" s="14">
        <v>11582</v>
      </c>
      <c r="C73" s="262">
        <v>533046</v>
      </c>
      <c r="D73" s="131">
        <v>46.023657399412883</v>
      </c>
    </row>
    <row r="74" spans="1:4" ht="14.25" customHeight="1">
      <c r="A74" s="2" t="s">
        <v>530</v>
      </c>
      <c r="B74" s="14">
        <v>6458</v>
      </c>
      <c r="C74" s="262">
        <v>473067</v>
      </c>
      <c r="D74" s="131">
        <v>73.252864663982663</v>
      </c>
    </row>
    <row r="75" spans="1:4" ht="14.25" customHeight="1">
      <c r="A75" s="2" t="s">
        <v>531</v>
      </c>
      <c r="B75" s="14">
        <v>11438</v>
      </c>
      <c r="C75" s="262">
        <v>700579</v>
      </c>
      <c r="D75" s="131">
        <v>61.250131141808005</v>
      </c>
    </row>
    <row r="76" spans="1:4" ht="14.25" customHeight="1">
      <c r="A76" s="2" t="s">
        <v>532</v>
      </c>
      <c r="B76" s="14">
        <v>3474</v>
      </c>
      <c r="C76" s="262">
        <v>174500</v>
      </c>
      <c r="D76" s="131">
        <v>50.23028209556707</v>
      </c>
    </row>
    <row r="77" spans="1:4" ht="14.25" customHeight="1">
      <c r="A77" s="2" t="s">
        <v>533</v>
      </c>
      <c r="B77" s="14">
        <v>14955</v>
      </c>
      <c r="C77" s="262">
        <v>1326673</v>
      </c>
      <c r="D77" s="131">
        <v>88.710999665663664</v>
      </c>
    </row>
    <row r="78" spans="1:4" ht="14.25" customHeight="1">
      <c r="A78" s="2" t="s">
        <v>534</v>
      </c>
      <c r="B78" s="14">
        <v>6023</v>
      </c>
      <c r="C78" s="262">
        <v>474088</v>
      </c>
      <c r="D78" s="131">
        <v>78.712933753943219</v>
      </c>
    </row>
    <row r="79" spans="1:4" ht="14.25" customHeight="1">
      <c r="A79" s="2"/>
      <c r="B79" s="14"/>
      <c r="C79" s="262"/>
      <c r="D79" s="131"/>
    </row>
    <row r="80" spans="1:4" ht="14.25" customHeight="1">
      <c r="A80" s="3"/>
      <c r="B80" s="74"/>
      <c r="C80" s="280"/>
      <c r="D80" s="283"/>
    </row>
    <row r="81" spans="1:4" ht="14.25" customHeight="1">
      <c r="A81" s="7" t="s">
        <v>535</v>
      </c>
      <c r="B81" s="15">
        <v>42313</v>
      </c>
      <c r="C81" s="263">
        <v>3026426</v>
      </c>
      <c r="D81" s="162">
        <v>71.524732351759511</v>
      </c>
    </row>
    <row r="82" spans="1:4" ht="14.25" customHeight="1">
      <c r="A82" s="2" t="s">
        <v>536</v>
      </c>
      <c r="B82" s="14">
        <v>27340</v>
      </c>
      <c r="C82" s="262">
        <v>1607915</v>
      </c>
      <c r="D82" s="131">
        <v>58.811814191660574</v>
      </c>
    </row>
    <row r="83" spans="1:4" ht="14.25" customHeight="1">
      <c r="A83" s="2" t="s">
        <v>537</v>
      </c>
      <c r="B83" s="14">
        <v>2767</v>
      </c>
      <c r="C83" s="262">
        <v>348330</v>
      </c>
      <c r="D83" s="131">
        <v>125.88724250090351</v>
      </c>
    </row>
    <row r="84" spans="1:4" ht="14.25" customHeight="1">
      <c r="A84" s="2" t="s">
        <v>538</v>
      </c>
      <c r="B84" s="14">
        <v>2861</v>
      </c>
      <c r="C84" s="262">
        <v>255360</v>
      </c>
      <c r="D84" s="131">
        <v>89.255505068157987</v>
      </c>
    </row>
    <row r="85" spans="1:4" ht="14.25" customHeight="1">
      <c r="A85" s="2" t="s">
        <v>539</v>
      </c>
      <c r="B85" s="14">
        <v>3658</v>
      </c>
      <c r="C85" s="262">
        <v>340617</v>
      </c>
      <c r="D85" s="131">
        <v>93.115636960087485</v>
      </c>
    </row>
    <row r="86" spans="1:4" ht="14.25" customHeight="1">
      <c r="A86" s="2" t="s">
        <v>540</v>
      </c>
      <c r="B86" s="14">
        <v>5687</v>
      </c>
      <c r="C86" s="262">
        <v>474204</v>
      </c>
      <c r="D86" s="131">
        <v>83.383857921575526</v>
      </c>
    </row>
    <row r="87" spans="1:4" ht="14.25" customHeight="1">
      <c r="A87" s="2"/>
      <c r="B87" s="14"/>
      <c r="C87" s="262"/>
      <c r="D87" s="131"/>
    </row>
    <row r="88" spans="1:4" ht="14.25" customHeight="1">
      <c r="A88" s="3"/>
      <c r="B88" s="74"/>
      <c r="C88" s="280"/>
      <c r="D88" s="283"/>
    </row>
    <row r="89" spans="1:4" ht="14.25" customHeight="1">
      <c r="A89" s="7" t="s">
        <v>541</v>
      </c>
      <c r="B89" s="15">
        <v>56628</v>
      </c>
      <c r="C89" s="263">
        <v>10896625</v>
      </c>
      <c r="D89" s="162">
        <v>192.42468390195663</v>
      </c>
    </row>
    <row r="90" spans="1:4" ht="14.25" customHeight="1">
      <c r="A90" s="2" t="s">
        <v>541</v>
      </c>
      <c r="B90" s="14">
        <v>42566</v>
      </c>
      <c r="C90" s="262">
        <v>10484382</v>
      </c>
      <c r="D90" s="131">
        <v>246.30883803975004</v>
      </c>
    </row>
    <row r="91" spans="1:4" ht="14.25" customHeight="1">
      <c r="A91" s="2" t="s">
        <v>542</v>
      </c>
      <c r="B91" s="10">
        <v>14062</v>
      </c>
      <c r="C91" s="10">
        <v>412243</v>
      </c>
      <c r="D91" s="11">
        <v>29.31610012800455</v>
      </c>
    </row>
    <row r="92" spans="1:4" ht="14.25" customHeight="1">
      <c r="A92" s="2"/>
      <c r="B92" s="128"/>
      <c r="C92" s="128"/>
      <c r="D92" s="128"/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scale="63" orientation="portrait" r:id="rId1"/>
  <headerFooter alignWithMargins="0">
    <oddFooter>&amp;L&amp;9Public Library Statistics 2022–23&amp;C&amp;9&amp;P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1">
    <pageSetUpPr fitToPage="1"/>
  </sheetPr>
  <dimension ref="B1:E37"/>
  <sheetViews>
    <sheetView zoomScaleNormal="100" workbookViewId="0">
      <pane ySplit="1" topLeftCell="A22" activePane="bottomLeft" state="frozen"/>
      <selection pane="bottomLeft" activeCell="C23" sqref="C23"/>
    </sheetView>
  </sheetViews>
  <sheetFormatPr defaultColWidth="8.85546875" defaultRowHeight="12.75"/>
  <cols>
    <col min="1" max="1" width="8.85546875" customWidth="1"/>
    <col min="2" max="2" width="42.28515625" customWidth="1"/>
    <col min="3" max="3" width="16" style="20" customWidth="1"/>
    <col min="4" max="4" width="9.42578125" customWidth="1"/>
    <col min="5" max="5" width="15.140625" customWidth="1"/>
  </cols>
  <sheetData>
    <row r="1" spans="2:5" ht="17.25" customHeight="1">
      <c r="B1" s="9" t="s">
        <v>543</v>
      </c>
      <c r="C1" s="119"/>
      <c r="D1" s="27"/>
      <c r="E1" s="27"/>
    </row>
    <row r="2" spans="2:5" ht="12.75" customHeight="1">
      <c r="B2" s="94"/>
      <c r="C2" s="119"/>
      <c r="D2" s="27"/>
      <c r="E2" s="27"/>
    </row>
    <row r="3" spans="2:5" ht="12.75" customHeight="1">
      <c r="B3" s="94"/>
      <c r="C3" s="119"/>
      <c r="D3" s="27"/>
      <c r="E3" s="27"/>
    </row>
    <row r="4" spans="2:5">
      <c r="B4" s="179"/>
      <c r="C4" s="119"/>
      <c r="D4" s="27"/>
      <c r="E4" s="27"/>
    </row>
    <row r="5" spans="2:5">
      <c r="B5" s="128"/>
      <c r="C5" s="180" t="s">
        <v>544</v>
      </c>
      <c r="D5" s="28"/>
      <c r="E5" s="28"/>
    </row>
    <row r="6" spans="2:5">
      <c r="B6" s="176"/>
      <c r="C6" s="180" t="s">
        <v>545</v>
      </c>
      <c r="D6" s="28"/>
      <c r="E6" s="28"/>
    </row>
    <row r="7" spans="2:5" ht="18" customHeight="1">
      <c r="B7" s="180"/>
      <c r="C7" s="181"/>
      <c r="D7" s="30"/>
      <c r="E7" s="30"/>
    </row>
    <row r="8" spans="2:5" ht="18" customHeight="1">
      <c r="B8" s="180" t="s">
        <v>43</v>
      </c>
      <c r="C8" s="161">
        <v>66855</v>
      </c>
      <c r="D8" s="30"/>
      <c r="E8" s="30"/>
    </row>
    <row r="9" spans="2:5" ht="18" customHeight="1">
      <c r="B9" s="180"/>
      <c r="C9" s="143"/>
      <c r="D9" s="30"/>
      <c r="E9" s="30"/>
    </row>
    <row r="10" spans="2:5" ht="18" customHeight="1">
      <c r="B10" s="180" t="s">
        <v>480</v>
      </c>
      <c r="C10" s="291">
        <v>1581501</v>
      </c>
      <c r="D10" s="30"/>
      <c r="E10" s="30"/>
    </row>
    <row r="11" spans="2:5" ht="18" customHeight="1">
      <c r="B11" s="180" t="s">
        <v>546</v>
      </c>
      <c r="C11" s="290">
        <v>66.016022727272727</v>
      </c>
      <c r="D11" s="30"/>
      <c r="E11" s="30"/>
    </row>
    <row r="12" spans="2:5" ht="18" customHeight="1">
      <c r="B12" s="180" t="s">
        <v>547</v>
      </c>
      <c r="C12" s="290">
        <v>30.72</v>
      </c>
      <c r="D12" s="30"/>
      <c r="E12" s="30" t="s">
        <v>548</v>
      </c>
    </row>
    <row r="13" spans="2:5" ht="18" customHeight="1">
      <c r="B13" s="180" t="s">
        <v>549</v>
      </c>
      <c r="C13" s="290">
        <v>4.9400000000000004</v>
      </c>
      <c r="D13" s="30"/>
      <c r="E13" s="30"/>
    </row>
    <row r="14" spans="2:5" ht="18" customHeight="1">
      <c r="B14" s="180"/>
      <c r="C14" s="213"/>
      <c r="D14" s="30"/>
      <c r="E14" s="30"/>
    </row>
    <row r="15" spans="2:5" ht="18" customHeight="1">
      <c r="B15" s="180" t="s">
        <v>550</v>
      </c>
      <c r="C15" s="214">
        <v>117554</v>
      </c>
      <c r="D15" s="30"/>
      <c r="E15" s="30"/>
    </row>
    <row r="16" spans="2:5" ht="18" customHeight="1">
      <c r="B16" s="180" t="s">
        <v>551</v>
      </c>
      <c r="C16" s="286">
        <v>1.99</v>
      </c>
      <c r="D16" s="30"/>
      <c r="E16" s="30"/>
    </row>
    <row r="17" spans="2:3" ht="18" customHeight="1">
      <c r="B17" s="180" t="s">
        <v>552</v>
      </c>
      <c r="C17" s="246">
        <v>28.43</v>
      </c>
    </row>
    <row r="18" spans="2:3" ht="18" customHeight="1">
      <c r="B18" s="180"/>
    </row>
    <row r="19" spans="2:3" ht="18" customHeight="1">
      <c r="B19" s="180" t="s">
        <v>553</v>
      </c>
      <c r="C19" s="348">
        <v>48</v>
      </c>
    </row>
    <row r="20" spans="2:3" ht="18" customHeight="1">
      <c r="B20" s="180" t="s">
        <v>554</v>
      </c>
      <c r="C20" s="219">
        <v>35.409999999999997</v>
      </c>
    </row>
    <row r="21" spans="2:3" ht="18" customHeight="1">
      <c r="B21" s="180" t="s">
        <v>555</v>
      </c>
      <c r="C21" s="20">
        <v>72</v>
      </c>
    </row>
    <row r="22" spans="2:3" ht="18" customHeight="1">
      <c r="B22" s="180"/>
    </row>
    <row r="23" spans="2:3" ht="18" customHeight="1">
      <c r="B23" s="180" t="s">
        <v>60</v>
      </c>
      <c r="C23" s="65">
        <v>12044</v>
      </c>
    </row>
    <row r="24" spans="2:3" ht="18" customHeight="1">
      <c r="B24" s="180" t="s">
        <v>556</v>
      </c>
      <c r="C24" s="60">
        <v>0.17</v>
      </c>
    </row>
    <row r="25" spans="2:3" ht="18" customHeight="1">
      <c r="B25" s="180"/>
    </row>
    <row r="26" spans="2:3" ht="18" customHeight="1">
      <c r="B26" s="180" t="s">
        <v>557</v>
      </c>
      <c r="C26" s="219">
        <v>88.73</v>
      </c>
    </row>
    <row r="27" spans="2:3" ht="18" customHeight="1">
      <c r="B27" s="180" t="s">
        <v>558</v>
      </c>
      <c r="C27" s="219">
        <v>7.69</v>
      </c>
    </row>
    <row r="28" spans="2:3" ht="18" customHeight="1">
      <c r="B28" s="180"/>
    </row>
    <row r="29" spans="2:3" ht="18" customHeight="1">
      <c r="B29" s="180" t="s">
        <v>14</v>
      </c>
      <c r="C29" s="65">
        <v>299317</v>
      </c>
    </row>
    <row r="30" spans="2:3" ht="18" customHeight="1">
      <c r="B30" s="180" t="s">
        <v>559</v>
      </c>
      <c r="C30" s="219">
        <v>4.49</v>
      </c>
    </row>
    <row r="31" spans="2:3" ht="18" customHeight="1">
      <c r="B31" s="180" t="s">
        <v>560</v>
      </c>
      <c r="C31" s="219">
        <v>2.9410381409999999</v>
      </c>
    </row>
    <row r="32" spans="2:3" ht="18" customHeight="1">
      <c r="B32" s="180" t="s">
        <v>561</v>
      </c>
      <c r="C32" s="65">
        <v>15174.24</v>
      </c>
    </row>
    <row r="34" spans="2:3" ht="18" customHeight="1">
      <c r="B34" s="180" t="s">
        <v>562</v>
      </c>
      <c r="C34" s="219">
        <v>20.6</v>
      </c>
    </row>
    <row r="35" spans="2:3" ht="18" customHeight="1">
      <c r="B35" s="180" t="s">
        <v>563</v>
      </c>
      <c r="C35" s="65">
        <v>3130.78</v>
      </c>
    </row>
    <row r="36" spans="2:3" ht="18" customHeight="1">
      <c r="B36" s="180" t="s">
        <v>564</v>
      </c>
      <c r="C36" s="219">
        <v>6</v>
      </c>
    </row>
    <row r="37" spans="2:3" ht="18" customHeight="1">
      <c r="B37" s="180" t="s">
        <v>565</v>
      </c>
      <c r="C37" s="65">
        <v>9805.44</v>
      </c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3">
    <pageSetUpPr fitToPage="1"/>
  </sheetPr>
  <dimension ref="A1:J100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" defaultRowHeight="14.25" customHeight="1"/>
  <cols>
    <col min="1" max="1" width="4.42578125" customWidth="1"/>
    <col min="2" max="2" width="24.28515625" customWidth="1"/>
    <col min="3" max="3" width="9.85546875" style="39" bestFit="1" customWidth="1"/>
    <col min="4" max="4" width="9.42578125" style="41" customWidth="1"/>
    <col min="5" max="5" width="5.28515625" customWidth="1"/>
    <col min="6" max="6" width="25.140625" customWidth="1"/>
    <col min="7" max="7" width="11.42578125" customWidth="1"/>
    <col min="9" max="9" width="19.42578125" style="2" customWidth="1"/>
    <col min="10" max="10" width="14.140625" style="2" bestFit="1" customWidth="1"/>
    <col min="11" max="11" width="14.42578125" bestFit="1" customWidth="1"/>
    <col min="12" max="12" width="20.5703125" bestFit="1" customWidth="1"/>
    <col min="13" max="13" width="30" bestFit="1" customWidth="1"/>
    <col min="14" max="14" width="20.5703125" bestFit="1" customWidth="1"/>
  </cols>
  <sheetData>
    <row r="1" spans="1:7" ht="16.5" customHeight="1">
      <c r="B1" s="9" t="s">
        <v>566</v>
      </c>
      <c r="D1" s="128"/>
    </row>
    <row r="2" spans="1:7" ht="14.25" customHeight="1">
      <c r="B2" s="3" t="s">
        <v>567</v>
      </c>
      <c r="D2" s="128"/>
    </row>
    <row r="3" spans="1:7" ht="14.25" customHeight="1">
      <c r="B3" s="3" t="s">
        <v>568</v>
      </c>
      <c r="D3" s="128"/>
      <c r="F3" s="10"/>
      <c r="G3" s="10"/>
    </row>
    <row r="4" spans="1:7" ht="12.75">
      <c r="D4" s="128"/>
      <c r="F4" s="10"/>
      <c r="G4" s="10"/>
    </row>
    <row r="5" spans="1:7" ht="14.25" customHeight="1">
      <c r="A5" s="2">
        <v>1</v>
      </c>
      <c r="B5" s="2" t="s">
        <v>118</v>
      </c>
      <c r="C5" s="71">
        <v>58317</v>
      </c>
      <c r="D5" s="63"/>
    </row>
    <row r="6" spans="1:7" ht="14.25" customHeight="1">
      <c r="A6" s="2">
        <v>2</v>
      </c>
      <c r="B6" s="2" t="s">
        <v>278</v>
      </c>
      <c r="C6" s="71">
        <v>29646</v>
      </c>
      <c r="D6" s="128"/>
    </row>
    <row r="7" spans="1:7" ht="14.25" customHeight="1">
      <c r="A7" s="2">
        <v>3</v>
      </c>
      <c r="B7" s="2" t="s">
        <v>123</v>
      </c>
      <c r="C7" s="71">
        <v>2219</v>
      </c>
      <c r="D7" s="128"/>
    </row>
    <row r="8" spans="1:7" ht="14.25" customHeight="1">
      <c r="A8" s="2">
        <v>4</v>
      </c>
      <c r="B8" s="2" t="s">
        <v>304</v>
      </c>
      <c r="C8" s="71">
        <v>44939</v>
      </c>
      <c r="D8" s="128"/>
    </row>
    <row r="9" spans="1:7" ht="14.25" customHeight="1">
      <c r="A9" s="2">
        <v>5</v>
      </c>
      <c r="B9" s="2" t="s">
        <v>126</v>
      </c>
      <c r="C9" s="71">
        <v>185880</v>
      </c>
      <c r="D9" s="128"/>
    </row>
    <row r="10" spans="1:7" ht="14.25" customHeight="1">
      <c r="A10" s="2">
        <v>6</v>
      </c>
      <c r="B10" s="2" t="s">
        <v>127</v>
      </c>
      <c r="C10" s="71">
        <v>36593</v>
      </c>
      <c r="D10" s="128"/>
    </row>
    <row r="11" spans="1:7" ht="14.25" customHeight="1">
      <c r="A11" s="2">
        <v>7</v>
      </c>
      <c r="B11" s="2" t="s">
        <v>305</v>
      </c>
      <c r="C11" s="71">
        <v>19721</v>
      </c>
      <c r="D11" s="128"/>
    </row>
    <row r="12" spans="1:7" ht="14.25" customHeight="1">
      <c r="A12" s="2">
        <v>8</v>
      </c>
      <c r="B12" s="2" t="s">
        <v>306</v>
      </c>
      <c r="C12" s="71">
        <v>438843</v>
      </c>
      <c r="D12" s="128"/>
    </row>
    <row r="13" spans="1:7" ht="14.25" customHeight="1">
      <c r="A13" s="2">
        <v>9</v>
      </c>
      <c r="B13" s="2" t="s">
        <v>307</v>
      </c>
      <c r="C13" s="71">
        <v>78891</v>
      </c>
      <c r="D13" s="128"/>
    </row>
    <row r="14" spans="1:7" ht="14.25" customHeight="1">
      <c r="A14" s="2">
        <v>10</v>
      </c>
      <c r="B14" s="2" t="s">
        <v>139</v>
      </c>
      <c r="C14" s="71">
        <v>2349</v>
      </c>
      <c r="D14" s="128"/>
    </row>
    <row r="15" spans="1:7" ht="14.25" customHeight="1">
      <c r="A15" s="2">
        <v>11</v>
      </c>
      <c r="B15" s="2" t="s">
        <v>308</v>
      </c>
      <c r="C15" s="71">
        <v>17541</v>
      </c>
      <c r="D15" s="128"/>
    </row>
    <row r="16" spans="1:7" ht="14.25" customHeight="1">
      <c r="A16" s="2">
        <v>12</v>
      </c>
      <c r="B16" s="2" t="s">
        <v>144</v>
      </c>
      <c r="C16" s="71">
        <v>43346</v>
      </c>
      <c r="D16" s="128"/>
    </row>
    <row r="17" spans="1:4" ht="14.25" customHeight="1">
      <c r="A17" s="2">
        <v>13</v>
      </c>
      <c r="B17" s="2" t="s">
        <v>148</v>
      </c>
      <c r="C17" s="71">
        <v>141133</v>
      </c>
      <c r="D17" s="128"/>
    </row>
    <row r="18" spans="1:4" ht="14.25" customHeight="1">
      <c r="A18" s="2">
        <v>14</v>
      </c>
      <c r="B18" s="2" t="s">
        <v>309</v>
      </c>
      <c r="C18" s="71">
        <v>188303</v>
      </c>
      <c r="D18" s="128"/>
    </row>
    <row r="19" spans="1:4" ht="14.25" customHeight="1">
      <c r="A19" s="2">
        <v>15</v>
      </c>
      <c r="B19" s="2" t="s">
        <v>151</v>
      </c>
      <c r="C19" s="71">
        <v>92255</v>
      </c>
      <c r="D19" s="128"/>
    </row>
    <row r="20" spans="1:4" ht="14.25" customHeight="1">
      <c r="A20" s="2">
        <v>16</v>
      </c>
      <c r="B20" s="2" t="s">
        <v>310</v>
      </c>
      <c r="C20" s="71">
        <v>385242</v>
      </c>
      <c r="D20" s="128"/>
    </row>
    <row r="21" spans="1:4" ht="14.25" customHeight="1">
      <c r="A21" s="2">
        <v>17</v>
      </c>
      <c r="B21" s="2" t="s">
        <v>154</v>
      </c>
      <c r="C21" s="71">
        <v>354803</v>
      </c>
      <c r="D21" s="128"/>
    </row>
    <row r="22" spans="1:4" ht="14.25" customHeight="1">
      <c r="A22" s="2">
        <v>18</v>
      </c>
      <c r="B22" s="2" t="s">
        <v>311</v>
      </c>
      <c r="C22" s="71">
        <v>100353</v>
      </c>
      <c r="D22" s="128"/>
    </row>
    <row r="23" spans="1:4" ht="14.25" customHeight="1">
      <c r="A23" s="2">
        <v>19</v>
      </c>
      <c r="B23" s="2" t="s">
        <v>312</v>
      </c>
      <c r="C23" s="71">
        <v>88249</v>
      </c>
      <c r="D23" s="128"/>
    </row>
    <row r="24" spans="1:4" ht="14.25" customHeight="1">
      <c r="A24" s="2">
        <v>20</v>
      </c>
      <c r="B24" s="2" t="s">
        <v>313</v>
      </c>
      <c r="C24" s="71">
        <v>69352</v>
      </c>
      <c r="D24" s="97"/>
    </row>
    <row r="25" spans="1:4" ht="14.25" customHeight="1">
      <c r="A25" s="2">
        <v>21</v>
      </c>
      <c r="B25" s="2" t="s">
        <v>314</v>
      </c>
      <c r="C25" s="71">
        <v>69315</v>
      </c>
      <c r="D25" s="97"/>
    </row>
    <row r="26" spans="1:4" ht="14.25" customHeight="1">
      <c r="A26" s="2">
        <v>22</v>
      </c>
      <c r="B26" s="2" t="s">
        <v>158</v>
      </c>
      <c r="C26" s="71">
        <v>4015</v>
      </c>
      <c r="D26" s="97"/>
    </row>
    <row r="27" spans="1:4" ht="14.25" customHeight="1">
      <c r="A27" s="2">
        <v>23</v>
      </c>
      <c r="B27" s="2" t="s">
        <v>160</v>
      </c>
      <c r="C27" s="71">
        <v>81248</v>
      </c>
      <c r="D27" s="97"/>
    </row>
    <row r="28" spans="1:4" ht="14.25" customHeight="1">
      <c r="A28" s="2">
        <v>24</v>
      </c>
      <c r="B28" s="2" t="s">
        <v>165</v>
      </c>
      <c r="C28" s="71">
        <v>252399</v>
      </c>
      <c r="D28" s="98"/>
    </row>
    <row r="29" spans="1:4" ht="14.25" customHeight="1">
      <c r="A29" s="2">
        <v>25</v>
      </c>
      <c r="B29" s="2" t="s">
        <v>168</v>
      </c>
      <c r="C29" s="71">
        <v>8411</v>
      </c>
      <c r="D29" s="14"/>
    </row>
    <row r="30" spans="1:4" ht="14.25" customHeight="1">
      <c r="A30" s="2">
        <v>26</v>
      </c>
      <c r="B30" s="2" t="s">
        <v>169</v>
      </c>
      <c r="C30" s="71">
        <v>41142</v>
      </c>
      <c r="D30" s="14"/>
    </row>
    <row r="31" spans="1:4" ht="14.25" customHeight="1">
      <c r="A31" s="2">
        <v>27</v>
      </c>
      <c r="B31" s="2" t="s">
        <v>170</v>
      </c>
      <c r="C31" s="71">
        <v>212210</v>
      </c>
      <c r="D31" s="128"/>
    </row>
    <row r="32" spans="1:4" ht="14.25" customHeight="1">
      <c r="A32" s="2">
        <v>28</v>
      </c>
      <c r="B32" s="2" t="s">
        <v>173</v>
      </c>
      <c r="C32" s="71">
        <v>161593</v>
      </c>
      <c r="D32" s="128"/>
    </row>
    <row r="33" spans="1:4" ht="14.25" customHeight="1">
      <c r="A33" s="2">
        <v>29</v>
      </c>
      <c r="B33" s="2" t="s">
        <v>280</v>
      </c>
      <c r="C33" s="71">
        <v>8978</v>
      </c>
      <c r="D33" s="128"/>
    </row>
    <row r="34" spans="1:4" ht="14.25" customHeight="1">
      <c r="A34" s="2">
        <v>30</v>
      </c>
      <c r="B34" s="2" t="s">
        <v>315</v>
      </c>
      <c r="C34" s="71">
        <v>33112</v>
      </c>
      <c r="D34" s="128"/>
    </row>
    <row r="35" spans="1:4" ht="14.25" customHeight="1">
      <c r="A35" s="2">
        <v>31</v>
      </c>
      <c r="B35" s="2" t="s">
        <v>316</v>
      </c>
      <c r="C35" s="71">
        <v>3608</v>
      </c>
      <c r="D35" s="128"/>
    </row>
    <row r="36" spans="1:4" ht="14.25" customHeight="1">
      <c r="A36" s="2">
        <v>32</v>
      </c>
      <c r="B36" s="2" t="s">
        <v>179</v>
      </c>
      <c r="C36" s="71">
        <v>13392</v>
      </c>
      <c r="D36" s="128"/>
    </row>
    <row r="37" spans="1:4" ht="14.25" customHeight="1">
      <c r="A37" s="2">
        <v>33</v>
      </c>
      <c r="B37" s="2" t="s">
        <v>182</v>
      </c>
      <c r="C37" s="71">
        <v>68704</v>
      </c>
      <c r="D37" s="128"/>
    </row>
    <row r="38" spans="1:4" ht="14.25" customHeight="1">
      <c r="A38" s="2">
        <v>34</v>
      </c>
      <c r="B38" s="2" t="s">
        <v>317</v>
      </c>
      <c r="C38" s="71">
        <v>215612</v>
      </c>
      <c r="D38" s="128"/>
    </row>
    <row r="39" spans="1:4" ht="14.25" customHeight="1">
      <c r="A39" s="2">
        <v>35</v>
      </c>
      <c r="B39" s="2" t="s">
        <v>185</v>
      </c>
      <c r="C39" s="71">
        <v>19300</v>
      </c>
      <c r="D39" s="128"/>
    </row>
    <row r="40" spans="1:4" ht="14.25" customHeight="1">
      <c r="A40" s="2">
        <v>36</v>
      </c>
      <c r="B40" s="2" t="s">
        <v>186</v>
      </c>
      <c r="C40" s="71">
        <v>154834</v>
      </c>
      <c r="D40" s="128"/>
    </row>
    <row r="41" spans="1:4" ht="14.25" customHeight="1">
      <c r="A41" s="2">
        <v>37</v>
      </c>
      <c r="B41" s="2" t="s">
        <v>282</v>
      </c>
      <c r="C41" s="71">
        <v>190939</v>
      </c>
      <c r="D41" s="128"/>
    </row>
    <row r="42" spans="1:4" ht="14.25" customHeight="1">
      <c r="A42" s="2">
        <v>38</v>
      </c>
      <c r="B42" s="2" t="s">
        <v>190</v>
      </c>
      <c r="C42" s="71">
        <v>18080</v>
      </c>
      <c r="D42" s="128"/>
    </row>
    <row r="43" spans="1:4" ht="14.25" customHeight="1">
      <c r="A43" s="2">
        <v>39</v>
      </c>
      <c r="B43" s="2" t="s">
        <v>192</v>
      </c>
      <c r="C43" s="71">
        <v>31718</v>
      </c>
      <c r="D43" s="128"/>
    </row>
    <row r="44" spans="1:4" ht="14.25" customHeight="1">
      <c r="A44" s="2">
        <v>40</v>
      </c>
      <c r="B44" s="2" t="s">
        <v>193</v>
      </c>
      <c r="C44" s="71">
        <v>23173</v>
      </c>
      <c r="D44" s="128"/>
    </row>
    <row r="45" spans="1:4" ht="14.25" customHeight="1">
      <c r="A45" s="2">
        <v>41</v>
      </c>
      <c r="B45" s="2" t="s">
        <v>318</v>
      </c>
      <c r="C45" s="71">
        <v>128362</v>
      </c>
      <c r="D45" s="128"/>
    </row>
    <row r="46" spans="1:4" ht="14.25" customHeight="1">
      <c r="A46" s="2">
        <v>42</v>
      </c>
      <c r="B46" s="2" t="s">
        <v>196</v>
      </c>
      <c r="C46" s="71">
        <v>6113</v>
      </c>
      <c r="D46" s="128"/>
    </row>
    <row r="47" spans="1:4" ht="14.25" customHeight="1">
      <c r="A47" s="2">
        <v>43</v>
      </c>
      <c r="B47" s="2" t="s">
        <v>198</v>
      </c>
      <c r="C47" s="71">
        <v>221859</v>
      </c>
      <c r="D47" s="128"/>
    </row>
    <row r="48" spans="1:4" ht="14.25" customHeight="1">
      <c r="A48" s="2">
        <v>44</v>
      </c>
      <c r="B48" s="2" t="s">
        <v>199</v>
      </c>
      <c r="C48" s="71">
        <v>56628</v>
      </c>
      <c r="D48" s="128"/>
    </row>
    <row r="49" spans="1:7" ht="14.25" customHeight="1">
      <c r="A49" s="2">
        <v>45</v>
      </c>
      <c r="B49" s="2" t="s">
        <v>202</v>
      </c>
      <c r="C49" s="71">
        <v>20740</v>
      </c>
      <c r="D49" s="128"/>
    </row>
    <row r="50" spans="1:7" ht="12.75">
      <c r="A50" s="2">
        <v>46</v>
      </c>
      <c r="B50" s="2" t="s">
        <v>203</v>
      </c>
      <c r="C50" s="71">
        <v>254905</v>
      </c>
      <c r="D50" s="128"/>
    </row>
    <row r="51" spans="1:7" ht="14.25" customHeight="1">
      <c r="A51" s="2">
        <v>47</v>
      </c>
      <c r="B51" s="2" t="s">
        <v>319</v>
      </c>
      <c r="C51" s="71">
        <v>72668</v>
      </c>
      <c r="D51" s="128"/>
    </row>
    <row r="52" spans="1:7" ht="12.75">
      <c r="A52" s="2">
        <v>48</v>
      </c>
      <c r="B52" s="2" t="s">
        <v>206</v>
      </c>
      <c r="C52" s="71">
        <v>98163</v>
      </c>
      <c r="D52" s="128"/>
      <c r="E52" s="171"/>
      <c r="F52" s="171"/>
      <c r="G52" s="171"/>
    </row>
    <row r="53" spans="1:7" ht="12.75">
      <c r="A53" s="2">
        <v>49</v>
      </c>
      <c r="B53" s="2" t="s">
        <v>207</v>
      </c>
      <c r="C53" s="71">
        <v>98582</v>
      </c>
      <c r="D53" s="128"/>
    </row>
    <row r="54" spans="1:7" ht="14.25" customHeight="1">
      <c r="A54" s="2">
        <v>50</v>
      </c>
      <c r="B54" s="2" t="s">
        <v>208</v>
      </c>
      <c r="C54" s="71">
        <v>26214</v>
      </c>
      <c r="D54" s="128"/>
    </row>
    <row r="55" spans="1:7" ht="14.25" customHeight="1">
      <c r="A55" s="2">
        <v>51</v>
      </c>
      <c r="B55" s="2" t="s">
        <v>210</v>
      </c>
      <c r="C55" s="71">
        <v>29253</v>
      </c>
      <c r="D55" s="128"/>
    </row>
    <row r="56" spans="1:7" ht="14.25" customHeight="1">
      <c r="A56" s="2">
        <v>52</v>
      </c>
      <c r="B56" s="2" t="s">
        <v>569</v>
      </c>
      <c r="C56" s="71">
        <v>13562</v>
      </c>
      <c r="D56" s="128"/>
    </row>
    <row r="57" spans="1:7" ht="14.25" customHeight="1">
      <c r="A57" s="2">
        <v>53</v>
      </c>
      <c r="B57" s="2" t="s">
        <v>213</v>
      </c>
      <c r="C57" s="71">
        <v>16817</v>
      </c>
      <c r="D57" s="128"/>
    </row>
    <row r="58" spans="1:7" ht="14.25" customHeight="1">
      <c r="A58" s="2">
        <v>54</v>
      </c>
      <c r="B58" s="2" t="s">
        <v>214</v>
      </c>
      <c r="C58" s="71">
        <v>20986</v>
      </c>
      <c r="D58" s="128"/>
    </row>
    <row r="59" spans="1:7" ht="14.25" customHeight="1">
      <c r="A59" s="2">
        <v>55</v>
      </c>
      <c r="B59" s="2" t="s">
        <v>218</v>
      </c>
      <c r="C59" s="71">
        <v>265671</v>
      </c>
      <c r="D59" s="128"/>
    </row>
    <row r="60" spans="1:7" ht="14.25" customHeight="1">
      <c r="A60" s="2">
        <v>56</v>
      </c>
      <c r="B60" s="2" t="s">
        <v>219</v>
      </c>
      <c r="C60" s="71">
        <v>72909</v>
      </c>
      <c r="D60" s="128"/>
    </row>
    <row r="61" spans="1:7" ht="14.25" customHeight="1">
      <c r="A61" s="2">
        <v>57</v>
      </c>
      <c r="B61" s="2" t="s">
        <v>320</v>
      </c>
      <c r="C61" s="71">
        <v>13176</v>
      </c>
      <c r="D61" s="128"/>
    </row>
    <row r="62" spans="1:7" ht="14.25" customHeight="1">
      <c r="A62" s="2">
        <v>58</v>
      </c>
      <c r="B62" s="2" t="s">
        <v>220</v>
      </c>
      <c r="C62" s="71">
        <v>270772</v>
      </c>
      <c r="D62" s="128"/>
    </row>
    <row r="63" spans="1:7" ht="14.25" customHeight="1">
      <c r="A63" s="2">
        <v>59</v>
      </c>
      <c r="B63" s="2" t="s">
        <v>283</v>
      </c>
      <c r="C63" s="71">
        <v>5604</v>
      </c>
      <c r="D63" s="128"/>
    </row>
    <row r="64" spans="1:7" ht="14.25" customHeight="1">
      <c r="A64" s="2">
        <v>60</v>
      </c>
      <c r="B64" s="2" t="s">
        <v>223</v>
      </c>
      <c r="C64" s="71">
        <v>14236</v>
      </c>
      <c r="D64" s="128"/>
    </row>
    <row r="65" spans="1:3" ht="14.25" customHeight="1">
      <c r="A65" s="2">
        <v>61</v>
      </c>
      <c r="B65" s="2" t="s">
        <v>224</v>
      </c>
      <c r="C65" s="71">
        <v>274956</v>
      </c>
    </row>
    <row r="66" spans="1:3" ht="14.25" customHeight="1">
      <c r="A66" s="2">
        <v>62</v>
      </c>
      <c r="B66" s="2" t="s">
        <v>225</v>
      </c>
      <c r="C66" s="71">
        <v>228661</v>
      </c>
    </row>
    <row r="67" spans="1:3" ht="14.25" customHeight="1">
      <c r="A67" s="2">
        <v>63</v>
      </c>
      <c r="B67" s="2" t="s">
        <v>226</v>
      </c>
      <c r="C67" s="71">
        <v>90835</v>
      </c>
    </row>
    <row r="68" spans="1:3" ht="14.25" customHeight="1">
      <c r="A68" s="2">
        <v>64</v>
      </c>
      <c r="B68" s="2" t="s">
        <v>321</v>
      </c>
      <c r="C68" s="71">
        <v>66855</v>
      </c>
    </row>
    <row r="69" spans="1:3" ht="14.25" customHeight="1">
      <c r="A69" s="2">
        <v>65</v>
      </c>
      <c r="B69" s="2" t="s">
        <v>229</v>
      </c>
      <c r="C69" s="71">
        <v>144598</v>
      </c>
    </row>
    <row r="70" spans="1:3" ht="14.25" customHeight="1">
      <c r="A70" s="2">
        <v>66</v>
      </c>
      <c r="B70" s="2" t="s">
        <v>322</v>
      </c>
      <c r="C70" s="71">
        <v>229337</v>
      </c>
    </row>
    <row r="71" spans="1:3" ht="14.25" customHeight="1">
      <c r="A71" s="2">
        <v>67</v>
      </c>
      <c r="B71" s="2" t="s">
        <v>323</v>
      </c>
      <c r="C71" s="71">
        <v>33474</v>
      </c>
    </row>
    <row r="72" spans="1:3" ht="14.25" customHeight="1">
      <c r="A72" s="2">
        <v>68</v>
      </c>
      <c r="B72" s="2" t="s">
        <v>324</v>
      </c>
      <c r="C72" s="71">
        <v>97162</v>
      </c>
    </row>
    <row r="73" spans="1:3" ht="14.25" customHeight="1">
      <c r="A73" s="2">
        <v>69</v>
      </c>
      <c r="B73" s="2" t="s">
        <v>284</v>
      </c>
      <c r="C73" s="71">
        <v>139047</v>
      </c>
    </row>
    <row r="74" spans="1:3" ht="14.25" customHeight="1">
      <c r="A74" s="2">
        <v>70</v>
      </c>
      <c r="B74" s="2" t="s">
        <v>232</v>
      </c>
      <c r="C74" s="71">
        <v>81566</v>
      </c>
    </row>
    <row r="75" spans="1:3" ht="14.25" customHeight="1">
      <c r="A75" s="2">
        <v>71</v>
      </c>
      <c r="B75" s="2" t="s">
        <v>233</v>
      </c>
      <c r="C75" s="71">
        <v>110803</v>
      </c>
    </row>
    <row r="76" spans="1:3" ht="14.25" customHeight="1">
      <c r="A76" s="2">
        <v>72</v>
      </c>
      <c r="B76" s="2" t="s">
        <v>234</v>
      </c>
      <c r="C76" s="71">
        <v>25639</v>
      </c>
    </row>
    <row r="77" spans="1:3" ht="14.25" customHeight="1">
      <c r="A77" s="2">
        <v>73</v>
      </c>
      <c r="B77" s="2" t="s">
        <v>236</v>
      </c>
      <c r="C77" s="71">
        <v>22292</v>
      </c>
    </row>
    <row r="78" spans="1:3" ht="14.25" customHeight="1">
      <c r="A78" s="2">
        <v>74</v>
      </c>
      <c r="B78" s="2" t="s">
        <v>238</v>
      </c>
      <c r="C78" s="71">
        <v>48495</v>
      </c>
    </row>
    <row r="79" spans="1:3" ht="14.25" customHeight="1">
      <c r="A79" s="2">
        <v>75</v>
      </c>
      <c r="B79" s="2" t="s">
        <v>239</v>
      </c>
      <c r="C79" s="71">
        <v>238614</v>
      </c>
    </row>
    <row r="80" spans="1:3" ht="14.25" customHeight="1">
      <c r="A80" s="2">
        <v>76</v>
      </c>
      <c r="B80" s="2" t="s">
        <v>325</v>
      </c>
      <c r="C80" s="71">
        <v>237278</v>
      </c>
    </row>
    <row r="81" spans="1:3" ht="14.25" customHeight="1">
      <c r="A81" s="2">
        <v>77</v>
      </c>
      <c r="B81" s="2" t="s">
        <v>244</v>
      </c>
      <c r="C81" s="71">
        <v>7081</v>
      </c>
    </row>
    <row r="82" spans="1:3" ht="14.25" customHeight="1">
      <c r="A82" s="2">
        <v>78</v>
      </c>
      <c r="B82" s="2" t="s">
        <v>326</v>
      </c>
      <c r="C82" s="71">
        <v>14408</v>
      </c>
    </row>
    <row r="83" spans="1:3" ht="14.25" customHeight="1">
      <c r="A83" s="2">
        <v>79</v>
      </c>
      <c r="B83" s="2" t="s">
        <v>247</v>
      </c>
      <c r="C83" s="71">
        <v>8875</v>
      </c>
    </row>
    <row r="84" spans="1:3" ht="14.25" customHeight="1">
      <c r="A84" s="2">
        <v>80</v>
      </c>
      <c r="B84" s="2" t="s">
        <v>249</v>
      </c>
      <c r="C84" s="71">
        <v>68951</v>
      </c>
    </row>
    <row r="85" spans="1:3" ht="14.25" customHeight="1">
      <c r="A85" s="2">
        <v>81</v>
      </c>
      <c r="B85" s="2" t="s">
        <v>254</v>
      </c>
      <c r="C85" s="71">
        <v>72857</v>
      </c>
    </row>
    <row r="86" spans="1:3" ht="14.25" customHeight="1">
      <c r="A86" s="2">
        <v>82</v>
      </c>
      <c r="B86" s="2" t="s">
        <v>256</v>
      </c>
      <c r="C86" s="71">
        <v>7804</v>
      </c>
    </row>
    <row r="87" spans="1:3" ht="14.25" customHeight="1">
      <c r="A87" s="2">
        <v>83</v>
      </c>
      <c r="B87" s="2" t="s">
        <v>327</v>
      </c>
      <c r="C87" s="71">
        <v>42313</v>
      </c>
    </row>
    <row r="88" spans="1:3" ht="14.25" customHeight="1">
      <c r="A88" s="2">
        <v>84</v>
      </c>
      <c r="B88" s="2" t="s">
        <v>257</v>
      </c>
      <c r="C88" s="71">
        <v>79634</v>
      </c>
    </row>
    <row r="89" spans="1:3" ht="14.25" customHeight="1">
      <c r="A89" s="2">
        <v>85</v>
      </c>
      <c r="B89" s="2" t="s">
        <v>258</v>
      </c>
      <c r="C89" s="71">
        <v>53552</v>
      </c>
    </row>
    <row r="90" spans="1:3" ht="14.25" customHeight="1">
      <c r="A90" s="2">
        <v>86</v>
      </c>
      <c r="B90" s="2" t="s">
        <v>285</v>
      </c>
      <c r="C90" s="71">
        <v>59782</v>
      </c>
    </row>
    <row r="91" spans="1:3" ht="14.25" customHeight="1">
      <c r="A91" s="2">
        <v>87</v>
      </c>
      <c r="B91" s="2" t="s">
        <v>260</v>
      </c>
      <c r="C91" s="71">
        <v>221894</v>
      </c>
    </row>
    <row r="92" spans="1:3" ht="14.25" customHeight="1">
      <c r="A92" s="2">
        <v>88</v>
      </c>
      <c r="B92" s="2" t="s">
        <v>261</v>
      </c>
      <c r="C92" s="71">
        <v>55175</v>
      </c>
    </row>
    <row r="93" spans="1:3" ht="14.25" customHeight="1">
      <c r="A93" s="2">
        <v>89</v>
      </c>
      <c r="B93" s="2" t="s">
        <v>328</v>
      </c>
      <c r="C93" s="71">
        <v>17647</v>
      </c>
    </row>
    <row r="94" spans="1:3" ht="14.25" customHeight="1">
      <c r="A94" s="2"/>
      <c r="B94" s="2"/>
      <c r="C94" s="10"/>
    </row>
    <row r="95" spans="1:3" ht="14.25" customHeight="1">
      <c r="A95" s="2"/>
      <c r="B95" s="25" t="s">
        <v>105</v>
      </c>
      <c r="C95" s="15">
        <v>66855</v>
      </c>
    </row>
    <row r="96" spans="1:3" ht="14.25" customHeight="1">
      <c r="A96" s="2"/>
      <c r="B96" s="347" t="s">
        <v>104</v>
      </c>
      <c r="C96" s="69">
        <v>95242.280898876401</v>
      </c>
    </row>
    <row r="97" spans="1:7" ht="14.25" customHeight="1">
      <c r="A97" s="2"/>
      <c r="B97" s="347" t="s">
        <v>329</v>
      </c>
      <c r="C97" s="69">
        <v>8476563</v>
      </c>
      <c r="D97" s="128"/>
    </row>
    <row r="98" spans="1:7" ht="14.25" customHeight="1">
      <c r="A98" s="2"/>
      <c r="B98" s="347"/>
      <c r="C98" s="69"/>
      <c r="D98" s="128"/>
    </row>
    <row r="100" spans="1:7" ht="14.25" customHeight="1">
      <c r="A100" s="44" t="s">
        <v>267</v>
      </c>
      <c r="B100" s="44"/>
      <c r="C100" s="44"/>
      <c r="D100" s="44"/>
      <c r="E100" s="44"/>
      <c r="F100" s="44"/>
      <c r="G100" s="44"/>
    </row>
  </sheetData>
  <sortState xmlns:xlrd2="http://schemas.microsoft.com/office/spreadsheetml/2017/richdata2" ref="B52:B85">
    <sortCondition ref="B52:B85"/>
  </sortState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4">
    <pageSetUpPr fitToPage="1"/>
  </sheetPr>
  <dimension ref="A1:G102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3.85546875" customWidth="1"/>
    <col min="2" max="2" width="20.140625" customWidth="1"/>
    <col min="3" max="3" width="12.85546875" style="2" customWidth="1"/>
    <col min="4" max="4" width="14.5703125" customWidth="1"/>
    <col min="5" max="5" width="21.28515625" style="46" customWidth="1"/>
    <col min="6" max="6" width="13.42578125" customWidth="1"/>
    <col min="7" max="7" width="17.42578125" style="29" bestFit="1" customWidth="1"/>
    <col min="8" max="8" width="22" bestFit="1" customWidth="1"/>
  </cols>
  <sheetData>
    <row r="1" spans="1:7" ht="18" customHeight="1">
      <c r="B1" s="9" t="s">
        <v>570</v>
      </c>
      <c r="C1" s="7"/>
      <c r="D1" s="9"/>
      <c r="G1" s="2"/>
    </row>
    <row r="2" spans="1:7" ht="14.25" customHeight="1">
      <c r="B2" s="3" t="s">
        <v>571</v>
      </c>
      <c r="C2" s="7"/>
      <c r="G2" s="2"/>
    </row>
    <row r="3" spans="1:7" ht="12.75">
      <c r="B3" s="89"/>
      <c r="C3" s="7"/>
      <c r="G3" s="2"/>
    </row>
    <row r="4" spans="1:7" s="95" customFormat="1" ht="14.25" customHeight="1">
      <c r="C4" s="225" t="s">
        <v>102</v>
      </c>
      <c r="F4" s="225"/>
    </row>
    <row r="5" spans="1:7" ht="14.25" customHeight="1">
      <c r="A5" s="2">
        <v>1</v>
      </c>
      <c r="B5" s="57" t="s">
        <v>154</v>
      </c>
      <c r="C5" s="170">
        <v>37409227.130000003</v>
      </c>
      <c r="G5" s="2"/>
    </row>
    <row r="6" spans="1:7" ht="14.25" customHeight="1">
      <c r="A6" s="2">
        <v>2</v>
      </c>
      <c r="B6" s="2" t="s">
        <v>325</v>
      </c>
      <c r="C6" s="170">
        <v>27789419.739999998</v>
      </c>
      <c r="G6" s="2"/>
    </row>
    <row r="7" spans="1:7" ht="14.25" customHeight="1">
      <c r="A7" s="2">
        <v>3</v>
      </c>
      <c r="B7" s="57" t="s">
        <v>239</v>
      </c>
      <c r="C7" s="170">
        <v>22500300.68</v>
      </c>
      <c r="G7" s="2"/>
    </row>
    <row r="8" spans="1:7" ht="14.25" customHeight="1">
      <c r="A8" s="2">
        <v>4</v>
      </c>
      <c r="B8" s="2" t="s">
        <v>218</v>
      </c>
      <c r="C8" s="170">
        <v>19640771.890000001</v>
      </c>
      <c r="G8" s="2"/>
    </row>
    <row r="9" spans="1:7" ht="14.25" customHeight="1">
      <c r="A9" s="2">
        <v>5</v>
      </c>
      <c r="B9" s="57" t="s">
        <v>310</v>
      </c>
      <c r="C9" s="170">
        <v>17945749</v>
      </c>
      <c r="G9" s="2"/>
    </row>
    <row r="10" spans="1:7" ht="14.25" customHeight="1">
      <c r="A10" s="2">
        <v>6</v>
      </c>
      <c r="B10" s="57" t="s">
        <v>282</v>
      </c>
      <c r="C10" s="170">
        <v>16493441.880000001</v>
      </c>
      <c r="G10" s="2"/>
    </row>
    <row r="11" spans="1:7" ht="14.25" customHeight="1">
      <c r="A11" s="2">
        <v>7</v>
      </c>
      <c r="B11" s="2" t="s">
        <v>260</v>
      </c>
      <c r="C11" s="170">
        <v>15748553.199999999</v>
      </c>
      <c r="G11" s="2"/>
    </row>
    <row r="12" spans="1:7" ht="14.25" customHeight="1">
      <c r="A12" s="2">
        <v>8</v>
      </c>
      <c r="B12" s="57" t="s">
        <v>224</v>
      </c>
      <c r="C12" s="170">
        <v>14925480</v>
      </c>
      <c r="G12" s="2"/>
    </row>
    <row r="13" spans="1:7" ht="14.25" customHeight="1">
      <c r="A13" s="2">
        <v>9</v>
      </c>
      <c r="B13" s="2" t="s">
        <v>220</v>
      </c>
      <c r="C13" s="170">
        <v>14123895.68</v>
      </c>
      <c r="G13" s="2"/>
    </row>
    <row r="14" spans="1:7" ht="14.25" customHeight="1">
      <c r="A14" s="2">
        <v>10</v>
      </c>
      <c r="B14" s="57" t="s">
        <v>203</v>
      </c>
      <c r="C14" s="170">
        <v>13274843.5</v>
      </c>
      <c r="G14" s="2"/>
    </row>
    <row r="15" spans="1:7" ht="14.25" customHeight="1">
      <c r="A15" s="2">
        <v>11</v>
      </c>
      <c r="B15" s="2" t="s">
        <v>306</v>
      </c>
      <c r="C15" s="170">
        <v>13060719</v>
      </c>
      <c r="G15" s="2"/>
    </row>
    <row r="16" spans="1:7" ht="14.25" customHeight="1">
      <c r="A16" s="2">
        <v>12</v>
      </c>
      <c r="B16" s="57" t="s">
        <v>229</v>
      </c>
      <c r="C16" s="170">
        <v>12635417.289999999</v>
      </c>
      <c r="G16" s="2"/>
    </row>
    <row r="17" spans="1:7" ht="14.25" customHeight="1">
      <c r="A17" s="2">
        <v>13</v>
      </c>
      <c r="B17" s="57" t="s">
        <v>322</v>
      </c>
      <c r="C17" s="170">
        <v>11370639.279999999</v>
      </c>
      <c r="G17" s="2"/>
    </row>
    <row r="18" spans="1:7" ht="14.25" customHeight="1">
      <c r="A18" s="2">
        <v>14</v>
      </c>
      <c r="B18" s="57" t="s">
        <v>198</v>
      </c>
      <c r="C18" s="170">
        <v>10656748</v>
      </c>
      <c r="G18" s="2"/>
    </row>
    <row r="19" spans="1:7" ht="14.25" customHeight="1">
      <c r="A19" s="2">
        <v>15</v>
      </c>
      <c r="B19" s="57" t="s">
        <v>317</v>
      </c>
      <c r="C19" s="170">
        <v>9566458.2100000009</v>
      </c>
      <c r="G19" s="2"/>
    </row>
    <row r="20" spans="1:7" ht="14.25" customHeight="1">
      <c r="A20" s="2">
        <v>16</v>
      </c>
      <c r="B20" s="2" t="s">
        <v>284</v>
      </c>
      <c r="C20" s="170">
        <v>9508607.9000000004</v>
      </c>
      <c r="G20" s="2"/>
    </row>
    <row r="21" spans="1:7" ht="14.25" customHeight="1">
      <c r="A21" s="2">
        <v>17</v>
      </c>
      <c r="B21" s="57" t="s">
        <v>186</v>
      </c>
      <c r="C21" s="170">
        <v>9078138.6400000006</v>
      </c>
      <c r="G21" s="2"/>
    </row>
    <row r="22" spans="1:7" ht="14.25" customHeight="1">
      <c r="A22" s="2">
        <v>18</v>
      </c>
      <c r="B22" s="2" t="s">
        <v>225</v>
      </c>
      <c r="C22" s="170">
        <v>8794499.8800000008</v>
      </c>
      <c r="G22" s="2"/>
    </row>
    <row r="23" spans="1:7" ht="14.25" customHeight="1">
      <c r="A23" s="2">
        <v>19</v>
      </c>
      <c r="B23" s="2" t="s">
        <v>170</v>
      </c>
      <c r="C23" s="170">
        <v>8708729.4700000007</v>
      </c>
      <c r="G23" s="2"/>
    </row>
    <row r="24" spans="1:7" ht="14.25" customHeight="1">
      <c r="A24" s="2">
        <v>20</v>
      </c>
      <c r="B24" s="57" t="s">
        <v>165</v>
      </c>
      <c r="C24" s="170">
        <v>8444658.5399999991</v>
      </c>
      <c r="G24" s="2"/>
    </row>
    <row r="25" spans="1:7" ht="14.25" customHeight="1">
      <c r="A25" s="2">
        <v>21</v>
      </c>
      <c r="B25" s="2" t="s">
        <v>261</v>
      </c>
      <c r="C25" s="170">
        <v>8302824.7699999996</v>
      </c>
      <c r="G25" s="2"/>
    </row>
    <row r="26" spans="1:7" ht="14.25" customHeight="1">
      <c r="A26" s="2">
        <v>22</v>
      </c>
      <c r="B26" s="57" t="s">
        <v>173</v>
      </c>
      <c r="C26" s="170">
        <v>8247971.0499999998</v>
      </c>
      <c r="G26" s="2"/>
    </row>
    <row r="27" spans="1:7" ht="14.25" customHeight="1">
      <c r="A27" s="2">
        <v>23</v>
      </c>
      <c r="B27" s="2" t="s">
        <v>257</v>
      </c>
      <c r="C27" s="170">
        <v>8125164.1100000003</v>
      </c>
      <c r="G27" s="2"/>
    </row>
    <row r="28" spans="1:7" ht="14.25" customHeight="1">
      <c r="A28" s="2">
        <v>24</v>
      </c>
      <c r="B28" s="2" t="s">
        <v>324</v>
      </c>
      <c r="C28" s="170">
        <v>7007131.5099999998</v>
      </c>
      <c r="G28" s="2"/>
    </row>
    <row r="29" spans="1:7" ht="14.25" customHeight="1">
      <c r="A29" s="2">
        <v>25</v>
      </c>
      <c r="B29" s="57" t="s">
        <v>309</v>
      </c>
      <c r="C29" s="170">
        <v>6938889.7000000002</v>
      </c>
      <c r="G29" s="2"/>
    </row>
    <row r="30" spans="1:7" ht="14.25" customHeight="1">
      <c r="A30" s="2">
        <v>26</v>
      </c>
      <c r="B30" s="2" t="s">
        <v>126</v>
      </c>
      <c r="C30" s="170">
        <v>6881488.8399999999</v>
      </c>
      <c r="G30" s="2"/>
    </row>
    <row r="31" spans="1:7" ht="14.25" customHeight="1">
      <c r="A31" s="2">
        <v>27</v>
      </c>
      <c r="B31" s="2" t="s">
        <v>151</v>
      </c>
      <c r="C31" s="170">
        <v>6836611.9500000002</v>
      </c>
      <c r="G31" s="2"/>
    </row>
    <row r="32" spans="1:7" ht="14.25" customHeight="1">
      <c r="A32" s="2">
        <v>28</v>
      </c>
      <c r="B32" s="2" t="s">
        <v>318</v>
      </c>
      <c r="C32" s="170">
        <v>6622053.2699999996</v>
      </c>
      <c r="G32" s="2"/>
    </row>
    <row r="33" spans="1:7" ht="14.25" customHeight="1">
      <c r="A33" s="2">
        <v>29</v>
      </c>
      <c r="B33" s="2" t="s">
        <v>254</v>
      </c>
      <c r="C33" s="170">
        <v>6579898.1699999999</v>
      </c>
      <c r="G33" s="2"/>
    </row>
    <row r="34" spans="1:7" ht="14.25" customHeight="1">
      <c r="A34" s="2">
        <v>30</v>
      </c>
      <c r="B34" s="57" t="s">
        <v>207</v>
      </c>
      <c r="C34" s="170">
        <v>6039284.1299999999</v>
      </c>
      <c r="G34" s="2"/>
    </row>
    <row r="35" spans="1:7" ht="14.25" customHeight="1">
      <c r="A35" s="2">
        <v>31</v>
      </c>
      <c r="B35" s="57" t="s">
        <v>314</v>
      </c>
      <c r="C35" s="170">
        <v>5631542.4199999999</v>
      </c>
      <c r="G35" s="2"/>
    </row>
    <row r="36" spans="1:7" ht="14.25" customHeight="1">
      <c r="A36" s="2">
        <v>32</v>
      </c>
      <c r="B36" s="57" t="s">
        <v>311</v>
      </c>
      <c r="C36" s="170">
        <v>5452185.4199999999</v>
      </c>
      <c r="G36" s="2"/>
    </row>
    <row r="37" spans="1:7" ht="14.25" customHeight="1">
      <c r="A37" s="2">
        <v>33</v>
      </c>
      <c r="B37" s="2" t="s">
        <v>148</v>
      </c>
      <c r="C37" s="170">
        <v>5358381</v>
      </c>
      <c r="G37" s="2"/>
    </row>
    <row r="38" spans="1:7" ht="14.25" customHeight="1">
      <c r="A38" s="2">
        <v>34</v>
      </c>
      <c r="B38" s="57" t="s">
        <v>199</v>
      </c>
      <c r="C38" s="170">
        <v>5086298.7300000004</v>
      </c>
      <c r="G38" s="2"/>
    </row>
    <row r="39" spans="1:7" ht="14.25" customHeight="1">
      <c r="A39" s="2">
        <v>35</v>
      </c>
      <c r="B39" s="2" t="s">
        <v>219</v>
      </c>
      <c r="C39" s="170">
        <v>4914643</v>
      </c>
      <c r="G39" s="2"/>
    </row>
    <row r="40" spans="1:7" ht="14.25" customHeight="1">
      <c r="A40" s="2">
        <v>36</v>
      </c>
      <c r="B40" s="2" t="s">
        <v>233</v>
      </c>
      <c r="C40" s="170">
        <v>4830092.71</v>
      </c>
      <c r="G40" s="2"/>
    </row>
    <row r="41" spans="1:7" ht="14.25" customHeight="1">
      <c r="A41" s="2">
        <v>37</v>
      </c>
      <c r="B41" s="2" t="s">
        <v>319</v>
      </c>
      <c r="C41" s="170">
        <v>4779721.25</v>
      </c>
      <c r="G41" s="2"/>
    </row>
    <row r="42" spans="1:7" ht="14.25" customHeight="1">
      <c r="A42" s="2">
        <v>38</v>
      </c>
      <c r="B42" s="57" t="s">
        <v>307</v>
      </c>
      <c r="C42" s="170">
        <v>4744817.4800000004</v>
      </c>
      <c r="G42" s="2"/>
    </row>
    <row r="43" spans="1:7" ht="14.25" customHeight="1">
      <c r="A43" s="2">
        <v>39</v>
      </c>
      <c r="B43" s="57" t="s">
        <v>206</v>
      </c>
      <c r="C43" s="170">
        <v>4457577.66</v>
      </c>
      <c r="G43" s="2"/>
    </row>
    <row r="44" spans="1:7" ht="14.25" customHeight="1">
      <c r="A44" s="2">
        <v>40</v>
      </c>
      <c r="B44" s="2" t="s">
        <v>210</v>
      </c>
      <c r="C44" s="170">
        <v>4259564.4000000004</v>
      </c>
      <c r="G44" s="2"/>
    </row>
    <row r="45" spans="1:7" ht="14.25" customHeight="1">
      <c r="A45" s="2">
        <v>41</v>
      </c>
      <c r="B45" s="57" t="s">
        <v>226</v>
      </c>
      <c r="C45" s="170">
        <v>4236421.51</v>
      </c>
      <c r="G45" s="2"/>
    </row>
    <row r="46" spans="1:7" ht="14.25" customHeight="1">
      <c r="A46" s="2">
        <v>42</v>
      </c>
      <c r="B46" s="57" t="s">
        <v>118</v>
      </c>
      <c r="C46" s="170">
        <v>3985241</v>
      </c>
      <c r="G46" s="2"/>
    </row>
    <row r="47" spans="1:7" ht="14.25" customHeight="1">
      <c r="A47" s="2">
        <v>43</v>
      </c>
      <c r="B47" s="2" t="s">
        <v>312</v>
      </c>
      <c r="C47" s="170">
        <v>3948837.18</v>
      </c>
      <c r="G47" s="2"/>
    </row>
    <row r="48" spans="1:7" ht="14.25" customHeight="1">
      <c r="A48" s="2">
        <v>44</v>
      </c>
      <c r="B48" s="2" t="s">
        <v>232</v>
      </c>
      <c r="C48" s="170">
        <v>3866680.53</v>
      </c>
      <c r="G48" s="2"/>
    </row>
    <row r="49" spans="1:7" ht="14.25" customHeight="1">
      <c r="A49" s="2">
        <v>45</v>
      </c>
      <c r="B49" s="2" t="s">
        <v>160</v>
      </c>
      <c r="C49" s="170">
        <v>3804043.74</v>
      </c>
      <c r="G49" s="2"/>
    </row>
    <row r="50" spans="1:7" ht="12.75">
      <c r="A50" s="2">
        <v>46</v>
      </c>
      <c r="B50" s="2" t="s">
        <v>144</v>
      </c>
      <c r="C50" s="170">
        <v>3759872.2</v>
      </c>
      <c r="G50" s="2"/>
    </row>
    <row r="51" spans="1:7" ht="14.25" customHeight="1">
      <c r="A51" s="2">
        <v>47</v>
      </c>
      <c r="B51" s="57" t="s">
        <v>182</v>
      </c>
      <c r="C51" s="170">
        <v>3490422.16</v>
      </c>
      <c r="G51" s="2"/>
    </row>
    <row r="52" spans="1:7" ht="12.75">
      <c r="A52" s="2">
        <v>48</v>
      </c>
      <c r="B52" s="57" t="s">
        <v>327</v>
      </c>
      <c r="C52" s="170">
        <v>3152745.8</v>
      </c>
      <c r="D52" s="171"/>
      <c r="E52" s="171"/>
      <c r="F52" s="171"/>
      <c r="G52" s="2"/>
    </row>
    <row r="53" spans="1:7" ht="12.75">
      <c r="A53" s="2">
        <v>49</v>
      </c>
      <c r="B53" s="2" t="s">
        <v>249</v>
      </c>
      <c r="C53" s="170">
        <v>2992483</v>
      </c>
      <c r="G53" s="2"/>
    </row>
    <row r="54" spans="1:7" ht="14.25" customHeight="1">
      <c r="A54" s="2">
        <v>50</v>
      </c>
      <c r="B54" s="57" t="s">
        <v>238</v>
      </c>
      <c r="C54" s="170">
        <v>2877950.19</v>
      </c>
      <c r="G54" s="2"/>
    </row>
    <row r="55" spans="1:7" ht="14.25" customHeight="1">
      <c r="A55" s="2">
        <v>51</v>
      </c>
      <c r="B55" s="2" t="s">
        <v>313</v>
      </c>
      <c r="C55" s="170">
        <v>2663282.63</v>
      </c>
      <c r="G55" s="2"/>
    </row>
    <row r="56" spans="1:7" ht="14.25" customHeight="1">
      <c r="A56" s="2">
        <v>52</v>
      </c>
      <c r="B56" s="2" t="s">
        <v>169</v>
      </c>
      <c r="C56" s="170">
        <v>2654767.41</v>
      </c>
      <c r="G56" s="2"/>
    </row>
    <row r="57" spans="1:7" ht="14.25" customHeight="1">
      <c r="A57" s="2">
        <v>53</v>
      </c>
      <c r="B57" s="57" t="s">
        <v>315</v>
      </c>
      <c r="C57" s="170">
        <v>2650541.37</v>
      </c>
      <c r="G57" s="2"/>
    </row>
    <row r="58" spans="1:7" ht="14.25" customHeight="1">
      <c r="A58" s="2">
        <v>54</v>
      </c>
      <c r="B58" s="2" t="s">
        <v>304</v>
      </c>
      <c r="C58" s="170">
        <v>2531566.7400000002</v>
      </c>
      <c r="G58" s="2"/>
    </row>
    <row r="59" spans="1:7" ht="14.25" customHeight="1">
      <c r="A59" s="2">
        <v>55</v>
      </c>
      <c r="B59" s="2" t="s">
        <v>320</v>
      </c>
      <c r="C59" s="170">
        <v>2376361.91</v>
      </c>
      <c r="G59" s="2"/>
    </row>
    <row r="60" spans="1:7" ht="14.25" customHeight="1">
      <c r="A60" s="2">
        <v>56</v>
      </c>
      <c r="B60" s="2" t="s">
        <v>258</v>
      </c>
      <c r="C60" s="170">
        <v>2365196.7799999998</v>
      </c>
      <c r="G60" s="2"/>
    </row>
    <row r="61" spans="1:7" ht="14.25" customHeight="1">
      <c r="A61" s="2">
        <v>57</v>
      </c>
      <c r="B61" s="57" t="s">
        <v>127</v>
      </c>
      <c r="C61" s="170">
        <v>2285403.4</v>
      </c>
      <c r="G61" s="2"/>
    </row>
    <row r="62" spans="1:7" ht="14.25" customHeight="1">
      <c r="A62" s="2">
        <v>58</v>
      </c>
      <c r="B62" s="57" t="s">
        <v>321</v>
      </c>
      <c r="C62" s="170">
        <v>2242689.85</v>
      </c>
      <c r="G62" s="2"/>
    </row>
    <row r="63" spans="1:7" ht="14.25" customHeight="1">
      <c r="A63" s="2">
        <v>59</v>
      </c>
      <c r="B63" s="57" t="s">
        <v>285</v>
      </c>
      <c r="C63" s="170">
        <v>2096641.95</v>
      </c>
      <c r="G63" s="2"/>
    </row>
    <row r="64" spans="1:7" ht="14.25" customHeight="1">
      <c r="A64" s="2">
        <v>60</v>
      </c>
      <c r="B64" s="57" t="s">
        <v>323</v>
      </c>
      <c r="C64" s="170">
        <v>2037937.95</v>
      </c>
      <c r="G64" s="2"/>
    </row>
    <row r="65" spans="1:7" ht="14.25" customHeight="1">
      <c r="A65" s="2">
        <v>61</v>
      </c>
      <c r="B65" s="2" t="s">
        <v>202</v>
      </c>
      <c r="C65" s="170">
        <v>1879453.43</v>
      </c>
      <c r="G65" s="2"/>
    </row>
    <row r="66" spans="1:7" ht="14.25" customHeight="1">
      <c r="A66" s="2">
        <v>62</v>
      </c>
      <c r="B66" s="57" t="s">
        <v>278</v>
      </c>
      <c r="C66" s="170">
        <v>1812764.68</v>
      </c>
      <c r="G66" s="2"/>
    </row>
    <row r="67" spans="1:7" ht="14.25" customHeight="1">
      <c r="A67" s="2">
        <v>63</v>
      </c>
      <c r="B67" s="57" t="s">
        <v>234</v>
      </c>
      <c r="C67" s="170">
        <v>1683807.14</v>
      </c>
      <c r="G67" s="2"/>
    </row>
    <row r="68" spans="1:7" ht="14.25" customHeight="1">
      <c r="A68" s="2">
        <v>64</v>
      </c>
      <c r="B68" s="2" t="s">
        <v>236</v>
      </c>
      <c r="C68" s="170">
        <v>1581501</v>
      </c>
      <c r="G68" s="2"/>
    </row>
    <row r="69" spans="1:7" ht="14.25" customHeight="1">
      <c r="A69" s="2">
        <v>65</v>
      </c>
      <c r="B69" s="2" t="s">
        <v>193</v>
      </c>
      <c r="C69" s="170">
        <v>1551088.43</v>
      </c>
      <c r="G69" s="2"/>
    </row>
    <row r="70" spans="1:7" ht="14.25" customHeight="1">
      <c r="A70" s="2">
        <v>66</v>
      </c>
      <c r="B70" s="2" t="s">
        <v>305</v>
      </c>
      <c r="C70" s="170">
        <v>1481111.75</v>
      </c>
      <c r="G70" s="2"/>
    </row>
    <row r="71" spans="1:7" ht="14.25" customHeight="1">
      <c r="A71" s="2">
        <v>67</v>
      </c>
      <c r="B71" s="2" t="s">
        <v>214</v>
      </c>
      <c r="C71" s="170">
        <v>1460117</v>
      </c>
      <c r="G71" s="2"/>
    </row>
    <row r="72" spans="1:7" ht="14.25" customHeight="1">
      <c r="A72" s="2">
        <v>68</v>
      </c>
      <c r="B72" s="57" t="s">
        <v>208</v>
      </c>
      <c r="C72" s="170">
        <v>1433845.72</v>
      </c>
      <c r="G72" s="2"/>
    </row>
    <row r="73" spans="1:7" ht="14.25" customHeight="1">
      <c r="A73" s="2">
        <v>69</v>
      </c>
      <c r="B73" s="2" t="s">
        <v>190</v>
      </c>
      <c r="C73" s="170">
        <v>1424306.63</v>
      </c>
      <c r="G73" s="2"/>
    </row>
    <row r="74" spans="1:7" ht="14.25" customHeight="1">
      <c r="A74" s="2">
        <v>70</v>
      </c>
      <c r="B74" s="57" t="s">
        <v>192</v>
      </c>
      <c r="C74" s="170">
        <v>1411494.55</v>
      </c>
      <c r="G74" s="2"/>
    </row>
    <row r="75" spans="1:7" ht="14.25" customHeight="1">
      <c r="A75" s="2">
        <v>71</v>
      </c>
      <c r="B75" s="57" t="s">
        <v>185</v>
      </c>
      <c r="C75" s="170">
        <v>1299299</v>
      </c>
      <c r="G75" s="2"/>
    </row>
    <row r="76" spans="1:7" ht="14.25" customHeight="1">
      <c r="A76" s="2">
        <v>72</v>
      </c>
      <c r="B76" s="2" t="s">
        <v>213</v>
      </c>
      <c r="C76" s="170">
        <v>1260099.01</v>
      </c>
      <c r="G76" s="2"/>
    </row>
    <row r="77" spans="1:7" ht="14.25" customHeight="1">
      <c r="A77" s="2">
        <v>73</v>
      </c>
      <c r="B77" s="2" t="s">
        <v>223</v>
      </c>
      <c r="C77" s="170">
        <v>1243747.48</v>
      </c>
      <c r="G77" s="2"/>
    </row>
    <row r="78" spans="1:7" ht="14.25" customHeight="1">
      <c r="A78" s="2">
        <v>74</v>
      </c>
      <c r="B78" s="57" t="s">
        <v>280</v>
      </c>
      <c r="C78" s="170">
        <v>865550.67</v>
      </c>
      <c r="G78" s="2"/>
    </row>
    <row r="79" spans="1:7" ht="14.25" customHeight="1">
      <c r="A79" s="2">
        <v>75</v>
      </c>
      <c r="B79" s="2" t="s">
        <v>326</v>
      </c>
      <c r="C79" s="170">
        <v>817285.56</v>
      </c>
      <c r="G79" s="2"/>
    </row>
    <row r="80" spans="1:7" ht="14.25" customHeight="1">
      <c r="A80" s="2">
        <v>76</v>
      </c>
      <c r="B80" s="2" t="s">
        <v>179</v>
      </c>
      <c r="C80" s="170">
        <v>742163.66</v>
      </c>
      <c r="G80" s="2"/>
    </row>
    <row r="81" spans="1:7" ht="14.25" customHeight="1">
      <c r="A81" s="2">
        <v>77</v>
      </c>
      <c r="B81" s="2" t="s">
        <v>256</v>
      </c>
      <c r="C81" s="170">
        <v>718870.02</v>
      </c>
      <c r="G81" s="2"/>
    </row>
    <row r="82" spans="1:7" ht="14.25" customHeight="1">
      <c r="A82" s="2">
        <v>79</v>
      </c>
      <c r="B82" s="57" t="s">
        <v>168</v>
      </c>
      <c r="C82" s="170">
        <v>646148.18000000005</v>
      </c>
      <c r="G82" s="2"/>
    </row>
    <row r="83" spans="1:7" ht="14.25" customHeight="1">
      <c r="A83" s="2">
        <v>78</v>
      </c>
      <c r="B83" s="57" t="s">
        <v>308</v>
      </c>
      <c r="C83" s="170">
        <v>643213.27</v>
      </c>
      <c r="G83" s="2"/>
    </row>
    <row r="84" spans="1:7" ht="14.25" customHeight="1">
      <c r="A84" s="2">
        <v>80</v>
      </c>
      <c r="B84" s="2" t="s">
        <v>158</v>
      </c>
      <c r="C84" s="170">
        <v>556907</v>
      </c>
      <c r="G84" s="2"/>
    </row>
    <row r="85" spans="1:7" ht="14.25" customHeight="1">
      <c r="A85" s="2">
        <v>81</v>
      </c>
      <c r="B85" s="2" t="s">
        <v>244</v>
      </c>
      <c r="C85" s="170">
        <v>551171.6</v>
      </c>
      <c r="G85" s="2"/>
    </row>
    <row r="86" spans="1:7" ht="14.25" customHeight="1">
      <c r="A86" s="2">
        <v>82</v>
      </c>
      <c r="B86" s="2" t="s">
        <v>211</v>
      </c>
      <c r="C86" s="170">
        <v>550542.18000000005</v>
      </c>
      <c r="G86" s="2"/>
    </row>
    <row r="87" spans="1:7" ht="14.25" customHeight="1">
      <c r="A87" s="2">
        <v>83</v>
      </c>
      <c r="B87" s="57" t="s">
        <v>139</v>
      </c>
      <c r="C87" s="170">
        <v>537122.25</v>
      </c>
      <c r="G87" s="2"/>
    </row>
    <row r="88" spans="1:7" ht="14.25" customHeight="1">
      <c r="A88" s="2">
        <v>84</v>
      </c>
      <c r="B88" s="57" t="s">
        <v>247</v>
      </c>
      <c r="C88" s="170">
        <v>503966.2</v>
      </c>
      <c r="G88" s="2"/>
    </row>
    <row r="89" spans="1:7" ht="14.25" customHeight="1">
      <c r="A89" s="2">
        <v>85</v>
      </c>
      <c r="B89" s="57" t="s">
        <v>196</v>
      </c>
      <c r="C89" s="170">
        <v>502021</v>
      </c>
      <c r="G89" s="2"/>
    </row>
    <row r="90" spans="1:7" ht="14.25" customHeight="1">
      <c r="A90" s="2">
        <v>86</v>
      </c>
      <c r="B90" s="2" t="s">
        <v>283</v>
      </c>
      <c r="C90" s="170">
        <v>461866.79</v>
      </c>
      <c r="G90" s="2"/>
    </row>
    <row r="91" spans="1:7" ht="14.25" customHeight="1">
      <c r="A91" s="2">
        <v>87</v>
      </c>
      <c r="B91" s="57" t="s">
        <v>328</v>
      </c>
      <c r="C91" s="170">
        <v>445090.11</v>
      </c>
      <c r="G91" s="2"/>
    </row>
    <row r="92" spans="1:7" ht="14.25" customHeight="1">
      <c r="A92" s="2">
        <v>88</v>
      </c>
      <c r="B92" s="2" t="s">
        <v>316</v>
      </c>
      <c r="C92" s="170">
        <v>262839.17</v>
      </c>
      <c r="G92" s="2"/>
    </row>
    <row r="93" spans="1:7" ht="14.25" customHeight="1">
      <c r="A93" s="2">
        <v>89</v>
      </c>
      <c r="B93" s="2" t="s">
        <v>123</v>
      </c>
      <c r="C93" s="170">
        <v>257899.97</v>
      </c>
      <c r="G93" s="2"/>
    </row>
    <row r="94" spans="1:7" ht="14.25" customHeight="1">
      <c r="A94" s="2"/>
      <c r="B94" s="2"/>
      <c r="C94" s="170"/>
      <c r="G94" s="2"/>
    </row>
    <row r="95" spans="1:7" ht="14.25" customHeight="1">
      <c r="A95" s="2"/>
      <c r="B95" s="46"/>
      <c r="C95" s="159"/>
      <c r="G95" s="2"/>
    </row>
    <row r="96" spans="1:7" ht="14.25" customHeight="1">
      <c r="A96" s="2"/>
      <c r="B96" s="18" t="s">
        <v>105</v>
      </c>
      <c r="C96" s="247">
        <v>3804043.74</v>
      </c>
      <c r="G96" s="2"/>
    </row>
    <row r="97" spans="1:7" ht="14.25" customHeight="1">
      <c r="A97" s="2"/>
      <c r="B97" s="18" t="s">
        <v>104</v>
      </c>
      <c r="C97" s="247">
        <v>5745806.9801123627</v>
      </c>
      <c r="G97" s="2"/>
    </row>
    <row r="98" spans="1:7" ht="14.25" customHeight="1">
      <c r="A98" s="2"/>
      <c r="B98" s="18" t="s">
        <v>329</v>
      </c>
      <c r="C98" s="162">
        <v>511376821.23000026</v>
      </c>
      <c r="G98" s="2"/>
    </row>
    <row r="99" spans="1:7" ht="12.75">
      <c r="G99" s="2"/>
    </row>
    <row r="100" spans="1:7" ht="14.25" customHeight="1">
      <c r="A100" s="44" t="s">
        <v>267</v>
      </c>
      <c r="B100" s="228"/>
      <c r="C100" s="228"/>
      <c r="D100" s="228"/>
      <c r="E100" s="228"/>
      <c r="F100" s="228"/>
      <c r="G100" s="2"/>
    </row>
    <row r="101" spans="1:7" ht="14.25" customHeight="1">
      <c r="G101" s="2"/>
    </row>
    <row r="102" spans="1:7" ht="14.25" customHeight="1">
      <c r="G102" s="2"/>
    </row>
  </sheetData>
  <phoneticPr fontId="51" type="noConversion"/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5">
    <pageSetUpPr fitToPage="1"/>
  </sheetPr>
  <dimension ref="A1:K99"/>
  <sheetViews>
    <sheetView zoomScaleNormal="100" workbookViewId="0">
      <pane ySplit="2" topLeftCell="A3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5.28515625" customWidth="1"/>
    <col min="2" max="2" width="19.7109375" customWidth="1"/>
    <col min="3" max="3" width="10.7109375" style="64" customWidth="1"/>
    <col min="4" max="4" width="16.28515625" customWidth="1"/>
    <col min="5" max="5" width="21" customWidth="1"/>
    <col min="6" max="6" width="11.7109375" style="11" customWidth="1"/>
    <col min="7" max="7" width="9.85546875" bestFit="1" customWidth="1"/>
    <col min="8" max="8" width="9.7109375" customWidth="1"/>
    <col min="9" max="9" width="18.42578125" customWidth="1"/>
    <col min="10" max="10" width="12.7109375" customWidth="1"/>
    <col min="11" max="11" width="24.42578125" style="46" customWidth="1"/>
  </cols>
  <sheetData>
    <row r="1" spans="1:11" ht="15">
      <c r="B1" s="9" t="s">
        <v>572</v>
      </c>
    </row>
    <row r="2" spans="1:11" s="77" customFormat="1" ht="14.25" customHeight="1">
      <c r="B2" s="9"/>
      <c r="C2" s="64"/>
    </row>
    <row r="3" spans="1:11" s="77" customFormat="1" ht="14.25" customHeight="1">
      <c r="B3" s="9"/>
      <c r="C3" s="225" t="s">
        <v>102</v>
      </c>
    </row>
    <row r="4" spans="1:11" ht="14.25" customHeight="1">
      <c r="A4" s="2">
        <v>1</v>
      </c>
      <c r="B4" s="57" t="s">
        <v>139</v>
      </c>
      <c r="C4" s="131">
        <v>228.66</v>
      </c>
      <c r="H4" s="2"/>
      <c r="I4" s="57"/>
      <c r="J4" s="57"/>
      <c r="K4" s="12"/>
    </row>
    <row r="5" spans="1:11" ht="14.25" customHeight="1">
      <c r="A5" s="2">
        <v>2</v>
      </c>
      <c r="B5" s="57" t="s">
        <v>320</v>
      </c>
      <c r="C5" s="131">
        <v>180.36</v>
      </c>
      <c r="H5" s="2"/>
      <c r="I5" s="57"/>
      <c r="J5" s="57"/>
      <c r="K5" s="12"/>
    </row>
    <row r="6" spans="1:11" ht="14.25" customHeight="1">
      <c r="A6" s="2">
        <v>3</v>
      </c>
      <c r="B6" s="57" t="s">
        <v>261</v>
      </c>
      <c r="C6" s="131">
        <v>150.47999999999999</v>
      </c>
      <c r="H6" s="2"/>
      <c r="I6" s="57"/>
      <c r="J6" s="57"/>
      <c r="K6" s="12"/>
    </row>
    <row r="7" spans="1:11" ht="14.25" customHeight="1">
      <c r="A7" s="2">
        <v>4</v>
      </c>
      <c r="B7" s="57" t="s">
        <v>210</v>
      </c>
      <c r="C7" s="131">
        <v>145.61000000000001</v>
      </c>
      <c r="H7" s="2"/>
      <c r="I7" s="57"/>
      <c r="J7" s="57"/>
      <c r="K7" s="12"/>
    </row>
    <row r="8" spans="1:11" ht="14.25" customHeight="1">
      <c r="A8" s="2">
        <v>5</v>
      </c>
      <c r="B8" s="57" t="s">
        <v>158</v>
      </c>
      <c r="C8" s="131">
        <v>138.71</v>
      </c>
      <c r="H8" s="2"/>
      <c r="I8" s="57"/>
      <c r="J8" s="57"/>
      <c r="K8" s="12"/>
    </row>
    <row r="9" spans="1:11" ht="14.25" customHeight="1">
      <c r="A9" s="2">
        <v>6</v>
      </c>
      <c r="B9" s="57" t="s">
        <v>325</v>
      </c>
      <c r="C9" s="131">
        <v>117.12</v>
      </c>
      <c r="H9" s="2"/>
      <c r="I9" s="57"/>
      <c r="J9" s="57"/>
      <c r="K9" s="12"/>
    </row>
    <row r="10" spans="1:11" ht="14.25" customHeight="1">
      <c r="A10" s="2">
        <v>7</v>
      </c>
      <c r="B10" s="57" t="s">
        <v>123</v>
      </c>
      <c r="C10" s="131">
        <v>116.22</v>
      </c>
      <c r="H10" s="2"/>
      <c r="I10" s="57"/>
      <c r="J10" s="57"/>
      <c r="K10" s="12"/>
    </row>
    <row r="11" spans="1:11" ht="14.25" customHeight="1">
      <c r="A11" s="2">
        <v>8</v>
      </c>
      <c r="B11" s="57" t="s">
        <v>154</v>
      </c>
      <c r="C11" s="131">
        <v>105.44</v>
      </c>
      <c r="H11" s="2"/>
      <c r="I11" s="57"/>
      <c r="J11" s="57"/>
      <c r="K11" s="12"/>
    </row>
    <row r="12" spans="1:11" ht="14.25" customHeight="1">
      <c r="A12" s="2">
        <v>9</v>
      </c>
      <c r="B12" s="57" t="s">
        <v>257</v>
      </c>
      <c r="C12" s="131">
        <v>102.03</v>
      </c>
      <c r="H12" s="2"/>
      <c r="I12" s="57"/>
      <c r="J12" s="57"/>
      <c r="K12" s="12"/>
    </row>
    <row r="13" spans="1:11" ht="14.25" customHeight="1">
      <c r="A13" s="2">
        <v>10</v>
      </c>
      <c r="B13" s="57" t="s">
        <v>280</v>
      </c>
      <c r="C13" s="131">
        <v>96.41</v>
      </c>
      <c r="H13" s="2"/>
      <c r="I13" s="57"/>
      <c r="J13" s="57"/>
      <c r="K13" s="12"/>
    </row>
    <row r="14" spans="1:11" ht="14.25" customHeight="1">
      <c r="A14" s="2">
        <v>11</v>
      </c>
      <c r="B14" s="57" t="s">
        <v>239</v>
      </c>
      <c r="C14" s="131">
        <v>94.3</v>
      </c>
      <c r="H14" s="2"/>
      <c r="I14" s="57"/>
      <c r="J14" s="57"/>
      <c r="K14" s="12"/>
    </row>
    <row r="15" spans="1:11" ht="14.25" customHeight="1">
      <c r="A15" s="2">
        <v>12</v>
      </c>
      <c r="B15" s="57" t="s">
        <v>256</v>
      </c>
      <c r="C15" s="131">
        <v>92.12</v>
      </c>
      <c r="H15" s="2"/>
      <c r="I15" s="57"/>
      <c r="J15" s="57"/>
      <c r="K15" s="12"/>
    </row>
    <row r="16" spans="1:11" ht="14.25" customHeight="1">
      <c r="A16" s="2">
        <v>13</v>
      </c>
      <c r="B16" s="57" t="s">
        <v>202</v>
      </c>
      <c r="C16" s="131">
        <v>90.62</v>
      </c>
      <c r="H16" s="2"/>
      <c r="I16" s="57"/>
      <c r="J16" s="57"/>
      <c r="K16" s="12"/>
    </row>
    <row r="17" spans="1:11" ht="14.25" customHeight="1">
      <c r="A17" s="2">
        <v>14</v>
      </c>
      <c r="B17" s="57" t="s">
        <v>254</v>
      </c>
      <c r="C17" s="131">
        <v>90.31</v>
      </c>
      <c r="H17" s="2"/>
      <c r="I17" s="57"/>
      <c r="J17" s="57"/>
      <c r="K17" s="12"/>
    </row>
    <row r="18" spans="1:11" ht="14.25" customHeight="1">
      <c r="A18" s="2">
        <v>15</v>
      </c>
      <c r="B18" s="57" t="s">
        <v>199</v>
      </c>
      <c r="C18" s="131">
        <v>89.82</v>
      </c>
      <c r="H18" s="2"/>
      <c r="I18" s="57"/>
      <c r="J18" s="57"/>
      <c r="K18" s="12"/>
    </row>
    <row r="19" spans="1:11" ht="14.25" customHeight="1">
      <c r="A19" s="2">
        <v>16</v>
      </c>
      <c r="B19" s="57" t="s">
        <v>229</v>
      </c>
      <c r="C19" s="131">
        <v>87.38</v>
      </c>
      <c r="H19" s="2"/>
      <c r="I19" s="57"/>
      <c r="J19" s="57"/>
      <c r="K19" s="12"/>
    </row>
    <row r="20" spans="1:11" ht="14.25" customHeight="1">
      <c r="A20" s="2">
        <v>17</v>
      </c>
      <c r="B20" s="57" t="s">
        <v>223</v>
      </c>
      <c r="C20" s="131">
        <v>87.37</v>
      </c>
      <c r="H20" s="2"/>
      <c r="I20" s="57"/>
      <c r="J20" s="57"/>
      <c r="K20" s="12"/>
    </row>
    <row r="21" spans="1:11" ht="14.25" customHeight="1">
      <c r="A21" s="2">
        <v>18</v>
      </c>
      <c r="B21" s="57" t="s">
        <v>144</v>
      </c>
      <c r="C21" s="131">
        <v>86.74</v>
      </c>
      <c r="H21" s="2"/>
      <c r="I21" s="57"/>
      <c r="J21" s="57"/>
      <c r="K21" s="12"/>
    </row>
    <row r="22" spans="1:11" ht="14.25" customHeight="1">
      <c r="A22" s="2">
        <v>19</v>
      </c>
      <c r="B22" s="57" t="s">
        <v>282</v>
      </c>
      <c r="C22" s="131">
        <v>86.38</v>
      </c>
      <c r="H22" s="2"/>
      <c r="I22" s="57"/>
      <c r="J22" s="57"/>
      <c r="K22" s="12"/>
    </row>
    <row r="23" spans="1:11" ht="14.25" customHeight="1">
      <c r="A23" s="2">
        <v>20</v>
      </c>
      <c r="B23" s="57" t="s">
        <v>283</v>
      </c>
      <c r="C23" s="131">
        <v>82.42</v>
      </c>
      <c r="H23" s="2"/>
      <c r="I23" s="57"/>
      <c r="J23" s="57"/>
      <c r="K23" s="12"/>
    </row>
    <row r="24" spans="1:11" ht="14.25" customHeight="1">
      <c r="A24" s="2">
        <v>21</v>
      </c>
      <c r="B24" s="57" t="s">
        <v>196</v>
      </c>
      <c r="C24" s="131">
        <v>82.12</v>
      </c>
      <c r="H24" s="2"/>
      <c r="I24" s="57"/>
      <c r="J24" s="57"/>
      <c r="K24" s="12"/>
    </row>
    <row r="25" spans="1:11" ht="14.25" customHeight="1">
      <c r="A25" s="2">
        <v>22</v>
      </c>
      <c r="B25" s="57" t="s">
        <v>314</v>
      </c>
      <c r="C25" s="131">
        <v>81.25</v>
      </c>
      <c r="H25" s="2"/>
      <c r="I25" s="57"/>
      <c r="J25" s="57"/>
      <c r="K25" s="12"/>
    </row>
    <row r="26" spans="1:11" ht="14.25" customHeight="1">
      <c r="A26" s="2">
        <v>23</v>
      </c>
      <c r="B26" s="57" t="s">
        <v>315</v>
      </c>
      <c r="C26" s="131">
        <v>80.05</v>
      </c>
      <c r="H26" s="2"/>
      <c r="I26" s="57"/>
      <c r="J26" s="57"/>
      <c r="K26" s="12"/>
    </row>
    <row r="27" spans="1:11" ht="14.25" customHeight="1">
      <c r="A27" s="2">
        <v>24</v>
      </c>
      <c r="B27" s="57" t="s">
        <v>190</v>
      </c>
      <c r="C27" s="131">
        <v>78.78</v>
      </c>
      <c r="H27" s="2"/>
      <c r="I27" s="57"/>
      <c r="J27" s="57"/>
      <c r="K27" s="12"/>
    </row>
    <row r="28" spans="1:11" ht="14.25" customHeight="1">
      <c r="A28" s="2">
        <v>25</v>
      </c>
      <c r="B28" s="57" t="s">
        <v>244</v>
      </c>
      <c r="C28" s="131">
        <v>77.84</v>
      </c>
      <c r="H28" s="2"/>
      <c r="I28" s="57"/>
      <c r="J28" s="57"/>
      <c r="K28" s="12"/>
    </row>
    <row r="29" spans="1:11" ht="14.25" customHeight="1">
      <c r="A29" s="2">
        <v>26</v>
      </c>
      <c r="B29" s="57" t="s">
        <v>168</v>
      </c>
      <c r="C29" s="131">
        <v>76.819999999999993</v>
      </c>
      <c r="H29" s="2"/>
      <c r="I29" s="57"/>
      <c r="J29" s="57"/>
      <c r="K29" s="12"/>
    </row>
    <row r="30" spans="1:11" ht="14.25" customHeight="1">
      <c r="A30" s="2">
        <v>27</v>
      </c>
      <c r="B30" s="57" t="s">
        <v>305</v>
      </c>
      <c r="C30" s="131">
        <v>75.099999999999994</v>
      </c>
      <c r="H30" s="2"/>
      <c r="I30" s="57"/>
      <c r="J30" s="57"/>
      <c r="K30" s="12"/>
    </row>
    <row r="31" spans="1:11" ht="14.25" customHeight="1">
      <c r="A31" s="2">
        <v>28</v>
      </c>
      <c r="B31" s="57" t="s">
        <v>213</v>
      </c>
      <c r="C31" s="131">
        <v>74.930000000000007</v>
      </c>
      <c r="H31" s="2"/>
      <c r="I31" s="57"/>
      <c r="J31" s="57"/>
      <c r="K31" s="12"/>
    </row>
    <row r="32" spans="1:11" ht="14.25" customHeight="1">
      <c r="A32" s="2">
        <v>29</v>
      </c>
      <c r="B32" s="57" t="s">
        <v>327</v>
      </c>
      <c r="C32" s="131">
        <v>74.510000000000005</v>
      </c>
      <c r="H32" s="2"/>
      <c r="I32" s="57"/>
      <c r="J32" s="57"/>
      <c r="K32" s="12"/>
    </row>
    <row r="33" spans="1:11" ht="14.25" customHeight="1">
      <c r="A33" s="2">
        <v>30</v>
      </c>
      <c r="B33" s="57" t="s">
        <v>151</v>
      </c>
      <c r="C33" s="131">
        <v>74.11</v>
      </c>
      <c r="H33" s="2"/>
      <c r="I33" s="57"/>
      <c r="J33" s="57"/>
      <c r="K33" s="12"/>
    </row>
    <row r="34" spans="1:11" ht="14.25" customHeight="1">
      <c r="A34" s="2">
        <v>31</v>
      </c>
      <c r="B34" s="57" t="s">
        <v>218</v>
      </c>
      <c r="C34" s="131">
        <v>73.930000000000007</v>
      </c>
      <c r="H34" s="2"/>
      <c r="I34" s="57"/>
      <c r="J34" s="57"/>
      <c r="K34" s="12"/>
    </row>
    <row r="35" spans="1:11" ht="14.25" customHeight="1">
      <c r="A35" s="2">
        <v>32</v>
      </c>
      <c r="B35" s="57" t="s">
        <v>316</v>
      </c>
      <c r="C35" s="131">
        <v>72.849999999999994</v>
      </c>
      <c r="H35" s="2"/>
      <c r="I35" s="57"/>
      <c r="J35" s="57"/>
      <c r="K35" s="12"/>
    </row>
    <row r="36" spans="1:11" ht="14.25" customHeight="1">
      <c r="A36" s="2">
        <v>33</v>
      </c>
      <c r="B36" s="57" t="s">
        <v>324</v>
      </c>
      <c r="C36" s="131">
        <v>72.12</v>
      </c>
      <c r="H36" s="2"/>
      <c r="I36" s="57"/>
      <c r="J36" s="57"/>
      <c r="K36" s="12"/>
    </row>
    <row r="37" spans="1:11" ht="14.25" customHeight="1">
      <c r="A37" s="2">
        <v>34</v>
      </c>
      <c r="B37" s="57" t="s">
        <v>260</v>
      </c>
      <c r="C37" s="131">
        <v>70.97</v>
      </c>
      <c r="H37" s="2"/>
      <c r="I37" s="57"/>
      <c r="J37" s="57"/>
      <c r="K37" s="12"/>
    </row>
    <row r="38" spans="1:11" ht="14.25" customHeight="1">
      <c r="A38" s="2">
        <v>35</v>
      </c>
      <c r="B38" s="57" t="s">
        <v>236</v>
      </c>
      <c r="C38" s="131">
        <v>70.94</v>
      </c>
      <c r="H38" s="2"/>
      <c r="I38" s="57"/>
      <c r="J38" s="57"/>
      <c r="K38" s="12"/>
    </row>
    <row r="39" spans="1:11" ht="14.25" customHeight="1">
      <c r="A39" s="2">
        <v>36</v>
      </c>
      <c r="B39" s="57" t="s">
        <v>214</v>
      </c>
      <c r="C39" s="131">
        <v>69.58</v>
      </c>
      <c r="H39" s="2"/>
      <c r="I39" s="57"/>
      <c r="J39" s="57"/>
      <c r="K39" s="12"/>
    </row>
    <row r="40" spans="1:11" ht="14.25" customHeight="1">
      <c r="A40" s="2">
        <v>37</v>
      </c>
      <c r="B40" s="57" t="s">
        <v>284</v>
      </c>
      <c r="C40" s="131">
        <v>68.38</v>
      </c>
      <c r="H40" s="2"/>
      <c r="I40" s="57"/>
      <c r="J40" s="57"/>
      <c r="K40" s="12"/>
    </row>
    <row r="41" spans="1:11" ht="14.25" customHeight="1">
      <c r="A41" s="2">
        <v>38</v>
      </c>
      <c r="B41" s="57" t="s">
        <v>118</v>
      </c>
      <c r="C41" s="131">
        <v>68.34</v>
      </c>
      <c r="H41" s="2"/>
      <c r="I41" s="57"/>
      <c r="J41" s="57"/>
      <c r="K41" s="12"/>
    </row>
    <row r="42" spans="1:11" ht="14.25" customHeight="1">
      <c r="A42" s="2">
        <v>39</v>
      </c>
      <c r="B42" s="57" t="s">
        <v>219</v>
      </c>
      <c r="C42" s="131">
        <v>67.41</v>
      </c>
      <c r="H42" s="2"/>
      <c r="I42" s="57"/>
      <c r="J42" s="57"/>
      <c r="K42" s="12"/>
    </row>
    <row r="43" spans="1:11" ht="14.25" customHeight="1">
      <c r="A43" s="2">
        <v>40</v>
      </c>
      <c r="B43" s="57" t="s">
        <v>185</v>
      </c>
      <c r="C43" s="131">
        <v>67.319999999999993</v>
      </c>
      <c r="H43" s="2"/>
      <c r="I43" s="57"/>
      <c r="J43" s="57"/>
      <c r="K43" s="12"/>
    </row>
    <row r="44" spans="1:11" ht="14.25" customHeight="1">
      <c r="A44" s="2">
        <v>41</v>
      </c>
      <c r="B44" s="57" t="s">
        <v>193</v>
      </c>
      <c r="C44" s="131">
        <v>66.94</v>
      </c>
      <c r="H44" s="2"/>
      <c r="I44" s="57"/>
      <c r="J44" s="57"/>
      <c r="K44" s="12"/>
    </row>
    <row r="45" spans="1:11" ht="14.25" customHeight="1">
      <c r="A45" s="2">
        <v>42</v>
      </c>
      <c r="B45" s="57" t="s">
        <v>319</v>
      </c>
      <c r="C45" s="131">
        <v>65.77</v>
      </c>
      <c r="H45" s="2"/>
      <c r="I45" s="57"/>
      <c r="J45" s="57"/>
      <c r="K45" s="12"/>
    </row>
    <row r="46" spans="1:11" ht="14.25" customHeight="1">
      <c r="A46" s="2">
        <v>43</v>
      </c>
      <c r="B46" s="57" t="s">
        <v>234</v>
      </c>
      <c r="C46" s="131">
        <v>65.67</v>
      </c>
      <c r="H46" s="2"/>
      <c r="I46" s="57"/>
      <c r="J46" s="57"/>
      <c r="K46" s="12"/>
    </row>
    <row r="47" spans="1:11" ht="14.25" customHeight="1">
      <c r="A47" s="2">
        <v>44</v>
      </c>
      <c r="B47" s="57" t="s">
        <v>169</v>
      </c>
      <c r="C47" s="131">
        <v>64.53</v>
      </c>
      <c r="H47" s="2"/>
    </row>
    <row r="48" spans="1:11" ht="14.25" customHeight="1">
      <c r="A48" s="2">
        <v>45</v>
      </c>
      <c r="B48" s="57" t="s">
        <v>127</v>
      </c>
      <c r="C48" s="131">
        <v>62.45</v>
      </c>
      <c r="H48" s="2"/>
      <c r="I48" s="57"/>
      <c r="J48" s="57"/>
      <c r="K48" s="12"/>
    </row>
    <row r="49" spans="1:11" ht="12.75">
      <c r="A49" s="2">
        <v>46</v>
      </c>
      <c r="B49" s="57" t="s">
        <v>207</v>
      </c>
      <c r="C49" s="131">
        <v>61.26</v>
      </c>
      <c r="H49" s="2"/>
      <c r="I49" s="57"/>
      <c r="J49" s="57"/>
      <c r="K49" s="12"/>
    </row>
    <row r="50" spans="1:11" ht="14.25" customHeight="1">
      <c r="A50" s="2">
        <v>47</v>
      </c>
      <c r="B50" s="57" t="s">
        <v>278</v>
      </c>
      <c r="C50" s="131">
        <v>61.15</v>
      </c>
      <c r="H50" s="5"/>
      <c r="I50" s="57"/>
      <c r="J50" s="57"/>
      <c r="K50" s="12"/>
    </row>
    <row r="51" spans="1:11" ht="14.25" customHeight="1">
      <c r="A51" s="2">
        <v>48</v>
      </c>
      <c r="B51" s="57" t="s">
        <v>323</v>
      </c>
      <c r="C51" s="131">
        <v>60.88</v>
      </c>
      <c r="H51" s="5"/>
      <c r="I51" s="57"/>
      <c r="J51" s="57"/>
      <c r="K51" s="12"/>
    </row>
    <row r="52" spans="1:11" ht="14.25" customHeight="1">
      <c r="A52" s="2">
        <v>49</v>
      </c>
      <c r="B52" s="57" t="s">
        <v>307</v>
      </c>
      <c r="C52" s="131">
        <v>60.14</v>
      </c>
      <c r="D52" s="2"/>
      <c r="E52" s="63"/>
      <c r="F52" s="57"/>
      <c r="H52" s="5"/>
      <c r="I52" s="57"/>
      <c r="J52" s="57"/>
      <c r="K52" s="12"/>
    </row>
    <row r="53" spans="1:11" ht="12.75">
      <c r="A53" s="2">
        <v>50</v>
      </c>
      <c r="B53" s="57" t="s">
        <v>238</v>
      </c>
      <c r="C53" s="131">
        <v>59.35</v>
      </c>
      <c r="H53" s="5"/>
      <c r="I53" s="57"/>
      <c r="J53" s="57"/>
      <c r="K53" s="12"/>
    </row>
    <row r="54" spans="1:11" ht="14.25" customHeight="1">
      <c r="A54" s="2">
        <v>51</v>
      </c>
      <c r="B54" s="57" t="s">
        <v>186</v>
      </c>
      <c r="C54" s="131">
        <v>58.63</v>
      </c>
      <c r="H54" s="5"/>
      <c r="I54" s="57"/>
      <c r="J54" s="57"/>
      <c r="K54" s="12"/>
    </row>
    <row r="55" spans="1:11" ht="14.25" customHeight="1">
      <c r="A55" s="2">
        <v>52</v>
      </c>
      <c r="B55" s="57" t="s">
        <v>247</v>
      </c>
      <c r="C55" s="131">
        <v>56.78</v>
      </c>
      <c r="H55" s="5"/>
      <c r="I55" s="57"/>
      <c r="J55" s="57"/>
      <c r="K55" s="12"/>
    </row>
    <row r="56" spans="1:11" ht="14.25" customHeight="1">
      <c r="A56" s="2">
        <v>53</v>
      </c>
      <c r="B56" s="57" t="s">
        <v>326</v>
      </c>
      <c r="C56" s="131">
        <v>56.72</v>
      </c>
      <c r="H56" s="5"/>
      <c r="I56" s="57"/>
      <c r="J56" s="57"/>
      <c r="K56" s="12"/>
    </row>
    <row r="57" spans="1:11" ht="14.25" customHeight="1">
      <c r="A57" s="2">
        <v>54</v>
      </c>
      <c r="B57" s="57" t="s">
        <v>304</v>
      </c>
      <c r="C57" s="131">
        <v>56.33</v>
      </c>
      <c r="H57" s="5"/>
      <c r="I57" s="57"/>
      <c r="J57" s="57"/>
      <c r="K57" s="12"/>
    </row>
    <row r="58" spans="1:11" ht="14.25" customHeight="1">
      <c r="A58" s="2">
        <v>55</v>
      </c>
      <c r="B58" s="57" t="s">
        <v>179</v>
      </c>
      <c r="C58" s="131">
        <v>55.42</v>
      </c>
      <c r="H58" s="5"/>
      <c r="I58" s="57"/>
      <c r="J58" s="57"/>
      <c r="K58" s="12"/>
    </row>
    <row r="59" spans="1:11" ht="14.25" customHeight="1">
      <c r="A59" s="2">
        <v>56</v>
      </c>
      <c r="B59" s="57" t="s">
        <v>208</v>
      </c>
      <c r="C59" s="131">
        <v>54.7</v>
      </c>
      <c r="H59" s="5"/>
      <c r="I59" s="57"/>
      <c r="J59" s="57"/>
      <c r="K59" s="12"/>
    </row>
    <row r="60" spans="1:11" ht="14.25" customHeight="1">
      <c r="A60" s="2">
        <v>57</v>
      </c>
      <c r="B60" s="57" t="s">
        <v>311</v>
      </c>
      <c r="C60" s="131">
        <v>54.33</v>
      </c>
      <c r="H60" s="5"/>
      <c r="I60" s="57"/>
      <c r="J60" s="57"/>
      <c r="K60" s="12"/>
    </row>
    <row r="61" spans="1:11" ht="14.25" customHeight="1">
      <c r="A61" s="2">
        <v>58</v>
      </c>
      <c r="B61" s="57" t="s">
        <v>224</v>
      </c>
      <c r="C61" s="131">
        <v>54.28</v>
      </c>
      <c r="H61" s="5"/>
      <c r="I61" s="57"/>
      <c r="J61" s="57"/>
      <c r="K61" s="12"/>
    </row>
    <row r="62" spans="1:11" ht="14.25" customHeight="1">
      <c r="A62" s="2">
        <v>59</v>
      </c>
      <c r="B62" s="57" t="s">
        <v>220</v>
      </c>
      <c r="C62" s="131">
        <v>52.16</v>
      </c>
      <c r="H62" s="5"/>
      <c r="I62" s="57"/>
      <c r="J62" s="57"/>
      <c r="K62" s="12"/>
    </row>
    <row r="63" spans="1:11" ht="14.25" customHeight="1">
      <c r="A63" s="2">
        <v>60</v>
      </c>
      <c r="B63" s="57" t="s">
        <v>203</v>
      </c>
      <c r="C63" s="131">
        <v>52.08</v>
      </c>
      <c r="H63" s="5"/>
      <c r="I63" s="57"/>
      <c r="J63" s="57"/>
      <c r="K63" s="12"/>
    </row>
    <row r="64" spans="1:11" ht="14.25" customHeight="1">
      <c r="A64" s="2">
        <v>61</v>
      </c>
      <c r="B64" s="57" t="s">
        <v>318</v>
      </c>
      <c r="C64" s="131">
        <v>51.59</v>
      </c>
      <c r="H64" s="5"/>
      <c r="I64" s="57"/>
      <c r="J64" s="57"/>
      <c r="K64" s="12"/>
    </row>
    <row r="65" spans="1:11" ht="14.25" customHeight="1">
      <c r="A65" s="2">
        <v>62</v>
      </c>
      <c r="B65" s="57" t="s">
        <v>173</v>
      </c>
      <c r="C65" s="131">
        <v>51.04</v>
      </c>
      <c r="H65" s="5"/>
      <c r="I65" s="57"/>
      <c r="J65" s="57"/>
      <c r="K65" s="12"/>
    </row>
    <row r="66" spans="1:11" ht="14.25" customHeight="1">
      <c r="A66" s="2">
        <v>63</v>
      </c>
      <c r="B66" s="2" t="s">
        <v>182</v>
      </c>
      <c r="C66" s="131">
        <v>50.8</v>
      </c>
      <c r="H66" s="5"/>
      <c r="I66" s="2"/>
      <c r="J66" s="2"/>
      <c r="K66" s="12"/>
    </row>
    <row r="67" spans="1:11" ht="14.25" customHeight="1">
      <c r="A67" s="2">
        <v>64</v>
      </c>
      <c r="B67" s="57" t="s">
        <v>322</v>
      </c>
      <c r="C67" s="131">
        <v>49.58</v>
      </c>
      <c r="H67" s="5"/>
      <c r="I67" s="57"/>
      <c r="J67" s="57"/>
      <c r="K67" s="12"/>
    </row>
    <row r="68" spans="1:11" ht="14.25" customHeight="1">
      <c r="A68" s="2">
        <v>65</v>
      </c>
      <c r="B68" s="57" t="s">
        <v>198</v>
      </c>
      <c r="C68" s="131">
        <v>48.03</v>
      </c>
      <c r="H68" s="5"/>
      <c r="I68" s="57"/>
      <c r="J68" s="57"/>
      <c r="K68" s="12"/>
    </row>
    <row r="69" spans="1:11" ht="14.25" customHeight="1">
      <c r="A69" s="2">
        <v>66</v>
      </c>
      <c r="B69" s="57" t="s">
        <v>232</v>
      </c>
      <c r="C69" s="131">
        <v>47.41</v>
      </c>
      <c r="H69" s="5"/>
      <c r="I69" s="57"/>
      <c r="J69" s="57"/>
      <c r="K69" s="12"/>
    </row>
    <row r="70" spans="1:11" ht="14.25" customHeight="1">
      <c r="A70" s="2">
        <v>67</v>
      </c>
      <c r="B70" s="57" t="s">
        <v>160</v>
      </c>
      <c r="C70" s="131">
        <v>46.82</v>
      </c>
      <c r="H70" s="5"/>
      <c r="I70" s="57"/>
      <c r="J70" s="57"/>
      <c r="K70" s="12"/>
    </row>
    <row r="71" spans="1:11" ht="14.25" customHeight="1">
      <c r="A71" s="2">
        <v>68</v>
      </c>
      <c r="B71" s="57" t="s">
        <v>226</v>
      </c>
      <c r="C71" s="131">
        <v>46.64</v>
      </c>
      <c r="H71" s="5"/>
      <c r="I71" s="57"/>
      <c r="J71" s="57"/>
      <c r="K71" s="12"/>
    </row>
    <row r="72" spans="1:11" ht="14.25" customHeight="1">
      <c r="A72" s="2">
        <v>69</v>
      </c>
      <c r="B72" s="57" t="s">
        <v>310</v>
      </c>
      <c r="C72" s="131">
        <v>46.58</v>
      </c>
      <c r="H72" s="5"/>
      <c r="I72" s="57"/>
      <c r="J72" s="57"/>
      <c r="K72" s="12"/>
    </row>
    <row r="73" spans="1:11" ht="14.25" customHeight="1">
      <c r="A73" s="2">
        <v>70</v>
      </c>
      <c r="B73" s="57" t="s">
        <v>206</v>
      </c>
      <c r="C73" s="131">
        <v>45.41</v>
      </c>
      <c r="H73" s="5"/>
      <c r="I73" s="57"/>
      <c r="J73" s="57"/>
      <c r="K73" s="12"/>
    </row>
    <row r="74" spans="1:11" ht="14.25" customHeight="1">
      <c r="A74" s="2">
        <v>71</v>
      </c>
      <c r="B74" s="57" t="s">
        <v>312</v>
      </c>
      <c r="C74" s="131">
        <v>44.75</v>
      </c>
      <c r="H74" s="5"/>
      <c r="I74" s="57"/>
      <c r="J74" s="57"/>
      <c r="K74" s="12"/>
    </row>
    <row r="75" spans="1:11" ht="14.25" customHeight="1">
      <c r="A75" s="2">
        <v>72</v>
      </c>
      <c r="B75" s="57" t="s">
        <v>192</v>
      </c>
      <c r="C75" s="131">
        <v>44.5</v>
      </c>
      <c r="H75" s="5"/>
      <c r="I75" s="57"/>
      <c r="J75" s="57"/>
      <c r="K75" s="12"/>
    </row>
    <row r="76" spans="1:11" ht="14.25" customHeight="1">
      <c r="A76" s="2">
        <v>73</v>
      </c>
      <c r="B76" s="57" t="s">
        <v>317</v>
      </c>
      <c r="C76" s="131">
        <v>44.37</v>
      </c>
      <c r="H76" s="5"/>
      <c r="I76" s="57"/>
      <c r="J76" s="57"/>
      <c r="K76" s="12"/>
    </row>
    <row r="77" spans="1:11" ht="14.25" customHeight="1">
      <c r="A77" s="2">
        <v>74</v>
      </c>
      <c r="B77" s="57" t="s">
        <v>258</v>
      </c>
      <c r="C77" s="131">
        <v>44.17</v>
      </c>
      <c r="H77" s="5"/>
      <c r="I77" s="57"/>
      <c r="J77" s="57"/>
      <c r="K77" s="12"/>
    </row>
    <row r="78" spans="1:11" ht="14.25" customHeight="1">
      <c r="A78" s="2">
        <v>75</v>
      </c>
      <c r="B78" s="57" t="s">
        <v>233</v>
      </c>
      <c r="C78" s="131">
        <v>43.59</v>
      </c>
      <c r="H78" s="5"/>
      <c r="I78" s="57"/>
      <c r="J78" s="57"/>
      <c r="K78" s="12"/>
    </row>
    <row r="79" spans="1:11" ht="14.25" customHeight="1">
      <c r="A79" s="2">
        <v>76</v>
      </c>
      <c r="B79" s="57" t="s">
        <v>249</v>
      </c>
      <c r="C79" s="131">
        <v>43.4</v>
      </c>
      <c r="H79" s="5"/>
      <c r="I79" s="57"/>
      <c r="J79" s="57"/>
      <c r="K79" s="12"/>
    </row>
    <row r="80" spans="1:11" ht="14.25" customHeight="1">
      <c r="A80" s="2">
        <v>77</v>
      </c>
      <c r="B80" s="57" t="s">
        <v>170</v>
      </c>
      <c r="C80" s="131">
        <v>41.04</v>
      </c>
      <c r="H80" s="5"/>
      <c r="I80" s="57"/>
      <c r="J80" s="57"/>
      <c r="K80" s="12"/>
    </row>
    <row r="81" spans="1:11" ht="14.25" customHeight="1">
      <c r="A81" s="2">
        <v>78</v>
      </c>
      <c r="B81" s="57" t="s">
        <v>211</v>
      </c>
      <c r="C81" s="131">
        <v>40.590000000000003</v>
      </c>
      <c r="H81" s="5"/>
      <c r="I81" s="57"/>
      <c r="J81" s="57"/>
      <c r="K81" s="12"/>
    </row>
    <row r="82" spans="1:11" ht="14.25" customHeight="1">
      <c r="A82" s="2">
        <v>79</v>
      </c>
      <c r="B82" s="57" t="s">
        <v>225</v>
      </c>
      <c r="C82" s="131">
        <v>38.46</v>
      </c>
      <c r="H82" s="5"/>
      <c r="I82" s="57"/>
      <c r="J82" s="57"/>
      <c r="K82" s="12"/>
    </row>
    <row r="83" spans="1:11" ht="14.25" customHeight="1">
      <c r="A83" s="2">
        <v>80</v>
      </c>
      <c r="B83" s="57" t="s">
        <v>313</v>
      </c>
      <c r="C83" s="131">
        <v>38.4</v>
      </c>
      <c r="H83" s="5"/>
      <c r="I83" s="57"/>
      <c r="J83" s="57"/>
      <c r="K83" s="12"/>
    </row>
    <row r="84" spans="1:11" ht="14.25" customHeight="1">
      <c r="A84" s="2">
        <v>81</v>
      </c>
      <c r="B84" s="57" t="s">
        <v>148</v>
      </c>
      <c r="C84" s="131">
        <v>37.97</v>
      </c>
      <c r="H84" s="2"/>
      <c r="I84" s="57"/>
      <c r="J84" s="57"/>
      <c r="K84" s="12"/>
    </row>
    <row r="85" spans="1:11" ht="14.25" customHeight="1">
      <c r="A85" s="2">
        <v>82</v>
      </c>
      <c r="B85" s="57" t="s">
        <v>126</v>
      </c>
      <c r="C85" s="131">
        <v>37.020000000000003</v>
      </c>
      <c r="H85" s="5"/>
      <c r="I85" s="57"/>
      <c r="J85" s="57"/>
      <c r="K85" s="12"/>
    </row>
    <row r="86" spans="1:11" ht="14.25" customHeight="1">
      <c r="A86" s="2">
        <v>83</v>
      </c>
      <c r="B86" s="57" t="s">
        <v>309</v>
      </c>
      <c r="C86" s="131">
        <v>36.85</v>
      </c>
      <c r="H86" s="5"/>
      <c r="I86" s="57"/>
      <c r="J86" s="57"/>
      <c r="K86" s="12"/>
    </row>
    <row r="87" spans="1:11" ht="14.25" customHeight="1">
      <c r="A87" s="2">
        <v>84</v>
      </c>
      <c r="B87" s="57" t="s">
        <v>308</v>
      </c>
      <c r="C87" s="131">
        <v>36.67</v>
      </c>
      <c r="H87" s="5"/>
      <c r="I87" s="57"/>
      <c r="J87" s="57"/>
      <c r="K87" s="12"/>
    </row>
    <row r="88" spans="1:11" ht="14.25" customHeight="1">
      <c r="A88" s="2">
        <v>85</v>
      </c>
      <c r="B88" s="57" t="s">
        <v>285</v>
      </c>
      <c r="C88" s="131">
        <v>35.07</v>
      </c>
      <c r="H88" s="5"/>
      <c r="I88" s="57"/>
      <c r="J88" s="57"/>
      <c r="K88" s="12"/>
    </row>
    <row r="89" spans="1:11" ht="14.25" customHeight="1">
      <c r="A89" s="2">
        <v>86</v>
      </c>
      <c r="B89" s="57" t="s">
        <v>321</v>
      </c>
      <c r="C89" s="131">
        <v>33.549999999999997</v>
      </c>
      <c r="H89" s="5"/>
      <c r="I89" s="57"/>
      <c r="J89" s="57"/>
      <c r="K89" s="12"/>
    </row>
    <row r="90" spans="1:11" ht="14.25" customHeight="1">
      <c r="A90" s="2">
        <v>87</v>
      </c>
      <c r="B90" s="57" t="s">
        <v>165</v>
      </c>
      <c r="C90" s="131">
        <v>33.46</v>
      </c>
      <c r="H90" s="5"/>
      <c r="I90" s="57"/>
      <c r="J90" s="57"/>
      <c r="K90" s="12"/>
    </row>
    <row r="91" spans="1:11" ht="14.25" customHeight="1">
      <c r="A91" s="2">
        <v>88</v>
      </c>
      <c r="B91" s="57" t="s">
        <v>306</v>
      </c>
      <c r="C91" s="131">
        <v>29.76</v>
      </c>
      <c r="H91" s="5"/>
      <c r="I91" s="57"/>
      <c r="J91" s="57"/>
      <c r="K91" s="12"/>
    </row>
    <row r="92" spans="1:11" ht="14.25" customHeight="1">
      <c r="A92" s="2">
        <v>89</v>
      </c>
      <c r="B92" s="57" t="s">
        <v>328</v>
      </c>
      <c r="C92" s="131">
        <v>25.22</v>
      </c>
      <c r="H92" s="5"/>
      <c r="I92" s="57"/>
      <c r="J92" s="57"/>
      <c r="K92" s="12"/>
    </row>
    <row r="93" spans="1:11" ht="14.25" customHeight="1">
      <c r="A93" s="2"/>
      <c r="B93" s="57"/>
      <c r="C93" s="131"/>
      <c r="H93" s="5"/>
      <c r="I93" s="57"/>
      <c r="J93" s="57"/>
      <c r="K93" s="12"/>
    </row>
    <row r="94" spans="1:11" ht="14.25" customHeight="1">
      <c r="A94" s="2"/>
      <c r="B94" s="63"/>
      <c r="C94" s="131"/>
    </row>
    <row r="95" spans="1:11" ht="14.25" customHeight="1">
      <c r="A95" s="2"/>
      <c r="C95" s="170"/>
    </row>
    <row r="96" spans="1:11" ht="14.25" customHeight="1">
      <c r="A96" s="2"/>
      <c r="B96" s="7" t="s">
        <v>105</v>
      </c>
      <c r="C96" s="50">
        <v>62.45</v>
      </c>
    </row>
    <row r="97" spans="1:6" ht="14.25" customHeight="1">
      <c r="B97" s="7" t="s">
        <v>104</v>
      </c>
      <c r="C97" s="293">
        <v>68.96808988764046</v>
      </c>
    </row>
    <row r="99" spans="1:6" ht="14.25" customHeight="1">
      <c r="A99" s="406" t="s">
        <v>267</v>
      </c>
      <c r="B99" s="406"/>
      <c r="C99" s="406"/>
      <c r="D99" s="406"/>
      <c r="E99" s="406"/>
      <c r="F99" s="406"/>
    </row>
  </sheetData>
  <sortState xmlns:xlrd2="http://schemas.microsoft.com/office/spreadsheetml/2017/richdata2" ref="I4:K93">
    <sortCondition descending="1" ref="K4:K93"/>
    <sortCondition descending="1" ref="J4:J93"/>
    <sortCondition ref="I4:I93"/>
  </sortState>
  <mergeCells count="1">
    <mergeCell ref="A99:F99"/>
  </mergeCells>
  <phoneticPr fontId="51" type="noConversion"/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6">
    <pageSetUpPr fitToPage="1"/>
  </sheetPr>
  <dimension ref="A1:W99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4.25" customHeight="1"/>
  <cols>
    <col min="1" max="1" width="7.42578125" customWidth="1"/>
    <col min="2" max="2" width="21.140625" customWidth="1"/>
    <col min="3" max="3" width="8.28515625" style="51" customWidth="1"/>
    <col min="4" max="4" width="17.7109375" style="11" customWidth="1"/>
    <col min="5" max="5" width="20.7109375" customWidth="1"/>
    <col min="6" max="6" width="9.42578125" style="45" customWidth="1"/>
    <col min="7" max="7" width="21.7109375" customWidth="1"/>
    <col min="8" max="8" width="9.28515625" customWidth="1"/>
    <col min="9" max="9" width="21.85546875" bestFit="1" customWidth="1"/>
    <col min="10" max="10" width="20.28515625" bestFit="1" customWidth="1"/>
    <col min="11" max="11" width="14.42578125" bestFit="1" customWidth="1"/>
    <col min="12" max="12" width="9.85546875" bestFit="1" customWidth="1"/>
    <col min="13" max="13" width="4.85546875" customWidth="1"/>
    <col min="14" max="14" width="18.7109375" bestFit="1" customWidth="1"/>
    <col min="15" max="15" width="12.42578125" style="40" customWidth="1"/>
  </cols>
  <sheetData>
    <row r="1" spans="1:23" ht="15.75" customHeight="1">
      <c r="B1" s="9" t="s">
        <v>573</v>
      </c>
      <c r="J1" s="45"/>
      <c r="K1" s="45"/>
      <c r="L1" s="220"/>
    </row>
    <row r="2" spans="1:23" ht="14.25" customHeight="1">
      <c r="B2" s="9"/>
      <c r="F2" s="188"/>
      <c r="H2" s="147"/>
      <c r="J2" s="45"/>
      <c r="K2" s="45"/>
      <c r="L2" s="220"/>
    </row>
    <row r="3" spans="1:23" ht="14.25" customHeight="1">
      <c r="B3" s="9"/>
      <c r="C3" s="225" t="s">
        <v>102</v>
      </c>
      <c r="F3" s="188"/>
      <c r="H3" s="147"/>
      <c r="J3" s="45"/>
      <c r="K3" s="45"/>
      <c r="L3" s="220"/>
    </row>
    <row r="4" spans="1:23" s="77" customFormat="1" ht="14.25" customHeight="1">
      <c r="A4" s="2">
        <v>1</v>
      </c>
      <c r="B4" s="2" t="s">
        <v>139</v>
      </c>
      <c r="C4" s="51">
        <v>155.94</v>
      </c>
      <c r="G4"/>
      <c r="H4" s="175"/>
      <c r="I4"/>
      <c r="J4" s="45"/>
      <c r="K4" s="45"/>
      <c r="L4" s="220"/>
      <c r="M4" s="81"/>
      <c r="N4"/>
      <c r="O4" s="40"/>
      <c r="P4" s="83"/>
      <c r="Q4" s="84"/>
      <c r="R4" s="80"/>
      <c r="S4" s="81"/>
      <c r="T4" s="81"/>
      <c r="U4" s="82"/>
      <c r="V4" s="85"/>
      <c r="W4" s="86"/>
    </row>
    <row r="5" spans="1:23" ht="14.25" customHeight="1">
      <c r="A5" s="2">
        <v>2</v>
      </c>
      <c r="B5" s="63" t="s">
        <v>158</v>
      </c>
      <c r="C5" s="51">
        <v>82.12</v>
      </c>
      <c r="J5" s="45"/>
      <c r="K5" s="45"/>
      <c r="L5" s="220"/>
      <c r="M5" s="2"/>
    </row>
    <row r="6" spans="1:23" ht="14.25" customHeight="1">
      <c r="A6" s="2">
        <v>3</v>
      </c>
      <c r="B6" s="63" t="s">
        <v>261</v>
      </c>
      <c r="C6" s="51">
        <v>80.89</v>
      </c>
      <c r="J6" s="45"/>
      <c r="K6" s="45"/>
      <c r="L6" s="220"/>
      <c r="M6" s="2"/>
    </row>
    <row r="7" spans="1:23" ht="14.25" customHeight="1">
      <c r="A7" s="2">
        <v>4</v>
      </c>
      <c r="B7" s="63" t="s">
        <v>320</v>
      </c>
      <c r="C7" s="51">
        <v>75.13</v>
      </c>
      <c r="J7" s="45"/>
      <c r="K7" s="45"/>
      <c r="L7" s="220"/>
      <c r="M7" s="2"/>
    </row>
    <row r="8" spans="1:23" ht="14.25" customHeight="1">
      <c r="A8" s="2">
        <v>5</v>
      </c>
      <c r="B8" s="63" t="s">
        <v>210</v>
      </c>
      <c r="C8" s="51">
        <v>65.069999999999993</v>
      </c>
      <c r="J8" s="45"/>
      <c r="K8" s="45"/>
      <c r="L8" s="220"/>
      <c r="M8" s="2"/>
    </row>
    <row r="9" spans="1:23" ht="14.25" customHeight="1">
      <c r="A9" s="2">
        <v>6</v>
      </c>
      <c r="B9" s="2" t="s">
        <v>280</v>
      </c>
      <c r="C9" s="51">
        <v>55.55</v>
      </c>
      <c r="J9" s="45"/>
      <c r="K9" s="45"/>
      <c r="L9" s="220"/>
      <c r="M9" s="2"/>
    </row>
    <row r="10" spans="1:23" ht="14.25" customHeight="1">
      <c r="A10" s="2">
        <v>7</v>
      </c>
      <c r="B10" s="2" t="s">
        <v>256</v>
      </c>
      <c r="C10" s="51">
        <v>52.5</v>
      </c>
      <c r="J10" s="45"/>
      <c r="K10" s="45"/>
      <c r="L10" s="220"/>
      <c r="M10" s="2"/>
    </row>
    <row r="11" spans="1:23" ht="14.25" customHeight="1">
      <c r="A11" s="2">
        <v>8</v>
      </c>
      <c r="B11" s="63" t="s">
        <v>199</v>
      </c>
      <c r="C11" s="51">
        <v>49.13</v>
      </c>
      <c r="J11" s="45"/>
      <c r="K11" s="45"/>
      <c r="L11" s="220"/>
      <c r="M11" s="2"/>
    </row>
    <row r="12" spans="1:23" ht="14.25" customHeight="1">
      <c r="A12" s="2">
        <v>9</v>
      </c>
      <c r="B12" s="63" t="s">
        <v>254</v>
      </c>
      <c r="C12" s="51">
        <v>49.12</v>
      </c>
      <c r="J12" s="45"/>
      <c r="K12" s="45"/>
      <c r="L12" s="220"/>
      <c r="M12" s="2"/>
    </row>
    <row r="13" spans="1:23" ht="14.25" customHeight="1">
      <c r="A13" s="2">
        <v>10</v>
      </c>
      <c r="B13" s="63" t="s">
        <v>257</v>
      </c>
      <c r="C13" s="51">
        <v>48.06</v>
      </c>
      <c r="J13" s="45"/>
      <c r="K13" s="45"/>
      <c r="L13" s="220"/>
      <c r="M13" s="2"/>
    </row>
    <row r="14" spans="1:23" ht="14.25" customHeight="1">
      <c r="A14" s="2">
        <v>11</v>
      </c>
      <c r="B14" s="2" t="s">
        <v>127</v>
      </c>
      <c r="C14" s="51">
        <v>46.67</v>
      </c>
      <c r="J14" s="45"/>
      <c r="K14" s="45"/>
      <c r="L14" s="220"/>
      <c r="M14" s="2"/>
    </row>
    <row r="15" spans="1:23" ht="14.25" customHeight="1">
      <c r="A15" s="2">
        <v>12</v>
      </c>
      <c r="B15" s="5" t="s">
        <v>202</v>
      </c>
      <c r="C15" s="51">
        <v>45.94</v>
      </c>
      <c r="J15" s="2"/>
      <c r="K15" s="11"/>
      <c r="L15" s="51"/>
      <c r="M15" s="2"/>
    </row>
    <row r="16" spans="1:23" ht="14.25" customHeight="1">
      <c r="A16" s="2">
        <v>13</v>
      </c>
      <c r="B16" s="2" t="s">
        <v>144</v>
      </c>
      <c r="C16" s="51">
        <v>44.84</v>
      </c>
      <c r="J16" s="45"/>
      <c r="K16" s="45"/>
      <c r="L16" s="220"/>
      <c r="M16" s="2"/>
    </row>
    <row r="17" spans="1:13" ht="14.25" customHeight="1">
      <c r="A17" s="2">
        <v>14</v>
      </c>
      <c r="B17" s="2" t="s">
        <v>168</v>
      </c>
      <c r="C17" s="51">
        <v>44.54</v>
      </c>
      <c r="J17" s="45"/>
      <c r="K17" s="45"/>
      <c r="L17" s="220"/>
      <c r="M17" s="2"/>
    </row>
    <row r="18" spans="1:13" ht="14.25" customHeight="1">
      <c r="A18" s="2">
        <v>15</v>
      </c>
      <c r="B18" s="2" t="s">
        <v>223</v>
      </c>
      <c r="C18" s="51">
        <v>43.64</v>
      </c>
      <c r="J18" s="45"/>
      <c r="K18" s="45"/>
      <c r="L18" s="220"/>
    </row>
    <row r="19" spans="1:13" ht="14.25" customHeight="1">
      <c r="A19" s="2">
        <v>16</v>
      </c>
      <c r="B19" s="63" t="s">
        <v>123</v>
      </c>
      <c r="C19" s="51">
        <v>43.44</v>
      </c>
      <c r="J19" s="45"/>
      <c r="K19" s="45"/>
      <c r="L19" s="220"/>
    </row>
    <row r="20" spans="1:13" ht="14.25" customHeight="1">
      <c r="A20" s="2">
        <v>17</v>
      </c>
      <c r="B20" s="2" t="s">
        <v>244</v>
      </c>
      <c r="C20" s="51">
        <v>42.72</v>
      </c>
      <c r="J20" s="45"/>
      <c r="K20" s="45"/>
      <c r="L20" s="220"/>
    </row>
    <row r="21" spans="1:13" ht="14.25" customHeight="1">
      <c r="A21" s="2">
        <v>18</v>
      </c>
      <c r="B21" s="2" t="s">
        <v>282</v>
      </c>
      <c r="C21" s="51">
        <v>41.89</v>
      </c>
      <c r="J21" s="45"/>
      <c r="K21" s="45"/>
      <c r="L21" s="220"/>
    </row>
    <row r="22" spans="1:13" ht="14.25" customHeight="1">
      <c r="A22" s="2">
        <v>19</v>
      </c>
      <c r="B22" s="63" t="s">
        <v>325</v>
      </c>
      <c r="C22" s="51">
        <v>41.04</v>
      </c>
      <c r="J22" s="45"/>
      <c r="K22" s="45"/>
      <c r="L22" s="220"/>
    </row>
    <row r="23" spans="1:13" ht="14.25" customHeight="1">
      <c r="A23" s="2">
        <v>20</v>
      </c>
      <c r="B23" s="2" t="s">
        <v>278</v>
      </c>
      <c r="C23" s="51">
        <v>40.54</v>
      </c>
      <c r="J23" s="45"/>
      <c r="K23" s="45"/>
      <c r="L23" s="220"/>
    </row>
    <row r="24" spans="1:13" ht="14.25" customHeight="1">
      <c r="A24" s="2">
        <v>21</v>
      </c>
      <c r="B24" s="2" t="s">
        <v>307</v>
      </c>
      <c r="C24" s="51">
        <v>40.03</v>
      </c>
      <c r="J24" s="45"/>
      <c r="K24" s="45"/>
      <c r="L24" s="220"/>
    </row>
    <row r="25" spans="1:13" ht="14.25" customHeight="1">
      <c r="A25" s="2">
        <v>22</v>
      </c>
      <c r="B25" s="63" t="s">
        <v>316</v>
      </c>
      <c r="C25" s="51">
        <v>40.020000000000003</v>
      </c>
      <c r="J25" s="45"/>
      <c r="K25" s="45"/>
      <c r="L25" s="220"/>
    </row>
    <row r="26" spans="1:13" ht="14.25" customHeight="1">
      <c r="A26" s="2">
        <v>23</v>
      </c>
      <c r="B26" s="63" t="s">
        <v>196</v>
      </c>
      <c r="C26" s="51">
        <v>39.6</v>
      </c>
      <c r="J26" s="45"/>
      <c r="K26" s="45"/>
      <c r="L26" s="220"/>
    </row>
    <row r="27" spans="1:13" ht="14.25" customHeight="1">
      <c r="A27" s="2">
        <v>24</v>
      </c>
      <c r="B27" s="63" t="s">
        <v>193</v>
      </c>
      <c r="C27" s="51">
        <v>38.590000000000003</v>
      </c>
      <c r="J27" s="45"/>
      <c r="K27" s="45"/>
      <c r="L27" s="220"/>
    </row>
    <row r="28" spans="1:13" ht="14.25" customHeight="1">
      <c r="A28" s="2">
        <v>25</v>
      </c>
      <c r="B28" s="63" t="s">
        <v>151</v>
      </c>
      <c r="C28" s="51">
        <v>38.1</v>
      </c>
      <c r="J28" s="63"/>
      <c r="K28" s="11"/>
      <c r="L28" s="51"/>
    </row>
    <row r="29" spans="1:13" ht="14.25" customHeight="1">
      <c r="A29" s="2">
        <v>26</v>
      </c>
      <c r="B29" s="2" t="s">
        <v>213</v>
      </c>
      <c r="C29" s="51">
        <v>37.619999999999997</v>
      </c>
      <c r="J29" s="45"/>
      <c r="K29" s="45"/>
      <c r="L29" s="220"/>
    </row>
    <row r="30" spans="1:13" ht="14.25" customHeight="1">
      <c r="A30" s="2">
        <v>27</v>
      </c>
      <c r="B30" s="2" t="s">
        <v>324</v>
      </c>
      <c r="C30" s="51">
        <v>37.590000000000003</v>
      </c>
      <c r="J30" s="45"/>
      <c r="K30" s="45"/>
      <c r="L30" s="220"/>
    </row>
    <row r="31" spans="1:13" ht="14.25" customHeight="1">
      <c r="A31" s="2">
        <v>28</v>
      </c>
      <c r="B31" s="2" t="s">
        <v>327</v>
      </c>
      <c r="C31" s="51">
        <v>37.01</v>
      </c>
      <c r="J31" s="45"/>
      <c r="K31" s="45"/>
      <c r="L31" s="220"/>
    </row>
    <row r="32" spans="1:13" ht="14.25" customHeight="1">
      <c r="A32" s="2">
        <v>29</v>
      </c>
      <c r="B32" s="2" t="s">
        <v>260</v>
      </c>
      <c r="C32" s="51">
        <v>35.880000000000003</v>
      </c>
      <c r="J32" s="45"/>
      <c r="K32" s="45"/>
      <c r="L32" s="220"/>
    </row>
    <row r="33" spans="1:12" ht="14.25" customHeight="1">
      <c r="A33" s="2">
        <v>30</v>
      </c>
      <c r="B33" s="2" t="s">
        <v>284</v>
      </c>
      <c r="C33" s="51">
        <v>35.700000000000003</v>
      </c>
      <c r="J33" s="45"/>
      <c r="K33" s="45"/>
      <c r="L33" s="220"/>
    </row>
    <row r="34" spans="1:12" ht="14.25" customHeight="1">
      <c r="A34" s="2">
        <v>31</v>
      </c>
      <c r="B34" s="63" t="s">
        <v>218</v>
      </c>
      <c r="C34" s="51">
        <v>35.619999999999997</v>
      </c>
      <c r="J34" s="45"/>
      <c r="K34" s="45"/>
      <c r="L34" s="220"/>
    </row>
    <row r="35" spans="1:12" ht="14.25" customHeight="1">
      <c r="A35" s="2">
        <v>32</v>
      </c>
      <c r="B35" s="63" t="s">
        <v>323</v>
      </c>
      <c r="C35" s="51">
        <v>35.15</v>
      </c>
      <c r="J35" s="45"/>
      <c r="K35" s="45"/>
      <c r="L35" s="220"/>
    </row>
    <row r="36" spans="1:12" ht="14.25" customHeight="1">
      <c r="A36" s="2">
        <v>33</v>
      </c>
      <c r="B36" s="2" t="s">
        <v>305</v>
      </c>
      <c r="C36" s="51">
        <v>35.06</v>
      </c>
      <c r="J36" s="45"/>
      <c r="K36" s="45"/>
      <c r="L36" s="220"/>
    </row>
    <row r="37" spans="1:12" ht="14.25" customHeight="1">
      <c r="A37" s="2">
        <v>34</v>
      </c>
      <c r="B37" s="2" t="s">
        <v>238</v>
      </c>
      <c r="C37" s="51">
        <v>34.770000000000003</v>
      </c>
      <c r="J37" s="45"/>
      <c r="K37" s="45"/>
      <c r="L37" s="220"/>
    </row>
    <row r="38" spans="1:12" ht="14.25" customHeight="1">
      <c r="A38" s="2">
        <v>35</v>
      </c>
      <c r="B38" s="63" t="s">
        <v>118</v>
      </c>
      <c r="C38" s="51">
        <v>34.64</v>
      </c>
      <c r="J38" s="45"/>
      <c r="K38" s="45"/>
      <c r="L38" s="220"/>
    </row>
    <row r="39" spans="1:12" ht="14.25" customHeight="1">
      <c r="A39" s="2">
        <v>36</v>
      </c>
      <c r="B39" s="63" t="s">
        <v>190</v>
      </c>
      <c r="C39" s="51">
        <v>34.26</v>
      </c>
      <c r="J39" s="45"/>
      <c r="K39" s="45"/>
      <c r="L39" s="220"/>
    </row>
    <row r="40" spans="1:12" ht="14.25" customHeight="1">
      <c r="A40" s="2">
        <v>37</v>
      </c>
      <c r="B40" s="63" t="s">
        <v>219</v>
      </c>
      <c r="C40" s="51">
        <v>33.729999999999997</v>
      </c>
      <c r="J40" s="45"/>
      <c r="K40" s="45"/>
      <c r="L40" s="220"/>
    </row>
    <row r="41" spans="1:12" ht="14.25" customHeight="1">
      <c r="A41" s="2">
        <v>38</v>
      </c>
      <c r="B41" s="2" t="s">
        <v>229</v>
      </c>
      <c r="C41" s="51">
        <v>33.299999999999997</v>
      </c>
      <c r="J41" s="45"/>
      <c r="K41" s="45"/>
      <c r="L41" s="220"/>
    </row>
    <row r="42" spans="1:12" ht="14.25" customHeight="1">
      <c r="A42" s="2">
        <v>39</v>
      </c>
      <c r="B42" s="2" t="s">
        <v>319</v>
      </c>
      <c r="C42" s="51">
        <v>32.81</v>
      </c>
      <c r="J42" s="45"/>
      <c r="K42" s="45"/>
      <c r="L42" s="220"/>
    </row>
    <row r="43" spans="1:12" ht="14.25" customHeight="1">
      <c r="A43" s="2">
        <v>40</v>
      </c>
      <c r="B43" s="63" t="s">
        <v>192</v>
      </c>
      <c r="C43" s="51">
        <v>32.1</v>
      </c>
      <c r="J43" s="45"/>
      <c r="K43" s="45"/>
      <c r="L43" s="220"/>
    </row>
    <row r="44" spans="1:12" ht="14.25" customHeight="1">
      <c r="A44" s="2">
        <v>41</v>
      </c>
      <c r="B44" s="63" t="s">
        <v>224</v>
      </c>
      <c r="C44" s="51">
        <v>32.049999999999997</v>
      </c>
      <c r="J44" s="45"/>
      <c r="K44" s="45"/>
      <c r="L44" s="220"/>
    </row>
    <row r="45" spans="1:12" ht="14.25" customHeight="1">
      <c r="A45" s="2">
        <v>42</v>
      </c>
      <c r="B45" s="63" t="s">
        <v>234</v>
      </c>
      <c r="C45" s="51">
        <v>31.89</v>
      </c>
      <c r="J45" s="45"/>
      <c r="K45" s="45"/>
      <c r="L45" s="220"/>
    </row>
    <row r="46" spans="1:12" ht="14.25" customHeight="1">
      <c r="A46" s="2">
        <v>43</v>
      </c>
      <c r="B46" s="2" t="s">
        <v>173</v>
      </c>
      <c r="C46" s="51">
        <v>31.38</v>
      </c>
      <c r="J46" s="45"/>
      <c r="K46" s="45"/>
      <c r="L46" s="220"/>
    </row>
    <row r="47" spans="1:12" ht="14.25" customHeight="1">
      <c r="A47" s="2">
        <v>44</v>
      </c>
      <c r="B47" s="63" t="s">
        <v>236</v>
      </c>
      <c r="C47" s="51">
        <v>30.75</v>
      </c>
      <c r="J47" s="45"/>
      <c r="K47" s="45"/>
      <c r="L47" s="220"/>
    </row>
    <row r="48" spans="1:12" ht="14.25" customHeight="1">
      <c r="A48" s="2">
        <v>45</v>
      </c>
      <c r="B48" s="63" t="s">
        <v>207</v>
      </c>
      <c r="C48" s="51">
        <v>30.72</v>
      </c>
      <c r="J48" s="45"/>
      <c r="K48" s="45"/>
      <c r="L48" s="220"/>
    </row>
    <row r="49" spans="1:12" ht="14.25" customHeight="1">
      <c r="A49" s="2">
        <v>46</v>
      </c>
      <c r="B49" s="63" t="s">
        <v>315</v>
      </c>
      <c r="C49" s="51">
        <v>30.49</v>
      </c>
      <c r="J49" s="45"/>
      <c r="K49" s="45"/>
      <c r="L49" s="220"/>
    </row>
    <row r="50" spans="1:12" ht="14.25" customHeight="1">
      <c r="A50" s="2">
        <v>47</v>
      </c>
      <c r="B50" s="63" t="s">
        <v>304</v>
      </c>
      <c r="C50" s="51">
        <v>30.37</v>
      </c>
      <c r="J50" s="45"/>
      <c r="K50" s="45"/>
      <c r="L50" s="220"/>
    </row>
    <row r="51" spans="1:12" ht="14.25" customHeight="1">
      <c r="A51" s="2">
        <v>48</v>
      </c>
      <c r="B51" s="63" t="s">
        <v>283</v>
      </c>
      <c r="C51" s="51">
        <v>30.07</v>
      </c>
      <c r="J51" s="45"/>
      <c r="K51" s="45"/>
      <c r="L51" s="220"/>
    </row>
    <row r="52" spans="1:12" ht="14.25" customHeight="1">
      <c r="A52" s="2">
        <v>49</v>
      </c>
      <c r="B52" s="2" t="s">
        <v>169</v>
      </c>
      <c r="C52" s="51">
        <v>29.81</v>
      </c>
      <c r="E52" s="63"/>
      <c r="J52" s="45"/>
      <c r="K52" s="45"/>
      <c r="L52" s="220"/>
    </row>
    <row r="53" spans="1:12" ht="12.75">
      <c r="A53" s="2">
        <v>50</v>
      </c>
      <c r="B53" s="2" t="s">
        <v>314</v>
      </c>
      <c r="C53" s="51">
        <v>29.25</v>
      </c>
      <c r="J53" s="45"/>
      <c r="K53" s="45"/>
      <c r="L53" s="220"/>
    </row>
    <row r="54" spans="1:12" ht="14.25" customHeight="1">
      <c r="A54" s="2">
        <v>51</v>
      </c>
      <c r="B54" s="5" t="s">
        <v>247</v>
      </c>
      <c r="C54" s="51">
        <v>29.03</v>
      </c>
      <c r="F54" s="35"/>
      <c r="J54" s="45"/>
      <c r="K54" s="45"/>
      <c r="L54" s="220"/>
    </row>
    <row r="55" spans="1:12" ht="14.25" customHeight="1">
      <c r="A55" s="2">
        <v>52</v>
      </c>
      <c r="B55" s="2" t="s">
        <v>220</v>
      </c>
      <c r="C55" s="51">
        <v>28.85</v>
      </c>
      <c r="F55" s="35"/>
      <c r="J55" s="45"/>
      <c r="K55" s="45"/>
      <c r="L55" s="220"/>
    </row>
    <row r="56" spans="1:12" ht="14.25" customHeight="1">
      <c r="A56" s="2">
        <v>53</v>
      </c>
      <c r="B56" s="2" t="s">
        <v>318</v>
      </c>
      <c r="C56" s="51">
        <v>28.41</v>
      </c>
      <c r="F56" s="189"/>
      <c r="J56" s="45"/>
      <c r="K56" s="45"/>
      <c r="L56" s="220"/>
    </row>
    <row r="57" spans="1:12" ht="14.25" customHeight="1">
      <c r="A57" s="2">
        <v>54</v>
      </c>
      <c r="B57" s="63" t="s">
        <v>208</v>
      </c>
      <c r="C57" s="51">
        <v>28.16</v>
      </c>
      <c r="F57" s="189"/>
      <c r="J57" s="45"/>
      <c r="K57" s="45"/>
      <c r="L57" s="220"/>
    </row>
    <row r="58" spans="1:12" ht="14.25" customHeight="1">
      <c r="A58" s="2">
        <v>55</v>
      </c>
      <c r="B58" s="2" t="s">
        <v>239</v>
      </c>
      <c r="C58" s="51">
        <v>28.02</v>
      </c>
      <c r="F58" s="189"/>
      <c r="J58" s="45"/>
      <c r="K58" s="45"/>
      <c r="L58" s="220"/>
    </row>
    <row r="59" spans="1:12" ht="14.25" customHeight="1">
      <c r="A59" s="2">
        <v>56</v>
      </c>
      <c r="B59" s="2" t="s">
        <v>160</v>
      </c>
      <c r="C59" s="51">
        <v>27.67</v>
      </c>
      <c r="F59" s="11"/>
      <c r="J59" s="45"/>
      <c r="K59" s="45"/>
      <c r="L59" s="220"/>
    </row>
    <row r="60" spans="1:12" ht="14.25" customHeight="1">
      <c r="A60" s="2">
        <v>57</v>
      </c>
      <c r="B60" s="63" t="s">
        <v>179</v>
      </c>
      <c r="C60" s="51">
        <v>27.63</v>
      </c>
      <c r="F60" s="189"/>
      <c r="J60" s="45"/>
      <c r="K60" s="45"/>
      <c r="L60" s="220"/>
    </row>
    <row r="61" spans="1:12" ht="14.25" customHeight="1">
      <c r="A61" s="2">
        <v>58</v>
      </c>
      <c r="B61" s="2" t="s">
        <v>186</v>
      </c>
      <c r="C61" s="51">
        <v>27.57</v>
      </c>
      <c r="E61" s="2"/>
      <c r="F61" s="189"/>
      <c r="J61" s="45"/>
      <c r="K61" s="45"/>
      <c r="L61" s="220"/>
    </row>
    <row r="62" spans="1:12" ht="14.25" customHeight="1">
      <c r="A62" s="2">
        <v>59</v>
      </c>
      <c r="B62" s="2" t="s">
        <v>326</v>
      </c>
      <c r="C62" s="51">
        <v>27.21</v>
      </c>
      <c r="E62" s="63"/>
      <c r="F62" s="189"/>
      <c r="J62" s="45"/>
      <c r="K62" s="45"/>
      <c r="L62" s="220"/>
    </row>
    <row r="63" spans="1:12" ht="14.25" customHeight="1">
      <c r="A63" s="2">
        <v>60</v>
      </c>
      <c r="B63" s="2" t="s">
        <v>182</v>
      </c>
      <c r="C63" s="51">
        <v>26.94</v>
      </c>
      <c r="J63" s="45"/>
      <c r="K63" s="45"/>
      <c r="L63" s="220"/>
    </row>
    <row r="64" spans="1:12" ht="14.25" customHeight="1">
      <c r="A64" s="2">
        <v>61</v>
      </c>
      <c r="B64" s="63" t="s">
        <v>311</v>
      </c>
      <c r="C64" s="51">
        <v>26.6</v>
      </c>
      <c r="E64" s="63"/>
      <c r="F64" s="11"/>
      <c r="J64" s="45"/>
      <c r="K64" s="45"/>
      <c r="L64" s="220"/>
    </row>
    <row r="65" spans="1:12" ht="14.25" customHeight="1">
      <c r="A65" s="2">
        <v>62</v>
      </c>
      <c r="B65" s="2" t="s">
        <v>312</v>
      </c>
      <c r="C65" s="51">
        <v>26.08</v>
      </c>
      <c r="E65" s="63"/>
      <c r="F65" s="189"/>
      <c r="J65" s="45"/>
      <c r="K65" s="45"/>
      <c r="L65" s="220"/>
    </row>
    <row r="66" spans="1:12" ht="14.25" customHeight="1">
      <c r="A66" s="2">
        <v>63</v>
      </c>
      <c r="B66" s="63" t="s">
        <v>232</v>
      </c>
      <c r="C66" s="51">
        <v>25.63</v>
      </c>
      <c r="J66" s="45"/>
      <c r="K66" s="45"/>
      <c r="L66" s="220"/>
    </row>
    <row r="67" spans="1:12" ht="14.25" customHeight="1">
      <c r="A67" s="2">
        <v>64</v>
      </c>
      <c r="B67" s="2" t="s">
        <v>258</v>
      </c>
      <c r="C67" s="51">
        <v>25.61</v>
      </c>
      <c r="J67" s="45"/>
      <c r="K67" s="45"/>
      <c r="L67" s="220"/>
    </row>
    <row r="68" spans="1:12" ht="14.25" customHeight="1">
      <c r="A68" s="2">
        <v>65</v>
      </c>
      <c r="B68" s="2" t="s">
        <v>249</v>
      </c>
      <c r="C68" s="51">
        <v>25.6</v>
      </c>
      <c r="J68" s="45"/>
      <c r="K68" s="45"/>
      <c r="L68" s="220"/>
    </row>
    <row r="69" spans="1:12" ht="14.25" customHeight="1">
      <c r="A69" s="2">
        <v>66</v>
      </c>
      <c r="B69" s="63" t="s">
        <v>170</v>
      </c>
      <c r="C69" s="51">
        <v>25.52</v>
      </c>
      <c r="J69" s="45"/>
      <c r="K69" s="45"/>
      <c r="L69" s="220"/>
    </row>
    <row r="70" spans="1:12" ht="14.25" customHeight="1">
      <c r="A70" s="2">
        <v>67</v>
      </c>
      <c r="B70" s="63" t="s">
        <v>185</v>
      </c>
      <c r="C70" s="51">
        <v>24.99</v>
      </c>
      <c r="J70" s="45"/>
      <c r="K70" s="45"/>
      <c r="L70" s="220"/>
    </row>
    <row r="71" spans="1:12" ht="14.25" customHeight="1">
      <c r="A71" s="2">
        <v>68</v>
      </c>
      <c r="B71" s="2" t="s">
        <v>226</v>
      </c>
      <c r="C71" s="51">
        <v>24.65</v>
      </c>
      <c r="J71" s="45"/>
      <c r="K71" s="45"/>
      <c r="L71" s="220"/>
    </row>
    <row r="72" spans="1:12" ht="14.25" customHeight="1">
      <c r="A72" s="2">
        <v>69</v>
      </c>
      <c r="B72" s="2" t="s">
        <v>308</v>
      </c>
      <c r="C72" s="51">
        <v>24.38</v>
      </c>
      <c r="J72" s="45"/>
      <c r="K72" s="45"/>
      <c r="L72" s="220"/>
    </row>
    <row r="73" spans="1:12" ht="14.25" customHeight="1">
      <c r="A73" s="2">
        <v>70</v>
      </c>
      <c r="B73" s="63" t="s">
        <v>313</v>
      </c>
      <c r="C73" s="51">
        <v>23.95</v>
      </c>
      <c r="J73" s="45"/>
      <c r="K73" s="45"/>
      <c r="L73" s="220"/>
    </row>
    <row r="74" spans="1:12" ht="14.25" customHeight="1">
      <c r="A74" s="2">
        <v>71</v>
      </c>
      <c r="B74" s="2" t="s">
        <v>310</v>
      </c>
      <c r="C74" s="51">
        <v>23.47</v>
      </c>
      <c r="J74" s="45"/>
      <c r="K74" s="45"/>
      <c r="L74" s="220"/>
    </row>
    <row r="75" spans="1:12" ht="14.25" customHeight="1">
      <c r="A75" s="2">
        <v>72</v>
      </c>
      <c r="B75" s="63" t="s">
        <v>206</v>
      </c>
      <c r="C75" s="51">
        <v>23.08</v>
      </c>
      <c r="J75" s="45"/>
      <c r="K75" s="45"/>
      <c r="L75" s="220"/>
    </row>
    <row r="76" spans="1:12" ht="14.25" customHeight="1">
      <c r="A76" s="2">
        <v>73</v>
      </c>
      <c r="B76" s="2" t="s">
        <v>126</v>
      </c>
      <c r="C76" s="51">
        <v>23.05</v>
      </c>
      <c r="J76" s="45"/>
      <c r="K76" s="45"/>
      <c r="L76" s="220"/>
    </row>
    <row r="77" spans="1:12" ht="14.25" customHeight="1">
      <c r="A77" s="2">
        <v>74</v>
      </c>
      <c r="B77" s="63" t="s">
        <v>309</v>
      </c>
      <c r="C77" s="51">
        <v>23.04</v>
      </c>
      <c r="J77" s="45"/>
      <c r="K77" s="45"/>
      <c r="L77" s="220"/>
    </row>
    <row r="78" spans="1:12" ht="14.25" customHeight="1">
      <c r="A78" s="2">
        <v>75</v>
      </c>
      <c r="B78" s="2" t="s">
        <v>322</v>
      </c>
      <c r="C78" s="51">
        <v>23.02</v>
      </c>
      <c r="J78" s="45"/>
      <c r="K78" s="45"/>
      <c r="L78" s="220"/>
    </row>
    <row r="79" spans="1:12" ht="14.25" customHeight="1">
      <c r="A79" s="2">
        <v>76</v>
      </c>
      <c r="B79" s="2" t="s">
        <v>203</v>
      </c>
      <c r="C79" s="51">
        <v>21.69</v>
      </c>
      <c r="J79" s="45"/>
      <c r="K79" s="45"/>
      <c r="L79" s="220"/>
    </row>
    <row r="80" spans="1:12" ht="14.25" customHeight="1">
      <c r="A80" s="2">
        <v>77</v>
      </c>
      <c r="B80" s="63" t="s">
        <v>225</v>
      </c>
      <c r="C80" s="51">
        <v>21.49</v>
      </c>
      <c r="J80" s="45"/>
      <c r="K80" s="45"/>
      <c r="L80" s="220"/>
    </row>
    <row r="81" spans="1:12" ht="14.25" customHeight="1">
      <c r="A81" s="2">
        <v>78</v>
      </c>
      <c r="B81" s="63" t="s">
        <v>198</v>
      </c>
      <c r="C81" s="51">
        <v>21.3</v>
      </c>
      <c r="J81" s="45"/>
      <c r="K81" s="45"/>
      <c r="L81" s="220"/>
    </row>
    <row r="82" spans="1:12" ht="14.25" customHeight="1">
      <c r="A82" s="2">
        <v>79</v>
      </c>
      <c r="B82" s="2" t="s">
        <v>214</v>
      </c>
      <c r="C82" s="51">
        <v>21.06</v>
      </c>
      <c r="J82" s="45"/>
      <c r="K82" s="45"/>
      <c r="L82" s="220"/>
    </row>
    <row r="83" spans="1:12" ht="14.25" customHeight="1">
      <c r="A83" s="2">
        <v>80</v>
      </c>
      <c r="B83" s="2" t="s">
        <v>317</v>
      </c>
      <c r="C83" s="51">
        <v>20.78</v>
      </c>
      <c r="J83" s="45"/>
      <c r="K83" s="45"/>
      <c r="L83" s="220"/>
    </row>
    <row r="84" spans="1:12" ht="14.25" customHeight="1">
      <c r="A84" s="2">
        <v>81</v>
      </c>
      <c r="B84" s="63" t="s">
        <v>165</v>
      </c>
      <c r="C84" s="51">
        <v>20.05</v>
      </c>
      <c r="J84" s="45"/>
      <c r="K84" s="45"/>
      <c r="L84" s="220"/>
    </row>
    <row r="85" spans="1:12" ht="14.25" customHeight="1">
      <c r="A85" s="2">
        <v>82</v>
      </c>
      <c r="B85" s="2" t="s">
        <v>321</v>
      </c>
      <c r="C85" s="51">
        <v>19.68</v>
      </c>
      <c r="J85" s="45"/>
      <c r="K85" s="45"/>
      <c r="L85" s="220"/>
    </row>
    <row r="86" spans="1:12" ht="14.25" customHeight="1">
      <c r="A86" s="2">
        <v>83</v>
      </c>
      <c r="B86" s="63" t="s">
        <v>328</v>
      </c>
      <c r="C86" s="51">
        <v>18.82</v>
      </c>
      <c r="J86" s="45"/>
      <c r="K86" s="45"/>
      <c r="L86" s="220"/>
    </row>
    <row r="87" spans="1:12" ht="14.25" customHeight="1">
      <c r="A87" s="2">
        <v>84</v>
      </c>
      <c r="B87" s="63" t="s">
        <v>233</v>
      </c>
      <c r="C87" s="51">
        <v>18.510000000000002</v>
      </c>
      <c r="J87" s="45"/>
      <c r="K87" s="45"/>
      <c r="L87" s="220"/>
    </row>
    <row r="88" spans="1:12" ht="14.25" customHeight="1">
      <c r="A88" s="2">
        <v>85</v>
      </c>
      <c r="B88" s="2" t="s">
        <v>154</v>
      </c>
      <c r="C88" s="51">
        <v>18.39</v>
      </c>
      <c r="J88" s="45"/>
      <c r="K88" s="45"/>
      <c r="L88" s="220"/>
    </row>
    <row r="89" spans="1:12" ht="14.25" customHeight="1">
      <c r="A89" s="2">
        <v>86</v>
      </c>
      <c r="B89" s="63" t="s">
        <v>285</v>
      </c>
      <c r="C89" s="51">
        <v>18.350000000000001</v>
      </c>
      <c r="J89" s="45"/>
      <c r="K89" s="45"/>
      <c r="L89" s="220"/>
    </row>
    <row r="90" spans="1:12" ht="14.25" customHeight="1">
      <c r="A90" s="2">
        <v>87</v>
      </c>
      <c r="B90" s="2" t="s">
        <v>306</v>
      </c>
      <c r="C90" s="51">
        <v>16.809999999999999</v>
      </c>
      <c r="J90" s="45"/>
      <c r="K90" s="45"/>
      <c r="L90" s="220"/>
    </row>
    <row r="91" spans="1:12" ht="14.25" customHeight="1">
      <c r="A91" s="2">
        <v>88</v>
      </c>
      <c r="B91" s="63" t="s">
        <v>148</v>
      </c>
      <c r="C91" s="51">
        <v>15.81</v>
      </c>
      <c r="J91" s="45"/>
      <c r="K91" s="45"/>
      <c r="L91" s="220"/>
    </row>
    <row r="92" spans="1:12" ht="14.25" customHeight="1">
      <c r="A92" s="2">
        <v>89</v>
      </c>
      <c r="B92" s="2" t="s">
        <v>211</v>
      </c>
      <c r="C92" s="51">
        <v>9.3800000000000008</v>
      </c>
    </row>
    <row r="93" spans="1:12" ht="14.25" customHeight="1">
      <c r="A93" s="2"/>
      <c r="B93" s="63"/>
    </row>
    <row r="94" spans="1:12" ht="14.25" customHeight="1">
      <c r="A94" s="2"/>
      <c r="B94" s="45"/>
      <c r="C94" s="45"/>
    </row>
    <row r="95" spans="1:12" ht="14.25" customHeight="1">
      <c r="A95" s="2"/>
      <c r="C95" s="45"/>
    </row>
    <row r="96" spans="1:12" ht="14.25" customHeight="1">
      <c r="A96" s="2"/>
      <c r="B96" s="18" t="s">
        <v>105</v>
      </c>
      <c r="C96" s="35">
        <f>MEDIAN(C4:C92)</f>
        <v>30.72</v>
      </c>
    </row>
    <row r="97" spans="1:6" ht="14.25" customHeight="1">
      <c r="A97" s="11"/>
      <c r="B97" s="18" t="s">
        <v>104</v>
      </c>
      <c r="C97" s="35">
        <f>AVERAGE(C4:C92)</f>
        <v>34.69</v>
      </c>
    </row>
    <row r="99" spans="1:6" ht="14.25" customHeight="1">
      <c r="A99" s="406" t="s">
        <v>267</v>
      </c>
      <c r="B99" s="406"/>
      <c r="C99" s="406"/>
      <c r="D99" s="406"/>
      <c r="E99" s="406"/>
      <c r="F99" s="406"/>
    </row>
  </sheetData>
  <sortState xmlns:xlrd2="http://schemas.microsoft.com/office/spreadsheetml/2017/richdata2" ref="J1:L93">
    <sortCondition descending="1" ref="L1:L93"/>
    <sortCondition descending="1" ref="K1:K93"/>
    <sortCondition ref="J1:J93"/>
  </sortState>
  <mergeCells count="1">
    <mergeCell ref="A99:F99"/>
  </mergeCells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7">
    <pageSetUpPr fitToPage="1"/>
  </sheetPr>
  <dimension ref="A1:T101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2.75"/>
  <cols>
    <col min="1" max="1" width="5.140625" customWidth="1"/>
    <col min="2" max="2" width="22.28515625" customWidth="1"/>
    <col min="3" max="3" width="8.5703125" style="51" customWidth="1"/>
    <col min="4" max="4" width="18.7109375" customWidth="1"/>
    <col min="5" max="5" width="21.42578125" customWidth="1"/>
    <col min="6" max="6" width="20.5703125" customWidth="1"/>
    <col min="7" max="7" width="15.85546875" bestFit="1" customWidth="1"/>
    <col min="8" max="8" width="15.28515625" hidden="1" customWidth="1"/>
    <col min="9" max="9" width="7.85546875" hidden="1" customWidth="1"/>
    <col min="10" max="10" width="13.42578125" hidden="1" customWidth="1"/>
    <col min="11" max="11" width="8.7109375" hidden="1" customWidth="1"/>
    <col min="12" max="12" width="4.5703125" hidden="1" customWidth="1"/>
    <col min="13" max="13" width="18.42578125" hidden="1" customWidth="1"/>
    <col min="14" max="14" width="7.85546875" hidden="1" customWidth="1"/>
    <col min="15" max="15" width="13.42578125" hidden="1" customWidth="1"/>
    <col min="16" max="16" width="8.7109375" hidden="1" customWidth="1"/>
    <col min="17" max="17" width="16.140625" customWidth="1"/>
    <col min="18" max="18" width="15.42578125" customWidth="1"/>
    <col min="19" max="19" width="12.85546875" bestFit="1" customWidth="1"/>
    <col min="20" max="20" width="9.42578125" bestFit="1" customWidth="1"/>
    <col min="24" max="24" width="10" bestFit="1" customWidth="1"/>
  </cols>
  <sheetData>
    <row r="1" spans="1:20" ht="15">
      <c r="B1" s="9" t="s">
        <v>574</v>
      </c>
      <c r="H1" s="9" t="s">
        <v>575</v>
      </c>
    </row>
    <row r="2" spans="1:20" ht="18">
      <c r="A2" s="77"/>
      <c r="C2" s="292"/>
      <c r="D2" s="77"/>
      <c r="E2" s="77"/>
      <c r="F2" s="77"/>
      <c r="G2" s="77"/>
      <c r="H2" s="102"/>
    </row>
    <row r="3" spans="1:20" ht="18">
      <c r="A3" s="77"/>
      <c r="C3" s="225" t="s">
        <v>102</v>
      </c>
      <c r="D3" s="77"/>
      <c r="E3" s="77"/>
      <c r="F3" s="77"/>
      <c r="G3" s="77"/>
      <c r="H3" s="102"/>
    </row>
    <row r="4" spans="1:20" s="77" customFormat="1" ht="18">
      <c r="A4" s="2">
        <v>1</v>
      </c>
      <c r="B4" s="2" t="s">
        <v>123</v>
      </c>
      <c r="C4" s="51">
        <v>18.59</v>
      </c>
      <c r="G4" s="2"/>
      <c r="H4" s="3"/>
      <c r="I4" s="50" t="s">
        <v>576</v>
      </c>
      <c r="J4" s="50" t="s">
        <v>51</v>
      </c>
      <c r="K4" s="50" t="s">
        <v>98</v>
      </c>
      <c r="L4" s="1"/>
      <c r="M4" s="1"/>
      <c r="N4" s="50" t="s">
        <v>576</v>
      </c>
      <c r="O4" s="50" t="s">
        <v>51</v>
      </c>
      <c r="P4" s="50" t="s">
        <v>98</v>
      </c>
    </row>
    <row r="5" spans="1:20">
      <c r="A5" s="2">
        <v>2</v>
      </c>
      <c r="B5" s="2" t="s">
        <v>320</v>
      </c>
      <c r="C5" s="51">
        <v>15.82</v>
      </c>
      <c r="H5" s="2" t="s">
        <v>118</v>
      </c>
      <c r="I5" s="14" cm="1">
        <f t="array" ref="I5:I51">'Exp &amp; Subsidy by Library '!B5:B51</f>
        <v>58317</v>
      </c>
      <c r="J5" s="115">
        <v>304665</v>
      </c>
      <c r="K5" s="11">
        <f t="shared" ref="K5:K51" si="0">J5/I5</f>
        <v>5.2242913730130152</v>
      </c>
      <c r="L5" s="11"/>
      <c r="M5" s="63" t="s">
        <v>319</v>
      </c>
      <c r="N5" s="14" t="e" cm="1">
        <f t="array" ref="N5">#REF!</f>
        <v>#REF!</v>
      </c>
      <c r="O5" s="115">
        <v>303989.81</v>
      </c>
      <c r="P5" s="109" t="e">
        <f>O5/N5</f>
        <v>#REF!</v>
      </c>
      <c r="S5" s="45"/>
      <c r="T5" s="45"/>
    </row>
    <row r="6" spans="1:20">
      <c r="A6" s="2">
        <v>3</v>
      </c>
      <c r="B6" s="2" t="s">
        <v>261</v>
      </c>
      <c r="C6" s="51">
        <v>14.31</v>
      </c>
      <c r="H6" s="2" t="s">
        <v>278</v>
      </c>
      <c r="I6" s="14">
        <v>29646</v>
      </c>
      <c r="J6" s="115">
        <v>125541.75999999999</v>
      </c>
      <c r="K6" s="11">
        <f t="shared" si="0"/>
        <v>4.2346947311610332</v>
      </c>
      <c r="L6" s="11"/>
      <c r="M6" s="63" t="s">
        <v>206</v>
      </c>
      <c r="N6" s="14"/>
      <c r="O6" s="115">
        <v>417763.85</v>
      </c>
      <c r="P6" s="109" t="e">
        <f t="shared" ref="P6:P47" si="1">O6/N6</f>
        <v>#DIV/0!</v>
      </c>
      <c r="S6" s="45"/>
      <c r="T6" s="45"/>
    </row>
    <row r="7" spans="1:20">
      <c r="A7" s="2">
        <v>4</v>
      </c>
      <c r="B7" s="2" t="s">
        <v>210</v>
      </c>
      <c r="C7" s="51">
        <v>12.36</v>
      </c>
      <c r="H7" s="2" t="s">
        <v>123</v>
      </c>
      <c r="I7" s="14">
        <v>2219</v>
      </c>
      <c r="J7" s="115">
        <v>19064.740000000002</v>
      </c>
      <c r="K7" s="11">
        <f t="shared" si="0"/>
        <v>8.5915908066696716</v>
      </c>
      <c r="L7" s="11"/>
      <c r="M7" s="63" t="s">
        <v>207</v>
      </c>
      <c r="N7" s="14"/>
      <c r="O7" s="115">
        <v>551784.24</v>
      </c>
      <c r="P7" s="109" t="e">
        <f t="shared" si="1"/>
        <v>#DIV/0!</v>
      </c>
      <c r="S7" s="45"/>
      <c r="T7" s="45"/>
    </row>
    <row r="8" spans="1:20">
      <c r="A8" s="2">
        <v>5</v>
      </c>
      <c r="B8" s="2" t="s">
        <v>256</v>
      </c>
      <c r="C8" s="51">
        <v>9.19</v>
      </c>
      <c r="H8" s="2" t="s">
        <v>304</v>
      </c>
      <c r="I8" s="14">
        <v>44939</v>
      </c>
      <c r="J8" s="115">
        <v>311874.86</v>
      </c>
      <c r="K8" s="11">
        <f t="shared" si="0"/>
        <v>6.9399599457041763</v>
      </c>
      <c r="L8" s="11"/>
      <c r="M8" s="63" t="s">
        <v>208</v>
      </c>
      <c r="N8" s="14"/>
      <c r="O8" s="115">
        <v>151254.14000000001</v>
      </c>
      <c r="P8" s="109" t="e">
        <f t="shared" si="1"/>
        <v>#DIV/0!</v>
      </c>
      <c r="S8" s="45"/>
      <c r="T8" s="45"/>
    </row>
    <row r="9" spans="1:20">
      <c r="A9" s="2">
        <v>6</v>
      </c>
      <c r="B9" s="2" t="s">
        <v>190</v>
      </c>
      <c r="C9" s="51">
        <v>8.67</v>
      </c>
      <c r="H9" s="2" t="s">
        <v>126</v>
      </c>
      <c r="I9" s="14">
        <v>185880</v>
      </c>
      <c r="J9" s="115">
        <v>569063.61</v>
      </c>
      <c r="K9" s="11">
        <f t="shared" si="0"/>
        <v>3.0614569076823757</v>
      </c>
      <c r="L9" s="11"/>
      <c r="M9" s="63" t="s">
        <v>210</v>
      </c>
      <c r="N9" s="14"/>
      <c r="O9" s="115">
        <v>257645.36</v>
      </c>
      <c r="P9" s="109" t="e">
        <f t="shared" si="1"/>
        <v>#DIV/0!</v>
      </c>
      <c r="S9" s="45"/>
      <c r="T9" s="45"/>
    </row>
    <row r="10" spans="1:20">
      <c r="A10" s="2">
        <v>7</v>
      </c>
      <c r="B10" s="2" t="s">
        <v>193</v>
      </c>
      <c r="C10" s="51">
        <v>8.5299999999999994</v>
      </c>
      <c r="H10" s="2" t="s">
        <v>127</v>
      </c>
      <c r="I10" s="14">
        <v>36593</v>
      </c>
      <c r="J10" s="115">
        <v>107884.87</v>
      </c>
      <c r="K10" s="11">
        <f t="shared" si="0"/>
        <v>2.9482379143552042</v>
      </c>
      <c r="L10" s="11"/>
      <c r="M10" s="63" t="s">
        <v>211</v>
      </c>
      <c r="N10" s="14"/>
      <c r="O10" s="115">
        <v>24912.69</v>
      </c>
      <c r="P10" s="109" t="e">
        <f t="shared" si="1"/>
        <v>#DIV/0!</v>
      </c>
      <c r="S10" s="45"/>
      <c r="T10" s="45"/>
    </row>
    <row r="11" spans="1:20">
      <c r="A11" s="2">
        <v>8</v>
      </c>
      <c r="B11" s="2" t="s">
        <v>223</v>
      </c>
      <c r="C11" s="51">
        <v>8.35</v>
      </c>
      <c r="H11" s="2" t="s">
        <v>132</v>
      </c>
      <c r="I11" s="14">
        <v>19721</v>
      </c>
      <c r="J11" s="115">
        <v>41741.4</v>
      </c>
      <c r="K11" s="11">
        <f t="shared" si="0"/>
        <v>2.1165965214745701</v>
      </c>
      <c r="L11" s="11"/>
      <c r="M11" s="63" t="s">
        <v>213</v>
      </c>
      <c r="N11" s="14"/>
      <c r="O11" s="199">
        <v>74804.55</v>
      </c>
      <c r="P11" s="109" t="e">
        <f t="shared" si="1"/>
        <v>#DIV/0!</v>
      </c>
      <c r="S11" s="45"/>
      <c r="T11" s="45"/>
    </row>
    <row r="12" spans="1:20">
      <c r="A12" s="2">
        <v>9</v>
      </c>
      <c r="B12" s="2" t="s">
        <v>185</v>
      </c>
      <c r="C12" s="51">
        <v>7.76</v>
      </c>
      <c r="H12" s="2" t="s">
        <v>305</v>
      </c>
      <c r="I12" s="14">
        <v>438843</v>
      </c>
      <c r="J12" s="115">
        <v>54643.19</v>
      </c>
      <c r="K12" s="11">
        <f t="shared" si="0"/>
        <v>0.12451648995198739</v>
      </c>
      <c r="L12" s="11"/>
      <c r="M12" s="63" t="s">
        <v>214</v>
      </c>
      <c r="N12" s="14"/>
      <c r="O12" s="115">
        <v>109963.4</v>
      </c>
      <c r="P12" s="109" t="e">
        <f t="shared" si="1"/>
        <v>#DIV/0!</v>
      </c>
      <c r="S12" s="45"/>
      <c r="T12" s="45"/>
    </row>
    <row r="13" spans="1:20">
      <c r="A13" s="2">
        <v>10</v>
      </c>
      <c r="B13" s="2" t="s">
        <v>304</v>
      </c>
      <c r="C13" s="51">
        <v>7.7</v>
      </c>
      <c r="H13" s="2" t="s">
        <v>306</v>
      </c>
      <c r="I13" s="14">
        <v>78891</v>
      </c>
      <c r="J13" s="115">
        <v>955292</v>
      </c>
      <c r="K13" s="11">
        <f t="shared" si="0"/>
        <v>12.10901116730679</v>
      </c>
      <c r="L13" s="11"/>
      <c r="M13" s="63" t="s">
        <v>218</v>
      </c>
      <c r="N13" s="14"/>
      <c r="O13" s="115">
        <v>1618775.63</v>
      </c>
      <c r="P13" s="109" t="e">
        <f t="shared" si="1"/>
        <v>#DIV/0!</v>
      </c>
      <c r="S13" s="45"/>
      <c r="T13" s="45"/>
    </row>
    <row r="14" spans="1:20">
      <c r="A14" s="2">
        <v>11</v>
      </c>
      <c r="B14" s="2" t="s">
        <v>327</v>
      </c>
      <c r="C14" s="51">
        <v>7.48</v>
      </c>
      <c r="H14" s="2" t="s">
        <v>307</v>
      </c>
      <c r="I14" s="14">
        <v>2349</v>
      </c>
      <c r="J14" s="115">
        <v>295348.46000000002</v>
      </c>
      <c r="K14" s="11">
        <f t="shared" si="0"/>
        <v>125.73369944657301</v>
      </c>
      <c r="L14" s="11"/>
      <c r="M14" s="63" t="s">
        <v>219</v>
      </c>
      <c r="N14" s="14"/>
      <c r="O14" s="115">
        <v>438985</v>
      </c>
      <c r="P14" s="109" t="e">
        <f t="shared" si="1"/>
        <v>#DIV/0!</v>
      </c>
      <c r="S14" s="45"/>
      <c r="T14" s="45"/>
    </row>
    <row r="15" spans="1:20">
      <c r="A15" s="2">
        <v>12</v>
      </c>
      <c r="B15" s="2" t="s">
        <v>168</v>
      </c>
      <c r="C15" s="51">
        <v>7.33</v>
      </c>
      <c r="H15" s="2" t="s">
        <v>139</v>
      </c>
      <c r="I15" s="14">
        <v>17541</v>
      </c>
      <c r="J15" s="115">
        <v>39252.6</v>
      </c>
      <c r="K15" s="11">
        <f t="shared" si="0"/>
        <v>2.237762955361724</v>
      </c>
      <c r="L15" s="11"/>
      <c r="M15" s="63" t="s">
        <v>320</v>
      </c>
      <c r="N15" s="14"/>
      <c r="O15" s="199">
        <v>119763.66</v>
      </c>
      <c r="P15" s="109" t="e">
        <f t="shared" si="1"/>
        <v>#DIV/0!</v>
      </c>
      <c r="S15" s="45"/>
      <c r="T15" s="45"/>
    </row>
    <row r="16" spans="1:20">
      <c r="A16" s="2">
        <v>13</v>
      </c>
      <c r="B16" s="2" t="s">
        <v>280</v>
      </c>
      <c r="C16" s="51">
        <v>7.29</v>
      </c>
      <c r="H16" s="2" t="s">
        <v>308</v>
      </c>
      <c r="I16" s="14">
        <v>43346</v>
      </c>
      <c r="J16" s="115">
        <v>49723.82</v>
      </c>
      <c r="K16" s="11">
        <f t="shared" si="0"/>
        <v>1.1471374521293776</v>
      </c>
      <c r="L16" s="11"/>
      <c r="M16" s="63" t="s">
        <v>220</v>
      </c>
      <c r="N16" s="14"/>
      <c r="O16" s="115">
        <v>1243374.3799999999</v>
      </c>
      <c r="P16" s="109" t="e">
        <f t="shared" si="1"/>
        <v>#DIV/0!</v>
      </c>
      <c r="S16" s="45"/>
      <c r="T16" s="45"/>
    </row>
    <row r="17" spans="1:20">
      <c r="A17" s="2">
        <v>14</v>
      </c>
      <c r="B17" s="2" t="s">
        <v>160</v>
      </c>
      <c r="C17" s="51">
        <v>7.28</v>
      </c>
      <c r="H17" s="2" t="s">
        <v>144</v>
      </c>
      <c r="I17" s="14">
        <v>141133</v>
      </c>
      <c r="J17" s="115">
        <v>215414.27</v>
      </c>
      <c r="K17" s="11">
        <f t="shared" si="0"/>
        <v>1.5263210588593736</v>
      </c>
      <c r="L17" s="11"/>
      <c r="M17" s="63" t="s">
        <v>283</v>
      </c>
      <c r="N17" s="14"/>
      <c r="O17" s="115">
        <v>26435.52</v>
      </c>
      <c r="P17" s="109" t="e">
        <f t="shared" si="1"/>
        <v>#DIV/0!</v>
      </c>
      <c r="S17" s="45"/>
      <c r="T17" s="45"/>
    </row>
    <row r="18" spans="1:20">
      <c r="A18" s="2">
        <v>15</v>
      </c>
      <c r="B18" s="2" t="s">
        <v>151</v>
      </c>
      <c r="C18" s="51">
        <v>7.26</v>
      </c>
      <c r="H18" s="2" t="s">
        <v>148</v>
      </c>
      <c r="I18" s="14">
        <v>188303</v>
      </c>
      <c r="J18" s="115">
        <v>336122</v>
      </c>
      <c r="K18" s="11">
        <f t="shared" si="0"/>
        <v>1.7850060806253751</v>
      </c>
      <c r="L18" s="11"/>
      <c r="M18" s="63" t="s">
        <v>223</v>
      </c>
      <c r="N18" s="14"/>
      <c r="O18" s="115">
        <v>68295.820000000007</v>
      </c>
      <c r="P18" s="109" t="e">
        <f t="shared" si="1"/>
        <v>#DIV/0!</v>
      </c>
      <c r="S18" s="45"/>
      <c r="T18" s="45"/>
    </row>
    <row r="19" spans="1:20">
      <c r="A19" s="2">
        <v>16</v>
      </c>
      <c r="B19" s="2" t="s">
        <v>326</v>
      </c>
      <c r="C19" s="51">
        <v>7.15</v>
      </c>
      <c r="H19" s="2" t="s">
        <v>309</v>
      </c>
      <c r="I19" s="14">
        <v>92255</v>
      </c>
      <c r="J19" s="115">
        <v>616592.64000000001</v>
      </c>
      <c r="K19" s="11">
        <f t="shared" si="0"/>
        <v>6.6835688038588694</v>
      </c>
      <c r="L19" s="11"/>
      <c r="M19" s="63" t="s">
        <v>224</v>
      </c>
      <c r="N19" s="14"/>
      <c r="O19" s="115">
        <v>989538.71</v>
      </c>
      <c r="P19" s="109" t="e">
        <f t="shared" si="1"/>
        <v>#DIV/0!</v>
      </c>
      <c r="S19" s="45"/>
      <c r="T19" s="45"/>
    </row>
    <row r="20" spans="1:20">
      <c r="A20" s="2">
        <v>17</v>
      </c>
      <c r="B20" s="2" t="s">
        <v>139</v>
      </c>
      <c r="C20" s="51">
        <v>7</v>
      </c>
      <c r="H20" s="2" t="s">
        <v>151</v>
      </c>
      <c r="I20" s="14">
        <v>385242</v>
      </c>
      <c r="J20" s="115">
        <v>607590.63</v>
      </c>
      <c r="K20" s="11">
        <f t="shared" si="0"/>
        <v>1.5771661189589921</v>
      </c>
      <c r="L20" s="11"/>
      <c r="M20" s="63" t="s">
        <v>225</v>
      </c>
      <c r="N20" s="14"/>
      <c r="O20" s="115">
        <v>716198.32</v>
      </c>
      <c r="P20" s="109" t="e">
        <f t="shared" si="1"/>
        <v>#DIV/0!</v>
      </c>
      <c r="S20" s="45"/>
      <c r="T20" s="45"/>
    </row>
    <row r="21" spans="1:20">
      <c r="A21" s="2">
        <v>18</v>
      </c>
      <c r="B21" s="2" t="s">
        <v>314</v>
      </c>
      <c r="C21" s="51">
        <v>6.9</v>
      </c>
      <c r="H21" s="2" t="s">
        <v>310</v>
      </c>
      <c r="I21" s="14">
        <v>354803</v>
      </c>
      <c r="J21" s="115">
        <v>1430184</v>
      </c>
      <c r="K21" s="11">
        <f t="shared" si="0"/>
        <v>4.0309242030084302</v>
      </c>
      <c r="L21" s="11"/>
      <c r="M21" s="63" t="s">
        <v>226</v>
      </c>
      <c r="N21" s="14"/>
      <c r="O21" s="115">
        <v>351337.98</v>
      </c>
      <c r="P21" s="109" t="e">
        <f t="shared" si="1"/>
        <v>#DIV/0!</v>
      </c>
      <c r="S21" s="45"/>
      <c r="T21" s="45"/>
    </row>
    <row r="22" spans="1:20">
      <c r="A22" s="2">
        <v>19</v>
      </c>
      <c r="B22" s="2" t="s">
        <v>254</v>
      </c>
      <c r="C22" s="51">
        <v>6.72</v>
      </c>
      <c r="H22" s="2" t="s">
        <v>154</v>
      </c>
      <c r="I22" s="14">
        <v>100353</v>
      </c>
      <c r="J22" s="115">
        <v>1230287.2</v>
      </c>
      <c r="K22" s="11">
        <f t="shared" si="0"/>
        <v>12.259595627435154</v>
      </c>
      <c r="L22" s="11"/>
      <c r="M22" s="63" t="s">
        <v>321</v>
      </c>
      <c r="N22" s="14"/>
      <c r="O22" s="115">
        <v>102952</v>
      </c>
      <c r="P22" s="109" t="e">
        <f t="shared" si="1"/>
        <v>#DIV/0!</v>
      </c>
      <c r="S22" s="45"/>
      <c r="T22" s="45"/>
    </row>
    <row r="23" spans="1:20">
      <c r="A23" s="2">
        <v>20</v>
      </c>
      <c r="B23" s="2" t="s">
        <v>244</v>
      </c>
      <c r="C23" s="51">
        <v>6.69</v>
      </c>
      <c r="H23" s="2" t="s">
        <v>311</v>
      </c>
      <c r="I23" s="14">
        <v>88249</v>
      </c>
      <c r="J23" s="115">
        <v>425059.41</v>
      </c>
      <c r="K23" s="11">
        <f t="shared" si="0"/>
        <v>4.8165918027399739</v>
      </c>
      <c r="L23" s="11"/>
      <c r="M23" s="63" t="s">
        <v>229</v>
      </c>
      <c r="N23" s="14"/>
      <c r="O23" s="115">
        <v>655000.85</v>
      </c>
      <c r="P23" s="109" t="e">
        <f t="shared" si="1"/>
        <v>#DIV/0!</v>
      </c>
      <c r="S23" s="45"/>
      <c r="T23" s="45"/>
    </row>
    <row r="24" spans="1:20">
      <c r="A24" s="2">
        <v>21</v>
      </c>
      <c r="B24" s="2" t="s">
        <v>318</v>
      </c>
      <c r="C24" s="51">
        <v>6.68</v>
      </c>
      <c r="H24" s="2" t="s">
        <v>312</v>
      </c>
      <c r="I24" s="14">
        <v>69352</v>
      </c>
      <c r="J24" s="115">
        <v>530243.64</v>
      </c>
      <c r="K24" s="11">
        <f t="shared" si="0"/>
        <v>7.6456863536740114</v>
      </c>
      <c r="L24" s="11"/>
      <c r="M24" s="63" t="s">
        <v>322</v>
      </c>
      <c r="N24" s="14"/>
      <c r="O24" s="115">
        <v>799953.3</v>
      </c>
      <c r="P24" s="109" t="e">
        <f t="shared" si="1"/>
        <v>#DIV/0!</v>
      </c>
      <c r="S24" s="45"/>
      <c r="T24" s="45"/>
    </row>
    <row r="25" spans="1:20">
      <c r="A25" s="2">
        <v>22</v>
      </c>
      <c r="B25" s="2" t="s">
        <v>199</v>
      </c>
      <c r="C25" s="51">
        <v>6.52</v>
      </c>
      <c r="H25" s="2" t="s">
        <v>313</v>
      </c>
      <c r="I25" s="14">
        <v>69315</v>
      </c>
      <c r="J25" s="115">
        <v>224609.65</v>
      </c>
      <c r="K25" s="11">
        <f t="shared" si="0"/>
        <v>3.2404191012046453</v>
      </c>
      <c r="L25" s="11"/>
      <c r="M25" s="63" t="s">
        <v>323</v>
      </c>
      <c r="N25" s="14"/>
      <c r="O25" s="115">
        <v>113553.77</v>
      </c>
      <c r="P25" s="109" t="e">
        <f t="shared" si="1"/>
        <v>#DIV/0!</v>
      </c>
      <c r="S25" s="45"/>
      <c r="T25" s="45"/>
    </row>
    <row r="26" spans="1:20">
      <c r="A26" s="2">
        <v>23</v>
      </c>
      <c r="B26" s="2" t="s">
        <v>260</v>
      </c>
      <c r="C26" s="51">
        <v>6.32</v>
      </c>
      <c r="H26" s="2" t="s">
        <v>314</v>
      </c>
      <c r="I26" s="14">
        <v>4015</v>
      </c>
      <c r="J26" s="115">
        <v>445827.04</v>
      </c>
      <c r="K26" s="11">
        <f t="shared" si="0"/>
        <v>111.04035865504358</v>
      </c>
      <c r="L26" s="11"/>
      <c r="M26" s="63" t="s">
        <v>324</v>
      </c>
      <c r="N26" s="14"/>
      <c r="O26" s="115">
        <v>450571.07</v>
      </c>
      <c r="P26" s="109" t="e">
        <f t="shared" si="1"/>
        <v>#DIV/0!</v>
      </c>
      <c r="S26" s="45"/>
      <c r="T26" s="45"/>
    </row>
    <row r="27" spans="1:20">
      <c r="A27" s="2">
        <v>24</v>
      </c>
      <c r="B27" s="2" t="s">
        <v>232</v>
      </c>
      <c r="C27" s="51">
        <v>6.2</v>
      </c>
      <c r="H27" s="2" t="s">
        <v>158</v>
      </c>
      <c r="I27" s="14">
        <v>81248</v>
      </c>
      <c r="J27" s="115">
        <v>41614</v>
      </c>
      <c r="K27" s="11">
        <f t="shared" si="0"/>
        <v>0.51218491532099253</v>
      </c>
      <c r="L27" s="11"/>
      <c r="M27" s="63" t="s">
        <v>284</v>
      </c>
      <c r="N27" s="14"/>
      <c r="O27" s="115">
        <v>549783.78</v>
      </c>
      <c r="P27" s="109" t="e">
        <f t="shared" si="1"/>
        <v>#DIV/0!</v>
      </c>
      <c r="S27" s="45"/>
      <c r="T27" s="45"/>
    </row>
    <row r="28" spans="1:20">
      <c r="A28" s="2">
        <v>25</v>
      </c>
      <c r="B28" s="2" t="s">
        <v>282</v>
      </c>
      <c r="C28" s="51">
        <v>6.18</v>
      </c>
      <c r="H28" s="2" t="s">
        <v>160</v>
      </c>
      <c r="I28" s="14">
        <v>252399</v>
      </c>
      <c r="J28" s="115">
        <v>662797.03</v>
      </c>
      <c r="K28" s="11">
        <f t="shared" si="0"/>
        <v>2.6259891283245973</v>
      </c>
      <c r="L28" s="11"/>
      <c r="M28" s="63" t="s">
        <v>232</v>
      </c>
      <c r="N28" s="14"/>
      <c r="O28" s="115">
        <v>486236.93</v>
      </c>
      <c r="P28" s="109" t="e">
        <f t="shared" si="1"/>
        <v>#DIV/0!</v>
      </c>
      <c r="S28" s="45"/>
      <c r="T28" s="45"/>
    </row>
    <row r="29" spans="1:20">
      <c r="A29" s="2">
        <v>26</v>
      </c>
      <c r="B29" s="2" t="s">
        <v>325</v>
      </c>
      <c r="C29" s="51">
        <v>6.12</v>
      </c>
      <c r="H29" s="2" t="s">
        <v>165</v>
      </c>
      <c r="I29" s="14">
        <v>8411</v>
      </c>
      <c r="J29" s="115">
        <v>716762.42</v>
      </c>
      <c r="K29" s="11">
        <f t="shared" si="0"/>
        <v>85.217265485673522</v>
      </c>
      <c r="L29" s="11"/>
      <c r="M29" s="63" t="s">
        <v>233</v>
      </c>
      <c r="N29" s="14"/>
      <c r="O29" s="115">
        <v>517685.91</v>
      </c>
      <c r="P29" s="109" t="e">
        <f t="shared" si="1"/>
        <v>#DIV/0!</v>
      </c>
      <c r="S29" s="45"/>
      <c r="T29" s="45"/>
    </row>
    <row r="30" spans="1:20">
      <c r="A30" s="2">
        <v>27</v>
      </c>
      <c r="B30" s="2" t="s">
        <v>312</v>
      </c>
      <c r="C30" s="51">
        <v>6.02</v>
      </c>
      <c r="H30" s="2" t="s">
        <v>577</v>
      </c>
      <c r="I30" s="14">
        <v>41142</v>
      </c>
      <c r="J30" s="199">
        <v>54042.73</v>
      </c>
      <c r="K30" s="11">
        <f t="shared" si="0"/>
        <v>1.3135659423460211</v>
      </c>
      <c r="L30" s="11"/>
      <c r="M30" s="63" t="s">
        <v>234</v>
      </c>
      <c r="N30" s="14"/>
      <c r="O30" s="115">
        <v>110513.82</v>
      </c>
      <c r="P30" s="109" t="e">
        <f t="shared" si="1"/>
        <v>#DIV/0!</v>
      </c>
      <c r="S30" s="45"/>
      <c r="T30" s="45"/>
    </row>
    <row r="31" spans="1:20">
      <c r="A31" s="2">
        <v>28</v>
      </c>
      <c r="B31" s="2" t="s">
        <v>208</v>
      </c>
      <c r="C31" s="51">
        <v>6.01</v>
      </c>
      <c r="H31" s="2" t="s">
        <v>169</v>
      </c>
      <c r="I31" s="14">
        <v>212210</v>
      </c>
      <c r="J31" s="115">
        <v>215571.21</v>
      </c>
      <c r="K31" s="11">
        <f t="shared" si="0"/>
        <v>1.0158390745016728</v>
      </c>
      <c r="L31" s="11"/>
      <c r="M31" s="63" t="s">
        <v>236</v>
      </c>
      <c r="N31" s="14"/>
      <c r="O31" s="115">
        <v>76178.47</v>
      </c>
      <c r="P31" s="109" t="e">
        <f t="shared" si="1"/>
        <v>#DIV/0!</v>
      </c>
      <c r="S31" s="45"/>
      <c r="T31" s="45"/>
    </row>
    <row r="32" spans="1:20">
      <c r="A32" s="2">
        <v>29</v>
      </c>
      <c r="B32" s="2" t="s">
        <v>283</v>
      </c>
      <c r="C32" s="51">
        <v>5.98</v>
      </c>
      <c r="H32" s="2" t="s">
        <v>170</v>
      </c>
      <c r="I32" s="14">
        <v>161593</v>
      </c>
      <c r="J32" s="115">
        <v>712970.93</v>
      </c>
      <c r="K32" s="11">
        <f t="shared" si="0"/>
        <v>4.4121399441807503</v>
      </c>
      <c r="L32" s="11"/>
      <c r="M32" s="63" t="s">
        <v>238</v>
      </c>
      <c r="N32" s="14"/>
      <c r="O32" s="115">
        <v>162127.38</v>
      </c>
      <c r="P32" s="109" t="e">
        <f t="shared" si="1"/>
        <v>#DIV/0!</v>
      </c>
      <c r="S32" s="45"/>
      <c r="T32" s="45"/>
    </row>
    <row r="33" spans="1:20">
      <c r="A33" s="2">
        <v>30</v>
      </c>
      <c r="B33" s="2" t="s">
        <v>158</v>
      </c>
      <c r="C33" s="51">
        <v>5.97</v>
      </c>
      <c r="H33" s="2" t="s">
        <v>173</v>
      </c>
      <c r="I33" s="14">
        <v>8978</v>
      </c>
      <c r="J33" s="115">
        <v>617111.24</v>
      </c>
      <c r="K33" s="11">
        <f t="shared" si="0"/>
        <v>68.735936734239246</v>
      </c>
      <c r="L33" s="11"/>
      <c r="M33" s="63" t="s">
        <v>239</v>
      </c>
      <c r="N33" s="14"/>
      <c r="O33" s="115">
        <v>1534303.17</v>
      </c>
      <c r="P33" s="109" t="e">
        <f t="shared" si="1"/>
        <v>#DIV/0!</v>
      </c>
      <c r="S33" s="45"/>
      <c r="T33" s="45"/>
    </row>
    <row r="34" spans="1:20">
      <c r="A34" s="2">
        <v>31</v>
      </c>
      <c r="B34" s="2" t="s">
        <v>305</v>
      </c>
      <c r="C34" s="51">
        <v>5.94</v>
      </c>
      <c r="H34" s="2" t="s">
        <v>280</v>
      </c>
      <c r="I34" s="14">
        <v>33112</v>
      </c>
      <c r="J34" s="115">
        <v>93137.19</v>
      </c>
      <c r="K34" s="11">
        <f t="shared" si="0"/>
        <v>2.8127926431505195</v>
      </c>
      <c r="L34" s="11"/>
      <c r="M34" s="63" t="s">
        <v>325</v>
      </c>
      <c r="N34" s="14"/>
      <c r="O34" s="115">
        <v>1343278.88</v>
      </c>
      <c r="P34" s="109" t="e">
        <f t="shared" si="1"/>
        <v>#DIV/0!</v>
      </c>
      <c r="S34" s="45"/>
      <c r="T34" s="45"/>
    </row>
    <row r="35" spans="1:20">
      <c r="A35" s="2">
        <v>32</v>
      </c>
      <c r="B35" s="2" t="s">
        <v>218</v>
      </c>
      <c r="C35" s="51">
        <v>5.81</v>
      </c>
      <c r="H35" s="2" t="s">
        <v>315</v>
      </c>
      <c r="I35" s="14">
        <v>3608</v>
      </c>
      <c r="J35" s="115">
        <v>161015</v>
      </c>
      <c r="K35" s="11">
        <f t="shared" si="0"/>
        <v>44.62721729490022</v>
      </c>
      <c r="L35" s="11"/>
      <c r="M35" s="63" t="s">
        <v>244</v>
      </c>
      <c r="N35" s="14"/>
      <c r="O35" s="115">
        <v>19462</v>
      </c>
      <c r="P35" s="109" t="e">
        <f t="shared" si="1"/>
        <v>#DIV/0!</v>
      </c>
      <c r="S35" s="45"/>
      <c r="T35" s="45"/>
    </row>
    <row r="36" spans="1:20">
      <c r="A36" s="2">
        <v>33</v>
      </c>
      <c r="B36" s="2" t="s">
        <v>247</v>
      </c>
      <c r="C36" s="51">
        <v>5.78</v>
      </c>
      <c r="H36" s="2" t="s">
        <v>316</v>
      </c>
      <c r="I36" s="14">
        <v>13392</v>
      </c>
      <c r="J36" s="115">
        <v>17486.150000000001</v>
      </c>
      <c r="K36" s="11">
        <f t="shared" si="0"/>
        <v>1.3057160991636798</v>
      </c>
      <c r="L36" s="11"/>
      <c r="M36" s="63" t="s">
        <v>326</v>
      </c>
      <c r="N36" s="14"/>
      <c r="O36" s="115">
        <v>116847.23</v>
      </c>
      <c r="P36" s="109" t="e">
        <f t="shared" si="1"/>
        <v>#DIV/0!</v>
      </c>
      <c r="S36" s="45"/>
      <c r="T36" s="45"/>
    </row>
    <row r="37" spans="1:20">
      <c r="A37" s="2">
        <v>34</v>
      </c>
      <c r="B37" s="2" t="s">
        <v>196</v>
      </c>
      <c r="C37" s="51">
        <v>5.53</v>
      </c>
      <c r="H37" s="2" t="s">
        <v>179</v>
      </c>
      <c r="I37" s="14">
        <v>68704</v>
      </c>
      <c r="J37" s="115">
        <v>32028.07</v>
      </c>
      <c r="K37" s="11">
        <f t="shared" si="0"/>
        <v>0.46617474965067535</v>
      </c>
      <c r="L37" s="11"/>
      <c r="M37" s="63" t="s">
        <v>247</v>
      </c>
      <c r="N37" s="14"/>
      <c r="O37" s="115">
        <v>46712.480000000003</v>
      </c>
      <c r="P37" s="109" t="e">
        <f t="shared" si="1"/>
        <v>#DIV/0!</v>
      </c>
      <c r="S37" s="45"/>
      <c r="T37" s="45"/>
    </row>
    <row r="38" spans="1:20">
      <c r="A38" s="2">
        <v>35</v>
      </c>
      <c r="B38" s="2" t="s">
        <v>144</v>
      </c>
      <c r="C38" s="51">
        <v>5.48</v>
      </c>
      <c r="H38" s="2" t="s">
        <v>182</v>
      </c>
      <c r="I38" s="14">
        <v>215612</v>
      </c>
      <c r="J38" s="115">
        <v>357459.63</v>
      </c>
      <c r="K38" s="11">
        <f t="shared" si="0"/>
        <v>1.6578837448750534</v>
      </c>
      <c r="L38" s="11"/>
      <c r="M38" s="2" t="s">
        <v>249</v>
      </c>
      <c r="N38" s="14"/>
      <c r="O38" s="115">
        <v>406959</v>
      </c>
      <c r="P38" s="109" t="e">
        <f t="shared" si="1"/>
        <v>#DIV/0!</v>
      </c>
      <c r="S38" s="45"/>
      <c r="T38" s="45"/>
    </row>
    <row r="39" spans="1:20">
      <c r="A39" s="2">
        <v>36</v>
      </c>
      <c r="B39" s="2" t="s">
        <v>118</v>
      </c>
      <c r="C39" s="51">
        <v>5.42</v>
      </c>
      <c r="H39" s="2" t="s">
        <v>317</v>
      </c>
      <c r="I39" s="14">
        <v>19300</v>
      </c>
      <c r="J39" s="115">
        <v>757794.75</v>
      </c>
      <c r="K39" s="11">
        <f t="shared" si="0"/>
        <v>39.263976683937827</v>
      </c>
      <c r="L39" s="11"/>
      <c r="M39" s="63" t="s">
        <v>254</v>
      </c>
      <c r="N39" s="14"/>
      <c r="O39" s="115">
        <v>411924.94</v>
      </c>
      <c r="P39" s="109" t="e">
        <f t="shared" si="1"/>
        <v>#DIV/0!</v>
      </c>
      <c r="S39" s="45"/>
      <c r="T39" s="45"/>
    </row>
    <row r="40" spans="1:20">
      <c r="A40" s="2">
        <v>37</v>
      </c>
      <c r="B40" s="2" t="s">
        <v>220</v>
      </c>
      <c r="C40" s="51">
        <v>5.41</v>
      </c>
      <c r="H40" s="2" t="s">
        <v>185</v>
      </c>
      <c r="I40" s="14">
        <v>154834</v>
      </c>
      <c r="J40" s="199">
        <v>77423</v>
      </c>
      <c r="K40" s="11">
        <f t="shared" si="0"/>
        <v>0.50003875117868168</v>
      </c>
      <c r="L40" s="11"/>
      <c r="M40" s="63" t="s">
        <v>256</v>
      </c>
      <c r="N40" s="14"/>
      <c r="O40" s="115">
        <v>60448.17</v>
      </c>
      <c r="P40" s="109" t="e">
        <f t="shared" si="1"/>
        <v>#DIV/0!</v>
      </c>
      <c r="S40" s="45"/>
      <c r="T40" s="45"/>
    </row>
    <row r="41" spans="1:20">
      <c r="A41" s="2">
        <v>38</v>
      </c>
      <c r="B41" s="2" t="s">
        <v>239</v>
      </c>
      <c r="C41" s="51">
        <v>5.34</v>
      </c>
      <c r="H41" s="2" t="s">
        <v>186</v>
      </c>
      <c r="I41" s="14">
        <v>190939</v>
      </c>
      <c r="J41" s="115">
        <v>634310.11</v>
      </c>
      <c r="K41" s="11">
        <f t="shared" si="0"/>
        <v>3.3220563111779153</v>
      </c>
      <c r="L41" s="11"/>
      <c r="M41" s="63" t="s">
        <v>327</v>
      </c>
      <c r="N41" s="14"/>
      <c r="O41" s="115">
        <v>569276.42000000004</v>
      </c>
      <c r="P41" s="109" t="e">
        <f t="shared" si="1"/>
        <v>#DIV/0!</v>
      </c>
    </row>
    <row r="42" spans="1:20">
      <c r="A42" s="2">
        <v>39</v>
      </c>
      <c r="B42" s="2" t="s">
        <v>229</v>
      </c>
      <c r="C42" s="51">
        <v>5.26</v>
      </c>
      <c r="H42" s="2" t="s">
        <v>282</v>
      </c>
      <c r="I42" s="14">
        <v>18080</v>
      </c>
      <c r="J42" s="199">
        <v>1390685.42</v>
      </c>
      <c r="K42" s="168">
        <f t="shared" si="0"/>
        <v>76.918441371681411</v>
      </c>
      <c r="L42" s="11"/>
      <c r="M42" s="63" t="s">
        <v>257</v>
      </c>
      <c r="N42" s="14"/>
      <c r="O42" s="115">
        <v>421944.25</v>
      </c>
      <c r="P42" s="109" t="e">
        <f t="shared" si="1"/>
        <v>#DIV/0!</v>
      </c>
    </row>
    <row r="43" spans="1:20">
      <c r="A43" s="2">
        <v>40</v>
      </c>
      <c r="B43" s="2" t="s">
        <v>324</v>
      </c>
      <c r="C43" s="51">
        <v>5.17</v>
      </c>
      <c r="H43" s="2" t="s">
        <v>190</v>
      </c>
      <c r="I43" s="14">
        <v>31718</v>
      </c>
      <c r="J43" s="115">
        <v>127636.41</v>
      </c>
      <c r="K43" s="11">
        <f t="shared" si="0"/>
        <v>4.0241001954726023</v>
      </c>
      <c r="L43" s="11"/>
      <c r="M43" s="63" t="s">
        <v>258</v>
      </c>
      <c r="N43" s="14"/>
      <c r="O43" s="115">
        <v>202263.65</v>
      </c>
      <c r="P43" s="109" t="e">
        <f t="shared" si="1"/>
        <v>#DIV/0!</v>
      </c>
      <c r="S43" s="45"/>
      <c r="T43" s="45"/>
    </row>
    <row r="44" spans="1:20">
      <c r="A44" s="2">
        <v>41</v>
      </c>
      <c r="B44" s="2" t="s">
        <v>249</v>
      </c>
      <c r="C44" s="51">
        <v>5.14</v>
      </c>
      <c r="H44" s="2" t="s">
        <v>192</v>
      </c>
      <c r="I44" s="14">
        <v>23173</v>
      </c>
      <c r="J44" s="115">
        <v>131274.42000000001</v>
      </c>
      <c r="K44" s="11">
        <f t="shared" si="0"/>
        <v>5.6649730289561129</v>
      </c>
      <c r="L44" s="11"/>
      <c r="M44" s="63" t="s">
        <v>285</v>
      </c>
      <c r="N44" s="14"/>
      <c r="O44" s="115">
        <v>130297.05</v>
      </c>
      <c r="P44" s="109" t="e">
        <f t="shared" si="1"/>
        <v>#DIV/0!</v>
      </c>
      <c r="S44" s="45"/>
      <c r="T44" s="45"/>
    </row>
    <row r="45" spans="1:20">
      <c r="A45" s="2">
        <v>42</v>
      </c>
      <c r="B45" s="2" t="s">
        <v>207</v>
      </c>
      <c r="C45" s="51">
        <v>5.09</v>
      </c>
      <c r="H45" s="2" t="s">
        <v>193</v>
      </c>
      <c r="I45" s="14">
        <v>128362</v>
      </c>
      <c r="J45" s="115">
        <v>159785.53</v>
      </c>
      <c r="K45" s="11">
        <f t="shared" si="0"/>
        <v>1.24480399183559</v>
      </c>
      <c r="L45" s="11"/>
      <c r="M45" s="63" t="s">
        <v>260</v>
      </c>
      <c r="N45" s="14"/>
      <c r="O45" s="115">
        <v>1326603.8899999999</v>
      </c>
      <c r="P45" s="109" t="e">
        <f t="shared" si="1"/>
        <v>#DIV/0!</v>
      </c>
      <c r="S45" s="45"/>
      <c r="T45" s="45"/>
    </row>
    <row r="46" spans="1:20">
      <c r="A46" s="2">
        <v>43</v>
      </c>
      <c r="B46" s="2" t="s">
        <v>219</v>
      </c>
      <c r="C46" s="51">
        <v>5.08</v>
      </c>
      <c r="H46" s="2" t="s">
        <v>318</v>
      </c>
      <c r="I46" s="14">
        <v>6113</v>
      </c>
      <c r="J46" s="115">
        <v>784612.72</v>
      </c>
      <c r="K46" s="11">
        <f t="shared" si="0"/>
        <v>128.35150008179289</v>
      </c>
      <c r="L46" s="11"/>
      <c r="M46" s="63" t="s">
        <v>261</v>
      </c>
      <c r="N46" s="14"/>
      <c r="O46" s="115">
        <v>726431.54</v>
      </c>
      <c r="P46" s="109" t="e">
        <f t="shared" si="1"/>
        <v>#DIV/0!</v>
      </c>
      <c r="S46" s="45"/>
      <c r="T46" s="45"/>
    </row>
    <row r="47" spans="1:20">
      <c r="A47" s="2">
        <v>44</v>
      </c>
      <c r="B47" s="2" t="s">
        <v>284</v>
      </c>
      <c r="C47" s="51">
        <v>4.9800000000000004</v>
      </c>
      <c r="H47" s="2" t="s">
        <v>196</v>
      </c>
      <c r="I47" s="14">
        <v>221859</v>
      </c>
      <c r="J47" s="115">
        <v>35296</v>
      </c>
      <c r="K47" s="11">
        <f t="shared" si="0"/>
        <v>0.15909203593273205</v>
      </c>
      <c r="L47" s="11"/>
      <c r="M47" s="63" t="s">
        <v>328</v>
      </c>
      <c r="N47" s="14"/>
      <c r="O47" s="115">
        <v>125001.7</v>
      </c>
      <c r="P47" s="109" t="e">
        <f t="shared" si="1"/>
        <v>#DIV/0!</v>
      </c>
      <c r="S47" s="45"/>
      <c r="T47" s="45"/>
    </row>
    <row r="48" spans="1:20">
      <c r="A48" s="2">
        <v>45</v>
      </c>
      <c r="B48" s="2" t="s">
        <v>307</v>
      </c>
      <c r="C48" s="51">
        <v>4.9400000000000004</v>
      </c>
      <c r="H48" s="2" t="s">
        <v>198</v>
      </c>
      <c r="I48" s="14">
        <v>56628</v>
      </c>
      <c r="J48" s="115">
        <v>704339.79</v>
      </c>
      <c r="K48" s="11">
        <f t="shared" si="0"/>
        <v>12.438012820512821</v>
      </c>
      <c r="L48" s="11"/>
      <c r="M48" s="2"/>
      <c r="N48" s="14"/>
      <c r="O48" s="115"/>
      <c r="P48" s="109"/>
      <c r="S48" s="45"/>
      <c r="T48" s="45"/>
    </row>
    <row r="49" spans="1:20">
      <c r="A49" s="2">
        <v>46</v>
      </c>
      <c r="B49" s="2" t="s">
        <v>319</v>
      </c>
      <c r="C49" s="51">
        <v>4.9000000000000004</v>
      </c>
      <c r="H49" s="2" t="s">
        <v>199</v>
      </c>
      <c r="I49" s="14">
        <v>20740</v>
      </c>
      <c r="J49" s="115">
        <v>318173.08</v>
      </c>
      <c r="K49" s="11">
        <f t="shared" si="0"/>
        <v>15.34103567984571</v>
      </c>
      <c r="L49" s="11"/>
      <c r="M49" s="18" t="s">
        <v>105</v>
      </c>
      <c r="N49" s="15" t="e">
        <f>MEDIAN(N5:N47,I5:I51)</f>
        <v>#REF!</v>
      </c>
      <c r="O49" s="58">
        <f>MEDIAN(O5:O47,J5:J51)</f>
        <v>308269.93</v>
      </c>
      <c r="P49" s="58" t="e">
        <f>MEDIAN(P5:P47,K5:K51)</f>
        <v>#REF!</v>
      </c>
      <c r="S49" s="45"/>
      <c r="T49" s="45"/>
    </row>
    <row r="50" spans="1:20">
      <c r="A50" s="2">
        <v>47</v>
      </c>
      <c r="B50" s="2" t="s">
        <v>214</v>
      </c>
      <c r="C50" s="51">
        <v>4.84</v>
      </c>
      <c r="H50" s="5" t="s">
        <v>202</v>
      </c>
      <c r="I50" s="14">
        <v>254905</v>
      </c>
      <c r="J50" s="115">
        <v>99901.54</v>
      </c>
      <c r="K50" s="11">
        <f t="shared" si="0"/>
        <v>0.39191675330024911</v>
      </c>
      <c r="L50" s="11"/>
      <c r="M50" s="18" t="s">
        <v>104</v>
      </c>
      <c r="N50" s="182" t="e">
        <f>AVERAGE(N5:N47,I5:I51)</f>
        <v>#REF!</v>
      </c>
      <c r="O50" s="166">
        <f>AVERAGE(O5:O47,J5:J51)</f>
        <v>420447.76722222217</v>
      </c>
      <c r="P50" s="167" t="e">
        <f>AVERAGE(P5:P47,K5:K51)</f>
        <v>#REF!</v>
      </c>
      <c r="S50" s="45"/>
      <c r="T50" s="45"/>
    </row>
    <row r="51" spans="1:20">
      <c r="A51" s="2">
        <v>48</v>
      </c>
      <c r="B51" s="2" t="s">
        <v>233</v>
      </c>
      <c r="C51" s="51">
        <v>4.83</v>
      </c>
      <c r="D51" s="2"/>
      <c r="E51" s="2"/>
      <c r="F51" s="2"/>
      <c r="H51" s="141" t="s">
        <v>203</v>
      </c>
      <c r="I51" s="14">
        <v>72668</v>
      </c>
      <c r="J51" s="115">
        <v>1069909.18</v>
      </c>
      <c r="K51" s="11">
        <f t="shared" si="0"/>
        <v>14.723250674299553</v>
      </c>
      <c r="L51" s="11"/>
      <c r="M51" s="18" t="s">
        <v>329</v>
      </c>
      <c r="N51" s="182" t="e">
        <f>SUM(N5:N47,I5:I51)</f>
        <v>#REF!</v>
      </c>
      <c r="O51" s="166">
        <f>SUM(O5:O47,J5:J51)</f>
        <v>37840299.049999997</v>
      </c>
      <c r="P51" s="167"/>
      <c r="S51" s="45"/>
      <c r="T51" s="45"/>
    </row>
    <row r="52" spans="1:20">
      <c r="A52" s="2">
        <v>49</v>
      </c>
      <c r="B52" s="2" t="s">
        <v>257</v>
      </c>
      <c r="C52" s="51">
        <v>4.8</v>
      </c>
      <c r="O52" s="115"/>
      <c r="P52" s="109"/>
      <c r="S52" s="45"/>
      <c r="T52" s="45"/>
    </row>
    <row r="53" spans="1:20">
      <c r="A53" s="2">
        <v>50</v>
      </c>
      <c r="B53" s="2" t="s">
        <v>315</v>
      </c>
      <c r="C53" s="51">
        <v>4.7699999999999996</v>
      </c>
      <c r="D53" s="2"/>
      <c r="E53" s="108"/>
      <c r="F53" s="187"/>
      <c r="O53" s="115"/>
      <c r="P53" s="109"/>
      <c r="S53" s="45"/>
      <c r="T53" s="45"/>
    </row>
    <row r="54" spans="1:20">
      <c r="A54" s="2">
        <v>51</v>
      </c>
      <c r="B54" s="2" t="s">
        <v>169</v>
      </c>
      <c r="C54" s="51">
        <v>4.74</v>
      </c>
      <c r="O54" s="115"/>
      <c r="P54" s="109"/>
      <c r="S54" s="45"/>
      <c r="T54" s="45"/>
    </row>
    <row r="55" spans="1:20">
      <c r="A55" s="2">
        <v>52</v>
      </c>
      <c r="B55" s="2" t="s">
        <v>323</v>
      </c>
      <c r="C55" s="51">
        <v>4.7300000000000004</v>
      </c>
      <c r="S55" s="45"/>
      <c r="T55" s="45"/>
    </row>
    <row r="56" spans="1:20">
      <c r="A56" s="2">
        <v>53</v>
      </c>
      <c r="B56" s="2" t="s">
        <v>234</v>
      </c>
      <c r="C56" s="51">
        <v>4.5999999999999996</v>
      </c>
      <c r="S56" s="45"/>
      <c r="T56" s="45"/>
    </row>
    <row r="57" spans="1:20">
      <c r="A57" s="2">
        <v>54</v>
      </c>
      <c r="B57" s="2" t="s">
        <v>202</v>
      </c>
      <c r="C57" s="51">
        <v>4.4800000000000004</v>
      </c>
      <c r="S57" s="45"/>
      <c r="T57" s="45"/>
    </row>
    <row r="58" spans="1:20">
      <c r="A58" s="2">
        <v>55</v>
      </c>
      <c r="B58" s="2" t="s">
        <v>213</v>
      </c>
      <c r="C58" s="51">
        <v>4.46</v>
      </c>
      <c r="S58" s="45"/>
      <c r="T58" s="45"/>
    </row>
    <row r="59" spans="1:20">
      <c r="A59" s="2">
        <v>56</v>
      </c>
      <c r="B59" s="2" t="s">
        <v>226</v>
      </c>
      <c r="C59" s="51">
        <v>4.3</v>
      </c>
      <c r="S59" s="45"/>
      <c r="T59" s="45"/>
    </row>
    <row r="60" spans="1:20">
      <c r="A60" s="2">
        <v>57</v>
      </c>
      <c r="B60" s="2" t="s">
        <v>236</v>
      </c>
      <c r="C60" s="51">
        <v>4.29</v>
      </c>
      <c r="S60" s="45"/>
      <c r="T60" s="45"/>
    </row>
    <row r="61" spans="1:20">
      <c r="A61" s="2">
        <v>58</v>
      </c>
      <c r="B61" s="2" t="s">
        <v>258</v>
      </c>
      <c r="C61" s="51">
        <v>4.22</v>
      </c>
      <c r="S61" s="45"/>
      <c r="T61" s="45"/>
    </row>
    <row r="62" spans="1:20">
      <c r="A62" s="2">
        <v>59</v>
      </c>
      <c r="B62" s="2" t="s">
        <v>328</v>
      </c>
      <c r="C62" s="51">
        <v>4.18</v>
      </c>
      <c r="S62" s="45"/>
      <c r="T62" s="45"/>
    </row>
    <row r="63" spans="1:20">
      <c r="A63" s="2">
        <v>60</v>
      </c>
      <c r="B63" s="2" t="s">
        <v>182</v>
      </c>
      <c r="C63" s="51">
        <v>4.1399999999999997</v>
      </c>
      <c r="S63" s="45"/>
      <c r="T63" s="45"/>
    </row>
    <row r="64" spans="1:20">
      <c r="A64" s="2">
        <v>61</v>
      </c>
      <c r="B64" s="2" t="s">
        <v>173</v>
      </c>
      <c r="C64" s="51">
        <v>4.13</v>
      </c>
      <c r="S64" s="45"/>
      <c r="T64" s="45"/>
    </row>
    <row r="65" spans="1:20">
      <c r="A65" s="2">
        <v>62</v>
      </c>
      <c r="B65" s="2" t="s">
        <v>311</v>
      </c>
      <c r="C65" s="51">
        <v>4.08</v>
      </c>
      <c r="S65" s="45"/>
      <c r="T65" s="45"/>
    </row>
    <row r="66" spans="1:20">
      <c r="A66" s="2">
        <v>63</v>
      </c>
      <c r="B66" s="2" t="s">
        <v>278</v>
      </c>
      <c r="C66" s="51">
        <v>4.03</v>
      </c>
      <c r="S66" s="45"/>
      <c r="T66" s="45"/>
    </row>
    <row r="67" spans="1:20">
      <c r="A67" s="2">
        <v>64</v>
      </c>
      <c r="B67" s="2" t="s">
        <v>192</v>
      </c>
      <c r="C67" s="51">
        <v>4.0199999999999996</v>
      </c>
      <c r="S67" s="45"/>
      <c r="T67" s="45"/>
    </row>
    <row r="68" spans="1:20">
      <c r="A68" s="2">
        <v>65</v>
      </c>
      <c r="B68" s="2" t="s">
        <v>186</v>
      </c>
      <c r="C68" s="51">
        <v>3.99</v>
      </c>
      <c r="S68" s="45"/>
      <c r="T68" s="45"/>
    </row>
    <row r="69" spans="1:20">
      <c r="A69" s="2">
        <v>66</v>
      </c>
      <c r="B69" s="2" t="s">
        <v>313</v>
      </c>
      <c r="C69" s="51">
        <v>3.96</v>
      </c>
      <c r="S69" s="45"/>
      <c r="T69" s="45"/>
    </row>
    <row r="70" spans="1:20">
      <c r="A70" s="2">
        <v>67</v>
      </c>
      <c r="B70" s="2" t="s">
        <v>206</v>
      </c>
      <c r="C70" s="51">
        <v>3.94</v>
      </c>
      <c r="S70" s="45"/>
      <c r="T70" s="45"/>
    </row>
    <row r="71" spans="1:20">
      <c r="A71" s="2">
        <v>68</v>
      </c>
      <c r="B71" s="2" t="s">
        <v>317</v>
      </c>
      <c r="C71" s="51">
        <v>3.83</v>
      </c>
      <c r="S71" s="45"/>
      <c r="T71" s="45"/>
    </row>
    <row r="72" spans="1:20">
      <c r="A72" s="2">
        <v>69</v>
      </c>
      <c r="B72" s="2" t="s">
        <v>154</v>
      </c>
      <c r="C72" s="51">
        <v>3.81</v>
      </c>
      <c r="S72" s="45"/>
      <c r="T72" s="45"/>
    </row>
    <row r="73" spans="1:20">
      <c r="A73" s="2">
        <v>70</v>
      </c>
      <c r="B73" s="2" t="s">
        <v>309</v>
      </c>
      <c r="C73" s="51">
        <v>3.81</v>
      </c>
      <c r="S73" s="45"/>
      <c r="T73" s="45"/>
    </row>
    <row r="74" spans="1:20">
      <c r="A74" s="2">
        <v>71</v>
      </c>
      <c r="B74" s="2" t="s">
        <v>203</v>
      </c>
      <c r="C74" s="51">
        <v>3.75</v>
      </c>
      <c r="S74" s="45"/>
      <c r="T74" s="45"/>
    </row>
    <row r="75" spans="1:20">
      <c r="A75" s="2">
        <v>72</v>
      </c>
      <c r="B75" s="2" t="s">
        <v>238</v>
      </c>
      <c r="C75" s="51">
        <v>3.62</v>
      </c>
      <c r="S75" s="45"/>
      <c r="T75" s="45"/>
    </row>
    <row r="76" spans="1:20">
      <c r="A76" s="2">
        <v>73</v>
      </c>
      <c r="B76" s="2" t="s">
        <v>126</v>
      </c>
      <c r="C76" s="51">
        <v>3.61</v>
      </c>
      <c r="S76" s="45"/>
      <c r="T76" s="45"/>
    </row>
    <row r="77" spans="1:20">
      <c r="A77" s="2">
        <v>74</v>
      </c>
      <c r="B77" s="2" t="s">
        <v>170</v>
      </c>
      <c r="C77" s="51">
        <v>3.51</v>
      </c>
      <c r="S77" s="45"/>
      <c r="T77" s="45"/>
    </row>
    <row r="78" spans="1:20">
      <c r="A78" s="2">
        <v>75</v>
      </c>
      <c r="B78" s="2" t="s">
        <v>316</v>
      </c>
      <c r="C78" s="51">
        <v>3.49</v>
      </c>
      <c r="S78" s="45"/>
      <c r="T78" s="45"/>
    </row>
    <row r="79" spans="1:20">
      <c r="A79" s="2">
        <v>76</v>
      </c>
      <c r="B79" s="2" t="s">
        <v>310</v>
      </c>
      <c r="C79" s="51">
        <v>3.42</v>
      </c>
      <c r="S79" s="45"/>
      <c r="T79" s="45"/>
    </row>
    <row r="80" spans="1:20">
      <c r="A80" s="2">
        <v>77</v>
      </c>
      <c r="B80" s="2" t="s">
        <v>224</v>
      </c>
      <c r="C80" s="51">
        <v>3.27</v>
      </c>
      <c r="S80" s="45"/>
      <c r="T80" s="45"/>
    </row>
    <row r="81" spans="1:20">
      <c r="A81" s="2">
        <v>78</v>
      </c>
      <c r="B81" s="2" t="s">
        <v>165</v>
      </c>
      <c r="C81" s="51">
        <v>2.79</v>
      </c>
      <c r="S81" s="45"/>
      <c r="T81" s="45"/>
    </row>
    <row r="82" spans="1:20">
      <c r="A82" s="2">
        <v>79</v>
      </c>
      <c r="B82" s="2" t="s">
        <v>127</v>
      </c>
      <c r="C82" s="51">
        <v>2.77</v>
      </c>
      <c r="S82" s="45"/>
      <c r="T82" s="45"/>
    </row>
    <row r="83" spans="1:20">
      <c r="A83" s="2">
        <v>80</v>
      </c>
      <c r="B83" s="2" t="s">
        <v>148</v>
      </c>
      <c r="C83" s="51">
        <v>2.76</v>
      </c>
      <c r="S83" s="45"/>
      <c r="T83" s="45"/>
    </row>
    <row r="84" spans="1:20">
      <c r="A84" s="2">
        <v>81</v>
      </c>
      <c r="B84" s="2" t="s">
        <v>225</v>
      </c>
      <c r="C84" s="51">
        <v>2.66</v>
      </c>
      <c r="S84" s="45"/>
      <c r="T84" s="45"/>
    </row>
    <row r="85" spans="1:20">
      <c r="A85" s="2">
        <v>82</v>
      </c>
      <c r="B85" s="2" t="s">
        <v>198</v>
      </c>
      <c r="C85" s="51">
        <v>2.5299999999999998</v>
      </c>
      <c r="S85" s="45"/>
      <c r="T85" s="45"/>
    </row>
    <row r="86" spans="1:20">
      <c r="A86" s="2">
        <v>83</v>
      </c>
      <c r="B86" s="2" t="s">
        <v>211</v>
      </c>
      <c r="C86" s="51">
        <v>2.5099999999999998</v>
      </c>
      <c r="S86" s="45"/>
      <c r="T86" s="45"/>
    </row>
    <row r="87" spans="1:20">
      <c r="A87" s="2">
        <v>84</v>
      </c>
      <c r="B87" s="2" t="s">
        <v>179</v>
      </c>
      <c r="C87" s="51">
        <v>2.44</v>
      </c>
      <c r="S87" s="45"/>
      <c r="T87" s="45"/>
    </row>
    <row r="88" spans="1:20">
      <c r="A88" s="2">
        <v>85</v>
      </c>
      <c r="B88" s="2" t="s">
        <v>285</v>
      </c>
      <c r="C88" s="51">
        <v>2.34</v>
      </c>
      <c r="S88" s="45"/>
      <c r="T88" s="45"/>
    </row>
    <row r="89" spans="1:20">
      <c r="A89" s="2">
        <v>86</v>
      </c>
      <c r="B89" s="2" t="s">
        <v>306</v>
      </c>
      <c r="C89" s="51">
        <v>2.21</v>
      </c>
      <c r="S89" s="45"/>
      <c r="T89" s="45"/>
    </row>
    <row r="90" spans="1:20">
      <c r="A90" s="2">
        <v>87</v>
      </c>
      <c r="B90" s="2" t="s">
        <v>308</v>
      </c>
      <c r="C90" s="51">
        <v>2.11</v>
      </c>
      <c r="S90" s="45"/>
      <c r="T90" s="45"/>
    </row>
    <row r="91" spans="1:20">
      <c r="A91" s="2">
        <v>88</v>
      </c>
      <c r="B91" s="2" t="s">
        <v>322</v>
      </c>
      <c r="C91" s="51">
        <v>2.06</v>
      </c>
      <c r="S91" s="45"/>
      <c r="T91" s="45"/>
    </row>
    <row r="92" spans="1:20">
      <c r="A92" s="2">
        <v>89</v>
      </c>
      <c r="B92" s="2" t="s">
        <v>321</v>
      </c>
      <c r="C92" s="51">
        <v>1.9</v>
      </c>
      <c r="S92" s="45"/>
      <c r="T92" s="45"/>
    </row>
    <row r="93" spans="1:20">
      <c r="A93" s="2"/>
      <c r="B93" s="2"/>
      <c r="S93" s="45"/>
      <c r="T93" s="45"/>
    </row>
    <row r="94" spans="1:20">
      <c r="A94" s="2"/>
      <c r="C94" s="23"/>
      <c r="S94" s="45"/>
      <c r="T94" s="45"/>
    </row>
    <row r="95" spans="1:20">
      <c r="A95" s="2"/>
      <c r="C95" s="23"/>
    </row>
    <row r="96" spans="1:20">
      <c r="B96" s="18" t="s">
        <v>105</v>
      </c>
      <c r="C96" s="293">
        <f>MEDIAN(C4:C92)</f>
        <v>4.9400000000000004</v>
      </c>
    </row>
    <row r="97" spans="1:6">
      <c r="B97" s="18" t="s">
        <v>104</v>
      </c>
      <c r="C97" s="293">
        <f>AVERAGE(C4:C92)</f>
        <v>5.4649438202247174</v>
      </c>
    </row>
    <row r="100" spans="1:6">
      <c r="A100" s="406" t="s">
        <v>267</v>
      </c>
      <c r="B100" s="406"/>
      <c r="C100" s="406"/>
      <c r="D100" s="406"/>
      <c r="E100" s="406"/>
      <c r="F100" s="406"/>
    </row>
    <row r="101" spans="1:6">
      <c r="A101" s="406" t="s">
        <v>578</v>
      </c>
      <c r="B101" s="406"/>
      <c r="C101" s="406"/>
      <c r="D101" s="406"/>
      <c r="E101" s="406"/>
      <c r="F101" s="406"/>
    </row>
  </sheetData>
  <sortState xmlns:xlrd2="http://schemas.microsoft.com/office/spreadsheetml/2017/richdata2" ref="R5:T94">
    <sortCondition descending="1" ref="T5:T94"/>
    <sortCondition descending="1" ref="S5:S94"/>
    <sortCondition ref="R5:R94"/>
  </sortState>
  <mergeCells count="2">
    <mergeCell ref="A100:F100"/>
    <mergeCell ref="A101:F101"/>
  </mergeCells>
  <phoneticPr fontId="51" type="noConversion"/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8">
    <pageSetUpPr fitToPage="1"/>
  </sheetPr>
  <dimension ref="A1:D97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3.85546875" style="2" customWidth="1"/>
    <col min="2" max="2" width="21.140625" customWidth="1"/>
    <col min="3" max="3" width="9" bestFit="1" customWidth="1"/>
    <col min="4" max="4" width="17.28515625" style="2" customWidth="1"/>
    <col min="5" max="5" width="21.7109375" customWidth="1"/>
    <col min="6" max="6" width="9.42578125" customWidth="1"/>
    <col min="7" max="7" width="22" customWidth="1"/>
    <col min="8" max="8" width="9.140625" customWidth="1"/>
  </cols>
  <sheetData>
    <row r="1" spans="1:3" ht="16.5" customHeight="1">
      <c r="B1" s="9" t="s">
        <v>579</v>
      </c>
    </row>
    <row r="2" spans="1:3" ht="12.75">
      <c r="B2" s="3" t="s">
        <v>580</v>
      </c>
    </row>
    <row r="3" spans="1:3" ht="14.25" customHeight="1">
      <c r="B3" s="9"/>
    </row>
    <row r="4" spans="1:3" ht="14.25" customHeight="1">
      <c r="A4" s="2">
        <v>1</v>
      </c>
      <c r="B4" s="208" t="s">
        <v>218</v>
      </c>
      <c r="C4" s="209">
        <v>1049182</v>
      </c>
    </row>
    <row r="5" spans="1:3" ht="14.25" customHeight="1">
      <c r="A5" s="2">
        <v>2</v>
      </c>
      <c r="B5" s="208" t="s">
        <v>260</v>
      </c>
      <c r="C5" s="209">
        <v>462455</v>
      </c>
    </row>
    <row r="6" spans="1:3" ht="14.25" customHeight="1">
      <c r="A6" s="2">
        <v>3</v>
      </c>
      <c r="B6" s="208" t="s">
        <v>322</v>
      </c>
      <c r="C6" s="209">
        <v>437934</v>
      </c>
    </row>
    <row r="7" spans="1:3" ht="14.25" customHeight="1">
      <c r="A7" s="2">
        <v>4</v>
      </c>
      <c r="B7" s="208" t="s">
        <v>325</v>
      </c>
      <c r="C7" s="209">
        <v>407076</v>
      </c>
    </row>
    <row r="8" spans="1:3" ht="14.25" customHeight="1">
      <c r="A8" s="2">
        <v>5</v>
      </c>
      <c r="B8" s="208" t="s">
        <v>310</v>
      </c>
      <c r="C8" s="209">
        <v>386453</v>
      </c>
    </row>
    <row r="9" spans="1:3" ht="14.25" customHeight="1">
      <c r="A9" s="2">
        <v>6</v>
      </c>
      <c r="B9" s="208" t="s">
        <v>203</v>
      </c>
      <c r="C9" s="209">
        <v>333506</v>
      </c>
    </row>
    <row r="10" spans="1:3" ht="14.25" customHeight="1">
      <c r="A10" s="2">
        <v>7</v>
      </c>
      <c r="B10" s="208" t="s">
        <v>165</v>
      </c>
      <c r="C10" s="209">
        <v>322848</v>
      </c>
    </row>
    <row r="11" spans="1:3" ht="14.25" customHeight="1">
      <c r="A11" s="2">
        <v>8</v>
      </c>
      <c r="B11" s="208" t="s">
        <v>306</v>
      </c>
      <c r="C11" s="209">
        <v>291622</v>
      </c>
    </row>
    <row r="12" spans="1:3" ht="14.25" customHeight="1">
      <c r="A12" s="2">
        <v>9</v>
      </c>
      <c r="B12" s="208" t="s">
        <v>225</v>
      </c>
      <c r="C12" s="209">
        <v>288712</v>
      </c>
    </row>
    <row r="13" spans="1:3" ht="14.25" customHeight="1">
      <c r="A13" s="2">
        <v>10</v>
      </c>
      <c r="B13" s="208" t="s">
        <v>239</v>
      </c>
      <c r="C13" s="209">
        <v>287847</v>
      </c>
    </row>
    <row r="14" spans="1:3" ht="14.25" customHeight="1">
      <c r="A14" s="2">
        <v>11</v>
      </c>
      <c r="B14" s="208" t="s">
        <v>282</v>
      </c>
      <c r="C14" s="209">
        <v>285026</v>
      </c>
    </row>
    <row r="15" spans="1:3" ht="14.25" customHeight="1">
      <c r="A15" s="2">
        <v>12</v>
      </c>
      <c r="B15" s="208" t="s">
        <v>154</v>
      </c>
      <c r="C15" s="209">
        <v>278190</v>
      </c>
    </row>
    <row r="16" spans="1:3" ht="14.25" customHeight="1">
      <c r="A16" s="2">
        <v>13</v>
      </c>
      <c r="B16" s="208" t="s">
        <v>224</v>
      </c>
      <c r="C16" s="209">
        <v>270886</v>
      </c>
    </row>
    <row r="17" spans="1:3" ht="14.25" customHeight="1">
      <c r="A17" s="2">
        <v>14</v>
      </c>
      <c r="B17" s="208" t="s">
        <v>220</v>
      </c>
      <c r="C17" s="209">
        <v>257310</v>
      </c>
    </row>
    <row r="18" spans="1:3" ht="14.25" customHeight="1">
      <c r="A18" s="2">
        <v>15</v>
      </c>
      <c r="B18" s="208" t="s">
        <v>173</v>
      </c>
      <c r="C18" s="209">
        <v>255676</v>
      </c>
    </row>
    <row r="19" spans="1:3" ht="14.25" customHeight="1">
      <c r="A19" s="2">
        <v>16</v>
      </c>
      <c r="B19" s="208" t="s">
        <v>284</v>
      </c>
      <c r="C19" s="209">
        <v>246536</v>
      </c>
    </row>
    <row r="20" spans="1:3" ht="14.25" customHeight="1">
      <c r="A20" s="2">
        <v>17</v>
      </c>
      <c r="B20" s="208" t="s">
        <v>199</v>
      </c>
      <c r="C20" s="209">
        <v>230623</v>
      </c>
    </row>
    <row r="21" spans="1:3" ht="14.25" customHeight="1">
      <c r="A21" s="2">
        <v>18</v>
      </c>
      <c r="B21" s="208" t="s">
        <v>170</v>
      </c>
      <c r="C21" s="209">
        <v>214137</v>
      </c>
    </row>
    <row r="22" spans="1:3" ht="14.25" customHeight="1">
      <c r="A22" s="2">
        <v>19</v>
      </c>
      <c r="B22" s="208" t="s">
        <v>261</v>
      </c>
      <c r="C22" s="209">
        <v>211337</v>
      </c>
    </row>
    <row r="23" spans="1:3" ht="14.25" customHeight="1">
      <c r="A23" s="2">
        <v>20</v>
      </c>
      <c r="B23" s="208" t="s">
        <v>324</v>
      </c>
      <c r="C23" s="209">
        <v>210810</v>
      </c>
    </row>
    <row r="24" spans="1:3" ht="14.25" customHeight="1">
      <c r="A24" s="2">
        <v>21</v>
      </c>
      <c r="B24" s="208" t="s">
        <v>257</v>
      </c>
      <c r="C24" s="209">
        <v>202765</v>
      </c>
    </row>
    <row r="25" spans="1:3" ht="14.25" customHeight="1">
      <c r="A25" s="2">
        <v>22</v>
      </c>
      <c r="B25" s="208" t="s">
        <v>198</v>
      </c>
      <c r="C25" s="209">
        <v>201898</v>
      </c>
    </row>
    <row r="26" spans="1:3" ht="14.25" customHeight="1">
      <c r="A26" s="2">
        <v>23</v>
      </c>
      <c r="B26" s="208" t="s">
        <v>318</v>
      </c>
      <c r="C26" s="209">
        <v>198122</v>
      </c>
    </row>
    <row r="27" spans="1:3" ht="14.25" customHeight="1">
      <c r="A27" s="2">
        <v>24</v>
      </c>
      <c r="B27" s="208" t="s">
        <v>182</v>
      </c>
      <c r="C27" s="209">
        <v>198017</v>
      </c>
    </row>
    <row r="28" spans="1:3" ht="14.25" customHeight="1">
      <c r="A28" s="2">
        <v>25</v>
      </c>
      <c r="B28" s="208" t="s">
        <v>229</v>
      </c>
      <c r="C28" s="209">
        <v>197668</v>
      </c>
    </row>
    <row r="29" spans="1:3" ht="14.25" customHeight="1">
      <c r="A29" s="2">
        <v>26</v>
      </c>
      <c r="B29" s="208" t="s">
        <v>219</v>
      </c>
      <c r="C29" s="209">
        <v>196057</v>
      </c>
    </row>
    <row r="30" spans="1:3" ht="14.25" customHeight="1">
      <c r="A30" s="2">
        <v>27</v>
      </c>
      <c r="B30" s="208" t="s">
        <v>317</v>
      </c>
      <c r="C30" s="209">
        <v>196017</v>
      </c>
    </row>
    <row r="31" spans="1:3" ht="14.25" customHeight="1">
      <c r="A31" s="2">
        <v>28</v>
      </c>
      <c r="B31" s="208" t="s">
        <v>312</v>
      </c>
      <c r="C31" s="209">
        <v>187281</v>
      </c>
    </row>
    <row r="32" spans="1:3" ht="14.25" customHeight="1">
      <c r="A32" s="2">
        <v>29</v>
      </c>
      <c r="B32" s="208" t="s">
        <v>254</v>
      </c>
      <c r="C32" s="209">
        <v>185637</v>
      </c>
    </row>
    <row r="33" spans="1:3" ht="14.25" customHeight="1">
      <c r="A33" s="2">
        <v>30</v>
      </c>
      <c r="B33" s="208" t="s">
        <v>186</v>
      </c>
      <c r="C33" s="209">
        <v>185556</v>
      </c>
    </row>
    <row r="34" spans="1:3" ht="14.25" customHeight="1">
      <c r="A34" s="2">
        <v>31</v>
      </c>
      <c r="B34" s="208" t="s">
        <v>311</v>
      </c>
      <c r="C34" s="209">
        <v>177426</v>
      </c>
    </row>
    <row r="35" spans="1:3" ht="14.25" customHeight="1">
      <c r="A35" s="2">
        <v>32</v>
      </c>
      <c r="B35" s="208" t="s">
        <v>319</v>
      </c>
      <c r="C35" s="209">
        <v>162223</v>
      </c>
    </row>
    <row r="36" spans="1:3" ht="14.25" customHeight="1">
      <c r="A36" s="2">
        <v>33</v>
      </c>
      <c r="B36" s="208" t="s">
        <v>126</v>
      </c>
      <c r="C36" s="209">
        <v>157135</v>
      </c>
    </row>
    <row r="37" spans="1:3" ht="14.25" customHeight="1">
      <c r="A37" s="2">
        <v>34</v>
      </c>
      <c r="B37" s="208" t="s">
        <v>151</v>
      </c>
      <c r="C37" s="209">
        <v>155988</v>
      </c>
    </row>
    <row r="38" spans="1:3" ht="14.25" customHeight="1">
      <c r="A38" s="2">
        <v>35</v>
      </c>
      <c r="B38" s="208" t="s">
        <v>207</v>
      </c>
      <c r="C38" s="209">
        <v>154356</v>
      </c>
    </row>
    <row r="39" spans="1:3" ht="14.25" customHeight="1">
      <c r="A39" s="2">
        <v>36</v>
      </c>
      <c r="B39" s="208" t="s">
        <v>232</v>
      </c>
      <c r="C39" s="209">
        <v>147201</v>
      </c>
    </row>
    <row r="40" spans="1:3" ht="14.25" customHeight="1">
      <c r="A40" s="2">
        <v>37</v>
      </c>
      <c r="B40" s="208" t="s">
        <v>148</v>
      </c>
      <c r="C40" s="209">
        <v>143745</v>
      </c>
    </row>
    <row r="41" spans="1:3" ht="14.25" customHeight="1">
      <c r="A41" s="2">
        <v>38</v>
      </c>
      <c r="B41" s="208" t="s">
        <v>314</v>
      </c>
      <c r="C41" s="209">
        <v>141219</v>
      </c>
    </row>
    <row r="42" spans="1:3" ht="14.25" customHeight="1">
      <c r="A42" s="2">
        <v>39</v>
      </c>
      <c r="B42" s="208" t="s">
        <v>160</v>
      </c>
      <c r="C42" s="209">
        <v>140765</v>
      </c>
    </row>
    <row r="43" spans="1:3" ht="14.25" customHeight="1">
      <c r="A43" s="2">
        <v>40</v>
      </c>
      <c r="B43" s="208" t="s">
        <v>327</v>
      </c>
      <c r="C43" s="209">
        <v>137083</v>
      </c>
    </row>
    <row r="44" spans="1:3" ht="14.25" customHeight="1">
      <c r="A44" s="2">
        <v>41</v>
      </c>
      <c r="B44" s="208" t="s">
        <v>226</v>
      </c>
      <c r="C44" s="209">
        <v>128692</v>
      </c>
    </row>
    <row r="45" spans="1:3" ht="14.25" customHeight="1">
      <c r="A45" s="2">
        <v>42</v>
      </c>
      <c r="B45" s="208" t="s">
        <v>307</v>
      </c>
      <c r="C45" s="209">
        <v>128679</v>
      </c>
    </row>
    <row r="46" spans="1:3" ht="14.25" customHeight="1">
      <c r="A46" s="2">
        <v>43</v>
      </c>
      <c r="B46" s="208" t="s">
        <v>320</v>
      </c>
      <c r="C46" s="209">
        <v>127770</v>
      </c>
    </row>
    <row r="47" spans="1:3" ht="14.25" customHeight="1">
      <c r="A47" s="2">
        <v>44</v>
      </c>
      <c r="B47" s="208" t="s">
        <v>308</v>
      </c>
      <c r="C47" s="209">
        <v>121081</v>
      </c>
    </row>
    <row r="48" spans="1:3" ht="14.25" customHeight="1">
      <c r="A48" s="2">
        <v>45</v>
      </c>
      <c r="B48" s="208" t="s">
        <v>206</v>
      </c>
      <c r="C48" s="209">
        <v>117554</v>
      </c>
    </row>
    <row r="49" spans="1:3" ht="14.25" customHeight="1">
      <c r="A49" s="2">
        <v>46</v>
      </c>
      <c r="B49" s="208" t="s">
        <v>233</v>
      </c>
      <c r="C49" s="209">
        <v>113353</v>
      </c>
    </row>
    <row r="50" spans="1:3" ht="14.25" customHeight="1">
      <c r="A50" s="2">
        <v>47</v>
      </c>
      <c r="B50" s="208" t="s">
        <v>309</v>
      </c>
      <c r="C50" s="209">
        <v>109898</v>
      </c>
    </row>
    <row r="51" spans="1:3" ht="14.25" customHeight="1">
      <c r="A51" s="2">
        <v>48</v>
      </c>
      <c r="B51" s="2" t="s">
        <v>118</v>
      </c>
      <c r="C51" s="14">
        <v>99455</v>
      </c>
    </row>
    <row r="52" spans="1:3" ht="14.25" customHeight="1">
      <c r="A52" s="2">
        <v>49</v>
      </c>
      <c r="B52" s="2" t="s">
        <v>190</v>
      </c>
      <c r="C52" s="14">
        <v>91772</v>
      </c>
    </row>
    <row r="53" spans="1:3" ht="14.25" customHeight="1">
      <c r="A53" s="2">
        <v>50</v>
      </c>
      <c r="B53" s="2" t="s">
        <v>249</v>
      </c>
      <c r="C53" s="14">
        <v>90798</v>
      </c>
    </row>
    <row r="54" spans="1:3" ht="14.25" customHeight="1">
      <c r="A54" s="2">
        <v>51</v>
      </c>
      <c r="B54" s="2" t="s">
        <v>169</v>
      </c>
      <c r="C54" s="14">
        <v>88479</v>
      </c>
    </row>
    <row r="55" spans="1:3" ht="14.25" customHeight="1">
      <c r="A55" s="2">
        <v>52</v>
      </c>
      <c r="B55" s="2" t="s">
        <v>258</v>
      </c>
      <c r="C55" s="14">
        <v>84923</v>
      </c>
    </row>
    <row r="56" spans="1:3" ht="14.25" customHeight="1">
      <c r="A56" s="2">
        <v>53</v>
      </c>
      <c r="B56" s="2" t="s">
        <v>278</v>
      </c>
      <c r="C56" s="14">
        <v>84323</v>
      </c>
    </row>
    <row r="57" spans="1:3" ht="14.25" customHeight="1">
      <c r="A57" s="2">
        <v>54</v>
      </c>
      <c r="B57" s="2" t="s">
        <v>144</v>
      </c>
      <c r="C57" s="14">
        <v>81064</v>
      </c>
    </row>
    <row r="58" spans="1:3" ht="14.25" customHeight="1">
      <c r="A58" s="2">
        <v>55</v>
      </c>
      <c r="B58" s="2" t="s">
        <v>210</v>
      </c>
      <c r="C58" s="14">
        <v>79912</v>
      </c>
    </row>
    <row r="59" spans="1:3" ht="14.25" customHeight="1">
      <c r="A59" s="2">
        <v>56</v>
      </c>
      <c r="B59" s="2" t="s">
        <v>238</v>
      </c>
      <c r="C59" s="14">
        <v>72749</v>
      </c>
    </row>
    <row r="60" spans="1:3" ht="14.25" customHeight="1">
      <c r="A60" s="2">
        <v>57</v>
      </c>
      <c r="B60" s="2" t="s">
        <v>304</v>
      </c>
      <c r="C60" s="14">
        <v>71794</v>
      </c>
    </row>
    <row r="61" spans="1:3" ht="14.25" customHeight="1">
      <c r="A61" s="2">
        <v>58</v>
      </c>
      <c r="B61" s="2" t="s">
        <v>313</v>
      </c>
      <c r="C61" s="14">
        <v>69840</v>
      </c>
    </row>
    <row r="62" spans="1:3" ht="14.25" customHeight="1">
      <c r="A62" s="2">
        <v>59</v>
      </c>
      <c r="B62" s="2" t="s">
        <v>193</v>
      </c>
      <c r="C62" s="14">
        <v>67616</v>
      </c>
    </row>
    <row r="63" spans="1:3" ht="14.25" customHeight="1">
      <c r="A63" s="2">
        <v>60</v>
      </c>
      <c r="B63" s="2" t="s">
        <v>321</v>
      </c>
      <c r="C63" s="14">
        <v>67166</v>
      </c>
    </row>
    <row r="64" spans="1:3" ht="14.25" customHeight="1">
      <c r="A64" s="2">
        <v>61</v>
      </c>
      <c r="B64" s="2" t="s">
        <v>315</v>
      </c>
      <c r="C64" s="14">
        <v>65837</v>
      </c>
    </row>
    <row r="65" spans="1:3" ht="14.25" customHeight="1">
      <c r="A65" s="2">
        <v>62</v>
      </c>
      <c r="B65" s="2" t="s">
        <v>236</v>
      </c>
      <c r="C65" s="14">
        <v>62611</v>
      </c>
    </row>
    <row r="66" spans="1:3" ht="14.25" customHeight="1">
      <c r="A66" s="2">
        <v>63</v>
      </c>
      <c r="B66" s="2" t="s">
        <v>192</v>
      </c>
      <c r="C66" s="14">
        <v>61756</v>
      </c>
    </row>
    <row r="67" spans="1:3" ht="14.25" customHeight="1">
      <c r="A67" s="2">
        <v>64</v>
      </c>
      <c r="B67" s="2" t="s">
        <v>127</v>
      </c>
      <c r="C67" s="14">
        <v>59673</v>
      </c>
    </row>
    <row r="68" spans="1:3" ht="14.25" customHeight="1">
      <c r="A68" s="2">
        <v>65</v>
      </c>
      <c r="B68" s="2" t="s">
        <v>234</v>
      </c>
      <c r="C68" s="14">
        <v>59020</v>
      </c>
    </row>
    <row r="69" spans="1:3" ht="14.25" customHeight="1">
      <c r="A69" s="2">
        <v>66</v>
      </c>
      <c r="B69" s="2" t="s">
        <v>202</v>
      </c>
      <c r="C69" s="14">
        <v>56909</v>
      </c>
    </row>
    <row r="70" spans="1:3" ht="14.25" customHeight="1">
      <c r="A70" s="2">
        <v>67</v>
      </c>
      <c r="B70" s="2" t="s">
        <v>208</v>
      </c>
      <c r="C70" s="14">
        <v>53786</v>
      </c>
    </row>
    <row r="71" spans="1:3" ht="14.25" customHeight="1">
      <c r="A71" s="2">
        <v>68</v>
      </c>
      <c r="B71" s="2" t="s">
        <v>285</v>
      </c>
      <c r="C71" s="14">
        <v>52095</v>
      </c>
    </row>
    <row r="72" spans="1:3" ht="14.25" customHeight="1">
      <c r="A72" s="2">
        <v>69</v>
      </c>
      <c r="B72" s="2" t="s">
        <v>323</v>
      </c>
      <c r="C72" s="14">
        <v>50106</v>
      </c>
    </row>
    <row r="73" spans="1:3" ht="14.25" customHeight="1">
      <c r="A73" s="2">
        <v>70</v>
      </c>
      <c r="B73" s="2" t="s">
        <v>326</v>
      </c>
      <c r="C73" s="14">
        <v>46139</v>
      </c>
    </row>
    <row r="74" spans="1:3" ht="14.25" customHeight="1">
      <c r="A74" s="2">
        <v>71</v>
      </c>
      <c r="B74" s="2" t="s">
        <v>214</v>
      </c>
      <c r="C74" s="14">
        <v>46043</v>
      </c>
    </row>
    <row r="75" spans="1:3" ht="14.25" customHeight="1">
      <c r="A75" s="2">
        <v>72</v>
      </c>
      <c r="B75" s="2" t="s">
        <v>328</v>
      </c>
      <c r="C75" s="14">
        <v>45748</v>
      </c>
    </row>
    <row r="76" spans="1:3" ht="14.25" customHeight="1">
      <c r="A76" s="2">
        <v>73</v>
      </c>
      <c r="B76" s="2" t="s">
        <v>305</v>
      </c>
      <c r="C76" s="14">
        <v>41899</v>
      </c>
    </row>
    <row r="77" spans="1:3" ht="14.25" customHeight="1">
      <c r="A77" s="2">
        <v>74</v>
      </c>
      <c r="B77" s="2" t="s">
        <v>280</v>
      </c>
      <c r="C77" s="14">
        <v>40865</v>
      </c>
    </row>
    <row r="78" spans="1:3" ht="14.25" customHeight="1">
      <c r="A78" s="2">
        <v>75</v>
      </c>
      <c r="B78" s="2" t="s">
        <v>247</v>
      </c>
      <c r="C78" s="14">
        <v>40714</v>
      </c>
    </row>
    <row r="79" spans="1:3" ht="14.25" customHeight="1">
      <c r="A79" s="2">
        <v>76</v>
      </c>
      <c r="B79" s="2" t="s">
        <v>213</v>
      </c>
      <c r="C79" s="14">
        <v>40383</v>
      </c>
    </row>
    <row r="80" spans="1:3" ht="14.25" customHeight="1">
      <c r="A80" s="2">
        <v>77</v>
      </c>
      <c r="B80" s="208" t="s">
        <v>185</v>
      </c>
      <c r="C80" s="209">
        <v>40192</v>
      </c>
    </row>
    <row r="81" spans="1:3" ht="14.25" customHeight="1">
      <c r="A81" s="2">
        <v>78</v>
      </c>
      <c r="B81" s="208" t="s">
        <v>223</v>
      </c>
      <c r="C81" s="209">
        <v>39459</v>
      </c>
    </row>
    <row r="82" spans="1:3" ht="14.25" customHeight="1">
      <c r="A82" s="2">
        <v>79</v>
      </c>
      <c r="B82" s="208" t="s">
        <v>244</v>
      </c>
      <c r="C82" s="209">
        <v>39181</v>
      </c>
    </row>
    <row r="83" spans="1:3" ht="14.25" customHeight="1">
      <c r="A83" s="2">
        <v>80</v>
      </c>
      <c r="B83" s="208" t="s">
        <v>196</v>
      </c>
      <c r="C83" s="209">
        <v>35673</v>
      </c>
    </row>
    <row r="84" spans="1:3" ht="14.25" customHeight="1">
      <c r="A84" s="2">
        <v>81</v>
      </c>
      <c r="B84" s="208" t="s">
        <v>158</v>
      </c>
      <c r="C84" s="209">
        <v>31163</v>
      </c>
    </row>
    <row r="85" spans="1:3" ht="14.25" customHeight="1">
      <c r="A85" s="2">
        <v>82</v>
      </c>
      <c r="B85" s="208" t="s">
        <v>139</v>
      </c>
      <c r="C85" s="209">
        <v>29905</v>
      </c>
    </row>
    <row r="86" spans="1:3" ht="14.25" customHeight="1">
      <c r="A86" s="2">
        <v>83</v>
      </c>
      <c r="B86" s="208" t="s">
        <v>179</v>
      </c>
      <c r="C86" s="209">
        <v>29227</v>
      </c>
    </row>
    <row r="87" spans="1:3" ht="14.25" customHeight="1">
      <c r="A87" s="2">
        <v>84</v>
      </c>
      <c r="B87" s="208" t="s">
        <v>569</v>
      </c>
      <c r="C87" s="209">
        <v>29163</v>
      </c>
    </row>
    <row r="88" spans="1:3" ht="14.25" customHeight="1">
      <c r="A88" s="2">
        <v>85</v>
      </c>
      <c r="B88" s="208" t="s">
        <v>168</v>
      </c>
      <c r="C88" s="209">
        <v>27999</v>
      </c>
    </row>
    <row r="89" spans="1:3" ht="14.25" customHeight="1">
      <c r="A89" s="2">
        <v>86</v>
      </c>
      <c r="B89" s="208" t="s">
        <v>256</v>
      </c>
      <c r="C89" s="209">
        <v>23885</v>
      </c>
    </row>
    <row r="90" spans="1:3" ht="14.25" customHeight="1">
      <c r="A90" s="2">
        <v>87</v>
      </c>
      <c r="B90" s="208" t="s">
        <v>283</v>
      </c>
      <c r="C90" s="209">
        <v>16669</v>
      </c>
    </row>
    <row r="91" spans="1:3" ht="14.25" customHeight="1">
      <c r="A91" s="2">
        <v>88</v>
      </c>
      <c r="B91" s="208" t="s">
        <v>316</v>
      </c>
      <c r="C91" s="209">
        <v>16499</v>
      </c>
    </row>
    <row r="92" spans="1:3" ht="14.25" customHeight="1">
      <c r="A92" s="2">
        <v>89</v>
      </c>
      <c r="B92" s="208" t="s">
        <v>123</v>
      </c>
      <c r="C92" s="209">
        <v>14026</v>
      </c>
    </row>
    <row r="93" spans="1:3" ht="14.25" customHeight="1">
      <c r="B93" s="208"/>
      <c r="C93" s="209"/>
    </row>
    <row r="94" spans="1:3" ht="14.25" customHeight="1">
      <c r="A94" s="163"/>
      <c r="C94" s="248"/>
    </row>
    <row r="95" spans="1:3" ht="14.25" customHeight="1">
      <c r="A95" s="163"/>
      <c r="B95" s="7" t="s">
        <v>105</v>
      </c>
      <c r="C95" s="249">
        <v>117554</v>
      </c>
    </row>
    <row r="96" spans="1:3" ht="14.25" customHeight="1">
      <c r="A96" s="163"/>
      <c r="B96" s="7" t="s">
        <v>104</v>
      </c>
      <c r="C96" s="249">
        <v>149301.88764044945</v>
      </c>
    </row>
    <row r="97" spans="1:3" ht="14.25" customHeight="1">
      <c r="A97" s="163"/>
      <c r="B97" s="7" t="s">
        <v>329</v>
      </c>
      <c r="C97" s="15">
        <v>13287868</v>
      </c>
    </row>
  </sheetData>
  <sortState xmlns:xlrd2="http://schemas.microsoft.com/office/spreadsheetml/2017/richdata2" ref="G4:H93">
    <sortCondition descending="1" ref="H4:H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9">
    <pageSetUpPr fitToPage="1"/>
  </sheetPr>
  <dimension ref="A1:J96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5.42578125" style="2" customWidth="1"/>
    <col min="2" max="2" width="21" customWidth="1"/>
    <col min="3" max="3" width="6.42578125" style="57" customWidth="1"/>
    <col min="4" max="4" width="17.85546875" customWidth="1"/>
    <col min="5" max="5" width="20.85546875" customWidth="1"/>
    <col min="6" max="6" width="8.5703125" customWidth="1"/>
    <col min="7" max="7" width="9" customWidth="1"/>
    <col min="9" max="9" width="25.28515625" style="2" bestFit="1" customWidth="1"/>
    <col min="10" max="10" width="18.28515625" style="45" customWidth="1"/>
    <col min="11" max="11" width="12.28515625" customWidth="1"/>
    <col min="12" max="12" width="12.5703125" customWidth="1"/>
  </cols>
  <sheetData>
    <row r="1" spans="1:3" ht="16.5" customHeight="1">
      <c r="B1" s="9" t="s">
        <v>581</v>
      </c>
    </row>
    <row r="2" spans="1:3" ht="15">
      <c r="B2" s="9"/>
    </row>
    <row r="3" spans="1:3" ht="14.25" customHeight="1">
      <c r="A3" s="2">
        <v>1</v>
      </c>
      <c r="B3" s="208" t="s">
        <v>139</v>
      </c>
      <c r="C3" s="216">
        <v>12.73</v>
      </c>
    </row>
    <row r="4" spans="1:3" ht="14.25" customHeight="1">
      <c r="A4" s="2">
        <v>2</v>
      </c>
      <c r="B4" s="208" t="s">
        <v>320</v>
      </c>
      <c r="C4" s="216">
        <v>9.6999999999999993</v>
      </c>
    </row>
    <row r="5" spans="1:3" ht="14.25" customHeight="1">
      <c r="A5" s="2">
        <v>3</v>
      </c>
      <c r="B5" s="208" t="s">
        <v>158</v>
      </c>
      <c r="C5" s="216">
        <v>7.76</v>
      </c>
    </row>
    <row r="6" spans="1:3" ht="14.25" customHeight="1">
      <c r="A6" s="2">
        <v>4</v>
      </c>
      <c r="B6" s="208" t="s">
        <v>308</v>
      </c>
      <c r="C6" s="216">
        <v>6.9</v>
      </c>
    </row>
    <row r="7" spans="1:3" ht="14.25" customHeight="1">
      <c r="A7" s="2">
        <v>5</v>
      </c>
      <c r="B7" s="208" t="s">
        <v>123</v>
      </c>
      <c r="C7" s="216">
        <v>6.32</v>
      </c>
    </row>
    <row r="8" spans="1:3" ht="14.25" customHeight="1">
      <c r="A8" s="2">
        <v>6</v>
      </c>
      <c r="B8" s="208" t="s">
        <v>196</v>
      </c>
      <c r="C8" s="216">
        <v>5.84</v>
      </c>
    </row>
    <row r="9" spans="1:3" ht="14.25" customHeight="1">
      <c r="A9" s="2">
        <v>7</v>
      </c>
      <c r="B9" s="208" t="s">
        <v>244</v>
      </c>
      <c r="C9" s="216">
        <v>5.53</v>
      </c>
    </row>
    <row r="10" spans="1:3" ht="14.25" customHeight="1">
      <c r="A10" s="2">
        <v>8</v>
      </c>
      <c r="B10" s="208" t="s">
        <v>190</v>
      </c>
      <c r="C10" s="216">
        <v>5.08</v>
      </c>
    </row>
    <row r="11" spans="1:3" ht="14.25" customHeight="1">
      <c r="A11" s="2">
        <v>9</v>
      </c>
      <c r="B11" s="208" t="s">
        <v>247</v>
      </c>
      <c r="C11" s="216">
        <v>4.59</v>
      </c>
    </row>
    <row r="12" spans="1:3" ht="14.25" customHeight="1">
      <c r="A12" s="2">
        <v>10</v>
      </c>
      <c r="B12" s="208" t="s">
        <v>316</v>
      </c>
      <c r="C12" s="216">
        <v>4.57</v>
      </c>
    </row>
    <row r="13" spans="1:3" ht="14.25" customHeight="1">
      <c r="A13" s="2">
        <v>11</v>
      </c>
      <c r="B13" s="208" t="s">
        <v>280</v>
      </c>
      <c r="C13" s="216">
        <v>4.55</v>
      </c>
    </row>
    <row r="14" spans="1:3" ht="14.25" customHeight="1">
      <c r="A14" s="2">
        <v>12</v>
      </c>
      <c r="B14" s="208" t="s">
        <v>199</v>
      </c>
      <c r="C14" s="216">
        <v>4.07</v>
      </c>
    </row>
    <row r="15" spans="1:3" ht="14.25" customHeight="1">
      <c r="A15" s="2">
        <v>13</v>
      </c>
      <c r="B15" s="208" t="s">
        <v>218</v>
      </c>
      <c r="C15" s="216">
        <v>3.95</v>
      </c>
    </row>
    <row r="16" spans="1:3" ht="14.25" customHeight="1">
      <c r="A16" s="2">
        <v>14</v>
      </c>
      <c r="B16" s="208" t="s">
        <v>261</v>
      </c>
      <c r="C16" s="216">
        <v>3.83</v>
      </c>
    </row>
    <row r="17" spans="1:3" ht="14.25" customHeight="1">
      <c r="A17" s="2">
        <v>15</v>
      </c>
      <c r="B17" s="208" t="s">
        <v>168</v>
      </c>
      <c r="C17" s="216">
        <v>3.33</v>
      </c>
    </row>
    <row r="18" spans="1:3" ht="14.25" customHeight="1">
      <c r="A18" s="2">
        <v>16</v>
      </c>
      <c r="B18" s="208" t="s">
        <v>327</v>
      </c>
      <c r="C18" s="216">
        <v>3.24</v>
      </c>
    </row>
    <row r="19" spans="1:3" ht="14.25" customHeight="1">
      <c r="A19" s="2">
        <v>17</v>
      </c>
      <c r="B19" s="208" t="s">
        <v>326</v>
      </c>
      <c r="C19" s="216">
        <v>3.2</v>
      </c>
    </row>
    <row r="20" spans="1:3" ht="14.25" customHeight="1">
      <c r="A20" s="2">
        <v>18</v>
      </c>
      <c r="B20" s="208" t="s">
        <v>256</v>
      </c>
      <c r="C20" s="216">
        <v>3.06</v>
      </c>
    </row>
    <row r="21" spans="1:3" ht="14.25" customHeight="1">
      <c r="A21" s="2">
        <v>19</v>
      </c>
      <c r="B21" s="208" t="s">
        <v>283</v>
      </c>
      <c r="C21" s="216">
        <v>2.97</v>
      </c>
    </row>
    <row r="22" spans="1:3" ht="14.25" customHeight="1">
      <c r="A22" s="2">
        <v>20</v>
      </c>
      <c r="B22" s="208" t="s">
        <v>193</v>
      </c>
      <c r="C22" s="216">
        <v>2.92</v>
      </c>
    </row>
    <row r="23" spans="1:3" ht="14.25" customHeight="1">
      <c r="A23" s="2">
        <v>21</v>
      </c>
      <c r="B23" s="208" t="s">
        <v>182</v>
      </c>
      <c r="C23" s="216">
        <v>2.88</v>
      </c>
    </row>
    <row r="24" spans="1:3" ht="14.25" customHeight="1">
      <c r="A24" s="2">
        <v>22</v>
      </c>
      <c r="B24" s="208" t="s">
        <v>278</v>
      </c>
      <c r="C24" s="216">
        <v>2.84</v>
      </c>
    </row>
    <row r="25" spans="1:3" ht="14.25" customHeight="1">
      <c r="A25" s="2">
        <v>23</v>
      </c>
      <c r="B25" s="208" t="s">
        <v>236</v>
      </c>
      <c r="C25" s="216">
        <v>2.81</v>
      </c>
    </row>
    <row r="26" spans="1:3" ht="14.25" customHeight="1">
      <c r="A26" s="2">
        <v>24</v>
      </c>
      <c r="B26" s="208" t="s">
        <v>223</v>
      </c>
      <c r="C26" s="216">
        <v>2.77</v>
      </c>
    </row>
    <row r="27" spans="1:3" ht="14.25" customHeight="1">
      <c r="A27" s="2">
        <v>25</v>
      </c>
      <c r="B27" s="208" t="s">
        <v>202</v>
      </c>
      <c r="C27" s="216">
        <v>2.74</v>
      </c>
    </row>
    <row r="28" spans="1:3" ht="14.25" customHeight="1">
      <c r="A28" s="2">
        <v>26</v>
      </c>
      <c r="B28" s="208" t="s">
        <v>210</v>
      </c>
      <c r="C28" s="216">
        <v>2.73</v>
      </c>
    </row>
    <row r="29" spans="1:3" ht="14.25" customHeight="1">
      <c r="A29" s="2">
        <v>27</v>
      </c>
      <c r="B29" s="208" t="s">
        <v>219</v>
      </c>
      <c r="C29" s="216">
        <v>2.69</v>
      </c>
    </row>
    <row r="30" spans="1:3" ht="14.25" customHeight="1">
      <c r="A30" s="2">
        <v>28</v>
      </c>
      <c r="B30" s="208" t="s">
        <v>328</v>
      </c>
      <c r="C30" s="216">
        <v>2.59</v>
      </c>
    </row>
    <row r="31" spans="1:3" ht="14.25" customHeight="1">
      <c r="A31" s="2">
        <v>29</v>
      </c>
      <c r="B31" s="208" t="s">
        <v>254</v>
      </c>
      <c r="C31" s="216">
        <v>2.5499999999999998</v>
      </c>
    </row>
    <row r="32" spans="1:3" ht="14.25" customHeight="1">
      <c r="A32" s="2">
        <v>30</v>
      </c>
      <c r="B32" s="208" t="s">
        <v>257</v>
      </c>
      <c r="C32" s="216">
        <v>2.5499999999999998</v>
      </c>
    </row>
    <row r="33" spans="1:3" ht="14.25" customHeight="1">
      <c r="A33" s="2">
        <v>31</v>
      </c>
      <c r="B33" s="208" t="s">
        <v>213</v>
      </c>
      <c r="C33" s="216">
        <v>2.4</v>
      </c>
    </row>
    <row r="34" spans="1:3" ht="14.25" customHeight="1">
      <c r="A34" s="2">
        <v>32</v>
      </c>
      <c r="B34" s="208" t="s">
        <v>234</v>
      </c>
      <c r="C34" s="216">
        <v>2.2999999999999998</v>
      </c>
    </row>
    <row r="35" spans="1:3" ht="14.25" customHeight="1">
      <c r="A35" s="2">
        <v>33</v>
      </c>
      <c r="B35" s="208" t="s">
        <v>319</v>
      </c>
      <c r="C35" s="216">
        <v>2.23</v>
      </c>
    </row>
    <row r="36" spans="1:3" ht="14.25" customHeight="1">
      <c r="A36" s="2">
        <v>34</v>
      </c>
      <c r="B36" s="208" t="s">
        <v>214</v>
      </c>
      <c r="C36" s="216">
        <v>2.19</v>
      </c>
    </row>
    <row r="37" spans="1:3" ht="14.25" customHeight="1">
      <c r="A37" s="2">
        <v>35</v>
      </c>
      <c r="B37" s="208" t="s">
        <v>179</v>
      </c>
      <c r="C37" s="216">
        <v>2.1800000000000002</v>
      </c>
    </row>
    <row r="38" spans="1:3" ht="14.25" customHeight="1">
      <c r="A38" s="2">
        <v>36</v>
      </c>
      <c r="B38" s="208" t="s">
        <v>324</v>
      </c>
      <c r="C38" s="216">
        <v>2.17</v>
      </c>
    </row>
    <row r="39" spans="1:3" ht="14.25" customHeight="1">
      <c r="A39" s="2">
        <v>37</v>
      </c>
      <c r="B39" s="208" t="s">
        <v>169</v>
      </c>
      <c r="C39" s="216">
        <v>2.15</v>
      </c>
    </row>
    <row r="40" spans="1:3" ht="14.25" customHeight="1">
      <c r="A40" s="2">
        <v>38</v>
      </c>
      <c r="B40" s="208" t="s">
        <v>569</v>
      </c>
      <c r="C40" s="216">
        <v>2.15</v>
      </c>
    </row>
    <row r="41" spans="1:3" ht="14.25" customHeight="1">
      <c r="A41" s="2">
        <v>39</v>
      </c>
      <c r="B41" s="208" t="s">
        <v>305</v>
      </c>
      <c r="C41" s="216">
        <v>2.12</v>
      </c>
    </row>
    <row r="42" spans="1:3" ht="14.25" customHeight="1">
      <c r="A42" s="2">
        <v>40</v>
      </c>
      <c r="B42" s="208" t="s">
        <v>312</v>
      </c>
      <c r="C42" s="216">
        <v>2.12</v>
      </c>
    </row>
    <row r="43" spans="1:3" ht="14.25" customHeight="1">
      <c r="A43" s="2">
        <v>41</v>
      </c>
      <c r="B43" s="208" t="s">
        <v>260</v>
      </c>
      <c r="C43" s="216">
        <v>2.08</v>
      </c>
    </row>
    <row r="44" spans="1:3" ht="14.25" customHeight="1">
      <c r="A44" s="2">
        <v>42</v>
      </c>
      <c r="B44" s="208" t="s">
        <v>185</v>
      </c>
      <c r="C44" s="216">
        <v>2.08</v>
      </c>
    </row>
    <row r="45" spans="1:3" ht="14.25" customHeight="1">
      <c r="A45" s="2">
        <v>43</v>
      </c>
      <c r="B45" s="208" t="s">
        <v>208</v>
      </c>
      <c r="C45" s="216">
        <v>2.0499999999999998</v>
      </c>
    </row>
    <row r="46" spans="1:3" ht="14.25" customHeight="1">
      <c r="A46" s="2">
        <v>44</v>
      </c>
      <c r="B46" s="208" t="s">
        <v>314</v>
      </c>
      <c r="C46" s="216">
        <v>2.04</v>
      </c>
    </row>
    <row r="47" spans="1:3" ht="14.25" customHeight="1">
      <c r="A47" s="2">
        <v>45</v>
      </c>
      <c r="B47" s="208" t="s">
        <v>315</v>
      </c>
      <c r="C47" s="216">
        <v>1.99</v>
      </c>
    </row>
    <row r="48" spans="1:3" ht="14.25" customHeight="1">
      <c r="A48" s="2">
        <v>46</v>
      </c>
      <c r="B48" s="208" t="s">
        <v>192</v>
      </c>
      <c r="C48" s="216">
        <v>1.95</v>
      </c>
    </row>
    <row r="49" spans="1:3" ht="14.25" customHeight="1">
      <c r="A49" s="2">
        <v>47</v>
      </c>
      <c r="B49" s="208" t="s">
        <v>322</v>
      </c>
      <c r="C49" s="216">
        <v>1.91</v>
      </c>
    </row>
    <row r="50" spans="1:3" ht="14.25" customHeight="1">
      <c r="A50" s="2">
        <v>48</v>
      </c>
      <c r="B50" s="2" t="s">
        <v>144</v>
      </c>
      <c r="C50" s="230">
        <v>1.87</v>
      </c>
    </row>
    <row r="51" spans="1:3" ht="14.25" customHeight="1">
      <c r="A51" s="2">
        <v>49</v>
      </c>
      <c r="B51" s="2" t="s">
        <v>232</v>
      </c>
      <c r="C51" s="230">
        <v>1.8</v>
      </c>
    </row>
    <row r="52" spans="1:3" ht="14.25" customHeight="1">
      <c r="A52" s="2">
        <v>50</v>
      </c>
      <c r="B52" s="2" t="s">
        <v>284</v>
      </c>
      <c r="C52" s="230">
        <v>1.77</v>
      </c>
    </row>
    <row r="53" spans="1:3" ht="14.25" customHeight="1">
      <c r="A53" s="2">
        <v>51</v>
      </c>
      <c r="B53" s="2" t="s">
        <v>311</v>
      </c>
      <c r="C53" s="230">
        <v>1.77</v>
      </c>
    </row>
    <row r="54" spans="1:3" ht="14.25" customHeight="1">
      <c r="A54" s="2">
        <v>52</v>
      </c>
      <c r="B54" s="2" t="s">
        <v>160</v>
      </c>
      <c r="C54" s="230">
        <v>1.73</v>
      </c>
    </row>
    <row r="55" spans="1:3" ht="14.25" customHeight="1">
      <c r="A55" s="2">
        <v>53</v>
      </c>
      <c r="B55" s="2" t="s">
        <v>325</v>
      </c>
      <c r="C55" s="230">
        <v>1.72</v>
      </c>
    </row>
    <row r="56" spans="1:3" ht="14.25" customHeight="1">
      <c r="A56" s="2">
        <v>54</v>
      </c>
      <c r="B56" s="2" t="s">
        <v>118</v>
      </c>
      <c r="C56" s="230">
        <v>1.71</v>
      </c>
    </row>
    <row r="57" spans="1:3" ht="14.25" customHeight="1">
      <c r="A57" s="2">
        <v>55</v>
      </c>
      <c r="B57" s="2" t="s">
        <v>151</v>
      </c>
      <c r="C57" s="230">
        <v>1.69</v>
      </c>
    </row>
    <row r="58" spans="1:3" ht="14.25" customHeight="1">
      <c r="A58" s="2">
        <v>56</v>
      </c>
      <c r="B58" s="2" t="s">
        <v>307</v>
      </c>
      <c r="C58" s="230">
        <v>1.63</v>
      </c>
    </row>
    <row r="59" spans="1:3" ht="14.25" customHeight="1">
      <c r="A59" s="2">
        <v>57</v>
      </c>
      <c r="B59" s="2" t="s">
        <v>127</v>
      </c>
      <c r="C59" s="230">
        <v>1.63</v>
      </c>
    </row>
    <row r="60" spans="1:3" ht="14.25" customHeight="1">
      <c r="A60" s="2">
        <v>58</v>
      </c>
      <c r="B60" s="2" t="s">
        <v>304</v>
      </c>
      <c r="C60" s="230">
        <v>1.6</v>
      </c>
    </row>
    <row r="61" spans="1:3" ht="14.25" customHeight="1">
      <c r="A61" s="2">
        <v>59</v>
      </c>
      <c r="B61" s="2" t="s">
        <v>258</v>
      </c>
      <c r="C61" s="230">
        <v>1.59</v>
      </c>
    </row>
    <row r="62" spans="1:3" ht="14.25" customHeight="1">
      <c r="A62" s="2">
        <v>60</v>
      </c>
      <c r="B62" s="2" t="s">
        <v>173</v>
      </c>
      <c r="C62" s="230">
        <v>1.58</v>
      </c>
    </row>
    <row r="63" spans="1:3" ht="14.25" customHeight="1">
      <c r="A63" s="2">
        <v>61</v>
      </c>
      <c r="B63" s="2" t="s">
        <v>207</v>
      </c>
      <c r="C63" s="230">
        <v>1.57</v>
      </c>
    </row>
    <row r="64" spans="1:3" ht="14.25" customHeight="1">
      <c r="A64" s="2">
        <v>62</v>
      </c>
      <c r="B64" s="2" t="s">
        <v>318</v>
      </c>
      <c r="C64" s="230">
        <v>1.54</v>
      </c>
    </row>
    <row r="65" spans="1:3" ht="14.25" customHeight="1">
      <c r="A65" s="2">
        <v>63</v>
      </c>
      <c r="B65" s="2" t="s">
        <v>238</v>
      </c>
      <c r="C65" s="230">
        <v>1.5</v>
      </c>
    </row>
    <row r="66" spans="1:3" ht="14.25" customHeight="1">
      <c r="A66" s="2">
        <v>64</v>
      </c>
      <c r="B66" s="2" t="s">
        <v>323</v>
      </c>
      <c r="C66" s="230">
        <v>1.5</v>
      </c>
    </row>
    <row r="67" spans="1:3" ht="14.25" customHeight="1">
      <c r="A67" s="2">
        <v>65</v>
      </c>
      <c r="B67" s="2" t="s">
        <v>282</v>
      </c>
      <c r="C67" s="230">
        <v>1.49</v>
      </c>
    </row>
    <row r="68" spans="1:3" ht="14.25" customHeight="1">
      <c r="A68" s="2">
        <v>66</v>
      </c>
      <c r="B68" s="2" t="s">
        <v>226</v>
      </c>
      <c r="C68" s="230">
        <v>1.42</v>
      </c>
    </row>
    <row r="69" spans="1:3" ht="14.25" customHeight="1">
      <c r="A69" s="2">
        <v>67</v>
      </c>
      <c r="B69" s="2" t="s">
        <v>229</v>
      </c>
      <c r="C69" s="230">
        <v>1.37</v>
      </c>
    </row>
    <row r="70" spans="1:3" ht="14.25" customHeight="1">
      <c r="A70" s="2">
        <v>68</v>
      </c>
      <c r="B70" s="2" t="s">
        <v>249</v>
      </c>
      <c r="C70" s="230">
        <v>1.32</v>
      </c>
    </row>
    <row r="71" spans="1:3" ht="14.25" customHeight="1">
      <c r="A71" s="2">
        <v>69</v>
      </c>
      <c r="B71" s="2" t="s">
        <v>203</v>
      </c>
      <c r="C71" s="230">
        <v>1.31</v>
      </c>
    </row>
    <row r="72" spans="1:3" ht="14.25" customHeight="1">
      <c r="A72" s="2">
        <v>70</v>
      </c>
      <c r="B72" s="2" t="s">
        <v>165</v>
      </c>
      <c r="C72" s="230">
        <v>1.28</v>
      </c>
    </row>
    <row r="73" spans="1:3" ht="14.25" customHeight="1">
      <c r="A73" s="2">
        <v>71</v>
      </c>
      <c r="B73" s="2" t="s">
        <v>225</v>
      </c>
      <c r="C73" s="230">
        <v>1.26</v>
      </c>
    </row>
    <row r="74" spans="1:3" ht="14.25" customHeight="1">
      <c r="A74" s="2">
        <v>72</v>
      </c>
      <c r="B74" s="2" t="s">
        <v>239</v>
      </c>
      <c r="C74" s="230">
        <v>1.21</v>
      </c>
    </row>
    <row r="75" spans="1:3" ht="14.25" customHeight="1">
      <c r="A75" s="2">
        <v>73</v>
      </c>
      <c r="B75" s="2" t="s">
        <v>186</v>
      </c>
      <c r="C75" s="230">
        <v>1.2</v>
      </c>
    </row>
    <row r="76" spans="1:3" ht="14.25" customHeight="1">
      <c r="A76" s="2">
        <v>74</v>
      </c>
      <c r="B76" s="2" t="s">
        <v>206</v>
      </c>
      <c r="C76" s="230">
        <v>1.2</v>
      </c>
    </row>
    <row r="77" spans="1:3" ht="14.25" customHeight="1">
      <c r="A77" s="2">
        <v>75</v>
      </c>
      <c r="B77" s="2" t="s">
        <v>233</v>
      </c>
      <c r="C77" s="230">
        <v>1.02</v>
      </c>
    </row>
    <row r="78" spans="1:3" ht="14.25" customHeight="1">
      <c r="A78" s="2">
        <v>76</v>
      </c>
      <c r="B78" s="2" t="s">
        <v>148</v>
      </c>
      <c r="C78" s="230">
        <v>1.02</v>
      </c>
    </row>
    <row r="79" spans="1:3" ht="14.25" customHeight="1">
      <c r="A79" s="2">
        <v>77</v>
      </c>
      <c r="B79" s="2" t="s">
        <v>170</v>
      </c>
      <c r="C79" s="230">
        <v>1.01</v>
      </c>
    </row>
    <row r="80" spans="1:3" ht="14.25" customHeight="1">
      <c r="A80" s="2">
        <v>78</v>
      </c>
      <c r="B80" s="208" t="s">
        <v>313</v>
      </c>
      <c r="C80" s="216">
        <v>1.01</v>
      </c>
    </row>
    <row r="81" spans="1:3" ht="14.25" customHeight="1">
      <c r="A81" s="2">
        <v>79</v>
      </c>
      <c r="B81" s="208" t="s">
        <v>321</v>
      </c>
      <c r="C81" s="216">
        <v>1</v>
      </c>
    </row>
    <row r="82" spans="1:3" ht="14.25" customHeight="1">
      <c r="A82" s="2">
        <v>80</v>
      </c>
      <c r="B82" s="208" t="s">
        <v>310</v>
      </c>
      <c r="C82" s="216">
        <v>1</v>
      </c>
    </row>
    <row r="83" spans="1:3" ht="14.25" customHeight="1">
      <c r="A83" s="2">
        <v>81</v>
      </c>
      <c r="B83" s="208" t="s">
        <v>224</v>
      </c>
      <c r="C83" s="216">
        <v>0.99</v>
      </c>
    </row>
    <row r="84" spans="1:3" ht="14.25" customHeight="1">
      <c r="A84" s="2">
        <v>82</v>
      </c>
      <c r="B84" s="208" t="s">
        <v>220</v>
      </c>
      <c r="C84" s="216">
        <v>0.95</v>
      </c>
    </row>
    <row r="85" spans="1:3" ht="14.25" customHeight="1">
      <c r="A85" s="2">
        <v>83</v>
      </c>
      <c r="B85" s="208" t="s">
        <v>198</v>
      </c>
      <c r="C85" s="216">
        <v>0.91</v>
      </c>
    </row>
    <row r="86" spans="1:3" ht="14.25" customHeight="1">
      <c r="A86" s="2">
        <v>84</v>
      </c>
      <c r="B86" s="208" t="s">
        <v>317</v>
      </c>
      <c r="C86" s="216">
        <v>0.91</v>
      </c>
    </row>
    <row r="87" spans="1:3" ht="14.25" customHeight="1">
      <c r="A87" s="2">
        <v>85</v>
      </c>
      <c r="B87" s="208" t="s">
        <v>285</v>
      </c>
      <c r="C87" s="216">
        <v>0.87</v>
      </c>
    </row>
    <row r="88" spans="1:3" ht="14.25" customHeight="1">
      <c r="A88" s="2">
        <v>86</v>
      </c>
      <c r="B88" s="208" t="s">
        <v>126</v>
      </c>
      <c r="C88" s="216">
        <v>0.85</v>
      </c>
    </row>
    <row r="89" spans="1:3" ht="14.25" customHeight="1">
      <c r="A89" s="2">
        <v>87</v>
      </c>
      <c r="B89" s="208" t="s">
        <v>154</v>
      </c>
      <c r="C89" s="216">
        <v>0.78</v>
      </c>
    </row>
    <row r="90" spans="1:3" ht="14.25" customHeight="1">
      <c r="A90" s="2">
        <v>88</v>
      </c>
      <c r="B90" s="208" t="s">
        <v>306</v>
      </c>
      <c r="C90" s="216">
        <v>0.66</v>
      </c>
    </row>
    <row r="91" spans="1:3" ht="14.25" customHeight="1">
      <c r="A91" s="2">
        <v>89</v>
      </c>
      <c r="B91" s="208" t="s">
        <v>309</v>
      </c>
      <c r="C91" s="216">
        <v>0.57999999999999996</v>
      </c>
    </row>
    <row r="92" spans="1:3" ht="14.25" customHeight="1">
      <c r="B92" s="208"/>
      <c r="C92" s="216"/>
    </row>
    <row r="93" spans="1:3" ht="14.25" customHeight="1">
      <c r="C93" s="250"/>
    </row>
    <row r="94" spans="1:3" ht="14.25" customHeight="1">
      <c r="C94" s="250"/>
    </row>
    <row r="95" spans="1:3" ht="14.25" customHeight="1">
      <c r="B95" s="25" t="s">
        <v>105</v>
      </c>
      <c r="C95" s="251">
        <v>1.99</v>
      </c>
    </row>
    <row r="96" spans="1:3" ht="14.25" customHeight="1">
      <c r="A96"/>
      <c r="B96" s="25" t="s">
        <v>104</v>
      </c>
      <c r="C96" s="251">
        <v>2.4968539325842709</v>
      </c>
    </row>
  </sheetData>
  <sortState xmlns:xlrd2="http://schemas.microsoft.com/office/spreadsheetml/2017/richdata2" ref="I3:J92">
    <sortCondition descending="1" ref="J3:J9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0">
    <pageSetUpPr fitToPage="1"/>
  </sheetPr>
  <dimension ref="A1:P106"/>
  <sheetViews>
    <sheetView zoomScaleNormal="100" workbookViewId="0">
      <pane ySplit="1" topLeftCell="A54" activePane="bottomLeft" state="frozen"/>
      <selection pane="bottomLeft" activeCell="E70" sqref="E70"/>
      <selection activeCell="G34" sqref="G34"/>
    </sheetView>
  </sheetViews>
  <sheetFormatPr defaultColWidth="8.85546875" defaultRowHeight="14.25" customHeight="1"/>
  <cols>
    <col min="1" max="1" width="5.42578125" customWidth="1"/>
    <col min="2" max="2" width="21.28515625" customWidth="1"/>
    <col min="3" max="3" width="6.85546875" style="64" bestFit="1" customWidth="1"/>
    <col min="4" max="4" width="19.28515625" style="20" customWidth="1"/>
    <col min="5" max="5" width="21.42578125" customWidth="1"/>
    <col min="6" max="6" width="6.85546875" style="57" customWidth="1"/>
    <col min="7" max="7" width="16.28515625" style="57" customWidth="1"/>
    <col min="8" max="8" width="11.42578125" bestFit="1" customWidth="1"/>
    <col min="16" max="16" width="11" bestFit="1" customWidth="1"/>
  </cols>
  <sheetData>
    <row r="1" spans="1:16" ht="16.5" customHeight="1">
      <c r="B1" s="9" t="s">
        <v>582</v>
      </c>
      <c r="F1" s="64"/>
      <c r="G1" s="64" t="s">
        <v>342</v>
      </c>
    </row>
    <row r="2" spans="1:16" ht="14.25" customHeight="1">
      <c r="B2" s="3" t="s">
        <v>583</v>
      </c>
      <c r="F2" s="64"/>
      <c r="G2" s="64"/>
    </row>
    <row r="3" spans="1:16" ht="14.25" customHeight="1">
      <c r="B3" s="3" t="s">
        <v>584</v>
      </c>
    </row>
    <row r="4" spans="1:16" s="77" customFormat="1" ht="14.25" customHeight="1">
      <c r="B4" s="9"/>
      <c r="C4" s="132"/>
      <c r="D4" s="133"/>
      <c r="E4" s="52"/>
      <c r="F4" s="134"/>
      <c r="G4" s="96"/>
      <c r="I4"/>
      <c r="J4" s="221"/>
      <c r="K4" s="40"/>
      <c r="L4"/>
      <c r="M4" s="9"/>
      <c r="N4" s="20"/>
    </row>
    <row r="5" spans="1:16" s="77" customFormat="1" ht="14.25" customHeight="1">
      <c r="B5" s="9"/>
      <c r="C5" s="225" t="s">
        <v>102</v>
      </c>
      <c r="D5" s="133"/>
      <c r="E5" s="52"/>
      <c r="F5" s="134"/>
      <c r="G5" s="96"/>
      <c r="I5"/>
      <c r="J5" s="221"/>
      <c r="K5" s="40"/>
      <c r="L5"/>
      <c r="M5" s="9"/>
      <c r="N5" s="20"/>
    </row>
    <row r="6" spans="1:16" ht="14.25" customHeight="1">
      <c r="A6" s="2">
        <v>1</v>
      </c>
      <c r="B6" s="193" t="s">
        <v>325</v>
      </c>
      <c r="C6" s="252">
        <v>58.14</v>
      </c>
      <c r="G6" s="131"/>
      <c r="J6" s="221"/>
      <c r="K6" s="40"/>
      <c r="N6" s="20"/>
    </row>
    <row r="7" spans="1:16" ht="14.25" customHeight="1">
      <c r="A7" s="2">
        <v>2</v>
      </c>
      <c r="B7" s="193" t="s">
        <v>229</v>
      </c>
      <c r="C7" s="252">
        <v>55.7</v>
      </c>
      <c r="G7" s="131"/>
      <c r="J7" s="221"/>
      <c r="K7" s="40"/>
      <c r="N7" s="105"/>
    </row>
    <row r="8" spans="1:16" ht="14.25" customHeight="1">
      <c r="A8" s="2">
        <v>3</v>
      </c>
      <c r="B8" s="193" t="s">
        <v>254</v>
      </c>
      <c r="C8" s="252">
        <v>52.81</v>
      </c>
      <c r="G8" s="131"/>
      <c r="J8" s="221"/>
      <c r="K8" s="40"/>
      <c r="M8" s="2"/>
      <c r="N8" s="203"/>
      <c r="P8" s="40"/>
    </row>
    <row r="9" spans="1:16" ht="14.25" customHeight="1">
      <c r="A9" s="2">
        <v>4</v>
      </c>
      <c r="B9" s="193" t="s">
        <v>280</v>
      </c>
      <c r="C9" s="252">
        <v>52.72</v>
      </c>
      <c r="G9" s="131"/>
      <c r="J9" s="221"/>
      <c r="K9" s="40"/>
      <c r="M9" s="2"/>
      <c r="N9" s="203"/>
      <c r="P9" s="40"/>
    </row>
    <row r="10" spans="1:16" ht="14.25" customHeight="1">
      <c r="A10" s="2">
        <v>5</v>
      </c>
      <c r="B10" s="193" t="s">
        <v>160</v>
      </c>
      <c r="C10" s="252">
        <v>46.74</v>
      </c>
      <c r="G10" s="131"/>
      <c r="J10" s="221"/>
      <c r="K10" s="40"/>
      <c r="M10" s="2"/>
      <c r="N10" s="203"/>
      <c r="P10" s="40"/>
    </row>
    <row r="11" spans="1:16" ht="14.25" customHeight="1">
      <c r="A11" s="2">
        <v>6</v>
      </c>
      <c r="B11" s="193" t="s">
        <v>304</v>
      </c>
      <c r="C11" s="252">
        <v>46.39</v>
      </c>
      <c r="G11" s="131"/>
      <c r="J11" s="221"/>
      <c r="K11" s="40"/>
      <c r="M11" s="2"/>
      <c r="N11" s="203"/>
      <c r="P11" s="40"/>
    </row>
    <row r="12" spans="1:16" ht="14.25" customHeight="1">
      <c r="A12" s="2">
        <v>7</v>
      </c>
      <c r="B12" s="193" t="s">
        <v>249</v>
      </c>
      <c r="C12" s="252">
        <v>46.3</v>
      </c>
      <c r="G12" s="131"/>
      <c r="J12" s="221"/>
      <c r="K12" s="40"/>
      <c r="M12" s="2"/>
      <c r="N12" s="203"/>
      <c r="P12" s="40"/>
    </row>
    <row r="13" spans="1:16" ht="14.25" customHeight="1">
      <c r="A13" s="2">
        <v>8</v>
      </c>
      <c r="B13" s="193" t="s">
        <v>305</v>
      </c>
      <c r="C13" s="252">
        <v>45.49</v>
      </c>
      <c r="G13" s="131"/>
      <c r="J13" s="221"/>
      <c r="K13" s="40"/>
      <c r="M13" s="2"/>
      <c r="N13" s="203"/>
      <c r="P13" s="40"/>
    </row>
    <row r="14" spans="1:16" ht="14.25" customHeight="1">
      <c r="A14" s="2">
        <v>9</v>
      </c>
      <c r="B14" s="193" t="s">
        <v>126</v>
      </c>
      <c r="C14" s="252">
        <v>44.66</v>
      </c>
      <c r="G14" s="131"/>
      <c r="J14" s="221"/>
      <c r="K14" s="40"/>
      <c r="M14" s="2"/>
      <c r="N14" s="203"/>
      <c r="P14" s="40"/>
    </row>
    <row r="15" spans="1:16" ht="14.25" customHeight="1">
      <c r="A15" s="2">
        <v>10</v>
      </c>
      <c r="B15" s="193" t="s">
        <v>283</v>
      </c>
      <c r="C15" s="252">
        <v>44.54</v>
      </c>
      <c r="G15" s="131"/>
      <c r="J15" s="221"/>
      <c r="K15" s="40"/>
      <c r="M15" s="2"/>
      <c r="N15" s="203"/>
      <c r="P15" s="40"/>
    </row>
    <row r="16" spans="1:16" ht="14.25" customHeight="1">
      <c r="A16" s="2">
        <v>11</v>
      </c>
      <c r="B16" s="193" t="s">
        <v>225</v>
      </c>
      <c r="C16" s="252">
        <v>42.7</v>
      </c>
      <c r="G16" s="131"/>
      <c r="J16" s="221"/>
      <c r="K16" s="40"/>
      <c r="M16" s="2"/>
      <c r="N16" s="203"/>
      <c r="P16" s="40"/>
    </row>
    <row r="17" spans="1:16" ht="14.25" customHeight="1">
      <c r="A17" s="2">
        <v>12</v>
      </c>
      <c r="B17" s="193" t="s">
        <v>309</v>
      </c>
      <c r="C17" s="252">
        <v>42.41</v>
      </c>
      <c r="G17" s="131"/>
      <c r="J17" s="221"/>
      <c r="K17" s="40"/>
      <c r="M17" s="2"/>
      <c r="N17" s="203"/>
      <c r="P17" s="40"/>
    </row>
    <row r="18" spans="1:16" ht="14.25" customHeight="1">
      <c r="A18" s="2">
        <v>13</v>
      </c>
      <c r="B18" s="193" t="s">
        <v>214</v>
      </c>
      <c r="C18" s="252">
        <v>41.93</v>
      </c>
      <c r="J18" s="221"/>
      <c r="K18" s="40"/>
      <c r="M18" s="2"/>
      <c r="N18" s="203"/>
      <c r="P18" s="40"/>
    </row>
    <row r="19" spans="1:16" ht="14.25" customHeight="1">
      <c r="A19" s="2">
        <v>14</v>
      </c>
      <c r="B19" s="193" t="s">
        <v>193</v>
      </c>
      <c r="C19" s="252">
        <v>41.46</v>
      </c>
      <c r="J19" s="221"/>
      <c r="K19" s="40"/>
      <c r="M19" s="2"/>
      <c r="N19" s="231"/>
      <c r="P19" s="40"/>
    </row>
    <row r="20" spans="1:16" ht="14.25" customHeight="1">
      <c r="A20" s="2">
        <v>15</v>
      </c>
      <c r="B20" s="193" t="s">
        <v>219</v>
      </c>
      <c r="C20" s="252">
        <v>39.4</v>
      </c>
      <c r="J20" s="221"/>
      <c r="K20" s="40"/>
      <c r="M20" s="2"/>
      <c r="N20" s="231"/>
      <c r="P20" s="40"/>
    </row>
    <row r="21" spans="1:16" ht="14.25" customHeight="1">
      <c r="A21" s="2">
        <v>16</v>
      </c>
      <c r="B21" s="193" t="s">
        <v>218</v>
      </c>
      <c r="C21" s="252">
        <v>38.79</v>
      </c>
      <c r="J21" s="221"/>
      <c r="K21" s="40"/>
      <c r="M21" s="2"/>
      <c r="N21" s="231"/>
      <c r="P21" s="40"/>
    </row>
    <row r="22" spans="1:16" ht="14.25" customHeight="1">
      <c r="A22" s="2">
        <v>17</v>
      </c>
      <c r="B22" s="193" t="s">
        <v>285</v>
      </c>
      <c r="C22" s="252">
        <v>38.770000000000003</v>
      </c>
      <c r="J22" s="221"/>
      <c r="K22" s="40"/>
      <c r="M22" s="2"/>
      <c r="N22" s="231"/>
      <c r="P22" s="40"/>
    </row>
    <row r="23" spans="1:16" ht="14.25" customHeight="1">
      <c r="A23" s="2">
        <v>18</v>
      </c>
      <c r="B23" s="193" t="s">
        <v>319</v>
      </c>
      <c r="C23" s="252">
        <v>38.130000000000003</v>
      </c>
      <c r="J23" s="221"/>
      <c r="K23" s="40"/>
      <c r="M23" s="2"/>
      <c r="N23" s="231"/>
      <c r="P23" s="40"/>
    </row>
    <row r="24" spans="1:16" ht="14.25" customHeight="1">
      <c r="A24" s="2">
        <v>19</v>
      </c>
      <c r="B24" s="193" t="s">
        <v>306</v>
      </c>
      <c r="C24" s="252">
        <v>37.69</v>
      </c>
      <c r="J24" s="221"/>
      <c r="K24" s="40"/>
      <c r="M24" s="2"/>
      <c r="N24" s="231"/>
      <c r="P24" s="40"/>
    </row>
    <row r="25" spans="1:16" ht="14.25" customHeight="1">
      <c r="A25" s="2">
        <v>20</v>
      </c>
      <c r="B25" s="193" t="s">
        <v>210</v>
      </c>
      <c r="C25" s="252">
        <v>36.770000000000003</v>
      </c>
      <c r="J25" s="221"/>
      <c r="K25" s="40"/>
      <c r="M25" s="2"/>
      <c r="N25" s="231"/>
      <c r="P25" s="40"/>
    </row>
    <row r="26" spans="1:16" ht="14.25" customHeight="1">
      <c r="A26" s="2">
        <v>21</v>
      </c>
      <c r="B26" s="193" t="s">
        <v>170</v>
      </c>
      <c r="C26" s="252">
        <v>36.450000000000003</v>
      </c>
      <c r="J26" s="221"/>
      <c r="K26" s="40"/>
      <c r="M26" s="2"/>
      <c r="N26" s="231"/>
      <c r="P26" s="40"/>
    </row>
    <row r="27" spans="1:16" ht="14.25" customHeight="1">
      <c r="A27" s="2">
        <v>22</v>
      </c>
      <c r="B27" s="193" t="s">
        <v>223</v>
      </c>
      <c r="C27" s="252">
        <v>35.76</v>
      </c>
      <c r="J27" s="221"/>
      <c r="K27" s="40"/>
      <c r="M27" s="2"/>
      <c r="N27" s="231"/>
      <c r="P27" s="40"/>
    </row>
    <row r="28" spans="1:16" ht="14.25" customHeight="1">
      <c r="A28" s="2">
        <v>23</v>
      </c>
      <c r="B28" s="193" t="s">
        <v>239</v>
      </c>
      <c r="C28" s="252">
        <v>34.81</v>
      </c>
      <c r="J28" s="221"/>
      <c r="K28" s="40"/>
      <c r="M28" s="2"/>
      <c r="N28" s="231"/>
      <c r="P28" s="40"/>
    </row>
    <row r="29" spans="1:16" ht="14.25" customHeight="1">
      <c r="A29" s="2">
        <v>24</v>
      </c>
      <c r="B29" s="193" t="s">
        <v>154</v>
      </c>
      <c r="C29" s="252">
        <v>33.409999999999997</v>
      </c>
      <c r="J29" s="221"/>
      <c r="K29" s="40"/>
      <c r="M29" s="2"/>
      <c r="N29" s="231"/>
      <c r="P29" s="40"/>
    </row>
    <row r="30" spans="1:16" ht="14.25" customHeight="1">
      <c r="A30" s="2">
        <v>25</v>
      </c>
      <c r="B30" s="193" t="s">
        <v>258</v>
      </c>
      <c r="C30" s="252">
        <v>33.369999999999997</v>
      </c>
      <c r="J30" s="221"/>
      <c r="K30" s="40"/>
      <c r="M30" s="2"/>
      <c r="N30" s="231"/>
      <c r="P30" s="40"/>
    </row>
    <row r="31" spans="1:16" ht="14.25" customHeight="1">
      <c r="A31" s="2">
        <v>26</v>
      </c>
      <c r="B31" s="193" t="s">
        <v>312</v>
      </c>
      <c r="C31" s="252">
        <v>33.26</v>
      </c>
      <c r="J31" s="221"/>
      <c r="K31" s="40"/>
      <c r="M31" s="2"/>
      <c r="N31" s="231"/>
      <c r="P31" s="40"/>
    </row>
    <row r="32" spans="1:16" ht="14.25" customHeight="1">
      <c r="A32" s="2">
        <v>27</v>
      </c>
      <c r="B32" s="193" t="s">
        <v>313</v>
      </c>
      <c r="C32" s="252">
        <v>33.17</v>
      </c>
      <c r="J32" s="221"/>
      <c r="K32" s="40"/>
      <c r="M32" s="2"/>
      <c r="N32" s="231"/>
      <c r="P32" s="40"/>
    </row>
    <row r="33" spans="1:16" ht="14.25" customHeight="1">
      <c r="A33" s="2">
        <v>28</v>
      </c>
      <c r="B33" s="193" t="s">
        <v>315</v>
      </c>
      <c r="C33" s="252">
        <v>32.909999999999997</v>
      </c>
      <c r="J33" s="221"/>
      <c r="K33" s="40"/>
      <c r="M33" s="2"/>
      <c r="N33" s="231"/>
      <c r="P33" s="40"/>
    </row>
    <row r="34" spans="1:16" ht="14.25" customHeight="1">
      <c r="A34" s="2">
        <v>29</v>
      </c>
      <c r="B34" s="193" t="s">
        <v>232</v>
      </c>
      <c r="C34" s="252">
        <v>32.630000000000003</v>
      </c>
      <c r="J34" s="221"/>
      <c r="K34" s="40"/>
      <c r="M34" s="2"/>
      <c r="N34" s="231"/>
      <c r="P34" s="40"/>
    </row>
    <row r="35" spans="1:16" ht="14.25" customHeight="1">
      <c r="A35" s="2">
        <v>30</v>
      </c>
      <c r="B35" s="193" t="s">
        <v>118</v>
      </c>
      <c r="C35" s="252">
        <v>32.46</v>
      </c>
      <c r="J35" s="221"/>
      <c r="K35" s="40"/>
      <c r="M35" s="2"/>
      <c r="N35" s="231"/>
      <c r="P35" s="40"/>
    </row>
    <row r="36" spans="1:16" ht="14.25" customHeight="1">
      <c r="A36" s="2">
        <v>31</v>
      </c>
      <c r="B36" s="193" t="s">
        <v>206</v>
      </c>
      <c r="C36" s="252">
        <v>31.28</v>
      </c>
      <c r="J36" s="221"/>
      <c r="K36" s="40"/>
      <c r="M36" s="2"/>
      <c r="N36" s="231"/>
      <c r="P36" s="40"/>
    </row>
    <row r="37" spans="1:16" ht="14.25" customHeight="1">
      <c r="A37" s="2">
        <v>32</v>
      </c>
      <c r="B37" s="193" t="s">
        <v>148</v>
      </c>
      <c r="C37" s="252">
        <v>31.23</v>
      </c>
      <c r="J37" s="221"/>
      <c r="K37" s="40"/>
      <c r="M37" s="2"/>
      <c r="N37" s="231"/>
      <c r="P37" s="40"/>
    </row>
    <row r="38" spans="1:16" ht="14.25" customHeight="1">
      <c r="A38" s="2">
        <v>33</v>
      </c>
      <c r="B38" s="193" t="s">
        <v>320</v>
      </c>
      <c r="C38" s="252">
        <v>31.19</v>
      </c>
      <c r="J38" s="221"/>
      <c r="K38" s="40"/>
      <c r="M38" s="2"/>
      <c r="N38" s="231"/>
      <c r="P38" s="40"/>
    </row>
    <row r="39" spans="1:16" ht="14.25" customHeight="1">
      <c r="A39" s="2">
        <v>34</v>
      </c>
      <c r="B39" s="193" t="s">
        <v>310</v>
      </c>
      <c r="C39" s="252">
        <v>30.76</v>
      </c>
      <c r="J39" s="221"/>
      <c r="K39" s="40"/>
      <c r="M39" s="2"/>
      <c r="N39" s="231"/>
      <c r="P39" s="40"/>
    </row>
    <row r="40" spans="1:16" ht="14.25" customHeight="1">
      <c r="A40" s="2">
        <v>35</v>
      </c>
      <c r="B40" s="193" t="s">
        <v>233</v>
      </c>
      <c r="C40" s="252">
        <v>30.57</v>
      </c>
      <c r="J40" s="221"/>
      <c r="K40" s="40"/>
      <c r="M40" s="2"/>
      <c r="N40" s="231"/>
      <c r="P40" s="40"/>
    </row>
    <row r="41" spans="1:16" ht="14.25" customHeight="1">
      <c r="A41" s="2">
        <v>36</v>
      </c>
      <c r="B41" s="193" t="s">
        <v>144</v>
      </c>
      <c r="C41" s="252">
        <v>30.46</v>
      </c>
      <c r="J41" s="221"/>
      <c r="K41" s="40"/>
      <c r="M41" s="2"/>
      <c r="N41" s="231"/>
      <c r="P41" s="40"/>
    </row>
    <row r="42" spans="1:16" ht="14.25" customHeight="1">
      <c r="A42" s="2">
        <v>37</v>
      </c>
      <c r="B42" s="193" t="s">
        <v>123</v>
      </c>
      <c r="C42" s="252">
        <v>30.36</v>
      </c>
      <c r="J42" s="221"/>
      <c r="K42" s="40"/>
      <c r="M42" s="2"/>
      <c r="N42" s="231"/>
      <c r="P42" s="40"/>
    </row>
    <row r="43" spans="1:16" ht="14.25" customHeight="1">
      <c r="A43" s="2">
        <v>38</v>
      </c>
      <c r="B43" s="193" t="s">
        <v>317</v>
      </c>
      <c r="C43" s="252">
        <v>30.19</v>
      </c>
      <c r="J43" s="221"/>
      <c r="K43" s="40"/>
      <c r="M43" s="2"/>
      <c r="N43" s="231"/>
      <c r="P43" s="40"/>
    </row>
    <row r="44" spans="1:16" ht="14.25" customHeight="1">
      <c r="A44" s="2">
        <v>39</v>
      </c>
      <c r="B44" s="193" t="s">
        <v>307</v>
      </c>
      <c r="C44" s="252">
        <v>29.98</v>
      </c>
      <c r="J44" s="221"/>
      <c r="K44" s="40"/>
      <c r="M44" s="2"/>
      <c r="N44" s="231"/>
      <c r="P44" s="40"/>
    </row>
    <row r="45" spans="1:16" ht="14.25" customHeight="1">
      <c r="A45" s="2">
        <v>40</v>
      </c>
      <c r="B45" s="193" t="s">
        <v>234</v>
      </c>
      <c r="C45" s="252">
        <v>29.9</v>
      </c>
      <c r="J45" s="221"/>
      <c r="K45" s="40"/>
      <c r="M45" s="2"/>
      <c r="N45" s="231"/>
      <c r="P45" s="40"/>
    </row>
    <row r="46" spans="1:16" ht="14.25" customHeight="1">
      <c r="A46" s="2">
        <v>41</v>
      </c>
      <c r="B46" s="193" t="s">
        <v>207</v>
      </c>
      <c r="C46" s="252">
        <v>29.45</v>
      </c>
      <c r="J46" s="221"/>
      <c r="K46" s="40"/>
      <c r="M46" s="2"/>
      <c r="N46" s="231"/>
      <c r="P46" s="40"/>
    </row>
    <row r="47" spans="1:16" ht="14.25" customHeight="1">
      <c r="A47" s="2">
        <v>42</v>
      </c>
      <c r="B47" s="193" t="s">
        <v>203</v>
      </c>
      <c r="C47" s="252">
        <v>28.98</v>
      </c>
      <c r="J47" s="221"/>
      <c r="K47" s="40"/>
      <c r="M47" s="2"/>
      <c r="N47" s="231"/>
      <c r="P47" s="40"/>
    </row>
    <row r="48" spans="1:16" ht="14.25" customHeight="1">
      <c r="A48" s="2">
        <v>43</v>
      </c>
      <c r="B48" s="193" t="s">
        <v>328</v>
      </c>
      <c r="C48" s="252">
        <v>28.91</v>
      </c>
      <c r="J48" s="221"/>
      <c r="K48" s="40"/>
      <c r="M48" s="2"/>
      <c r="N48" s="231"/>
      <c r="P48" s="40"/>
    </row>
    <row r="49" spans="1:16" ht="14.25" customHeight="1">
      <c r="A49" s="2">
        <v>44</v>
      </c>
      <c r="B49" s="193" t="s">
        <v>226</v>
      </c>
      <c r="C49" s="252">
        <v>28.71</v>
      </c>
      <c r="J49" s="221"/>
      <c r="K49" s="40"/>
      <c r="M49" s="2"/>
      <c r="N49" s="231"/>
      <c r="P49" s="40"/>
    </row>
    <row r="50" spans="1:16" ht="14.25" customHeight="1">
      <c r="A50" s="2">
        <v>45</v>
      </c>
      <c r="B50" s="193" t="s">
        <v>190</v>
      </c>
      <c r="C50" s="252">
        <v>28.43</v>
      </c>
      <c r="J50" s="221"/>
      <c r="K50" s="40"/>
      <c r="M50" s="2"/>
      <c r="N50" s="231"/>
      <c r="P50" s="40"/>
    </row>
    <row r="51" spans="1:16" ht="14.25" customHeight="1">
      <c r="A51" s="2">
        <v>46</v>
      </c>
      <c r="B51" s="193" t="s">
        <v>213</v>
      </c>
      <c r="C51" s="252">
        <v>27.8</v>
      </c>
      <c r="J51" s="221"/>
      <c r="K51" s="40"/>
      <c r="M51" s="2"/>
      <c r="N51" s="231"/>
      <c r="P51" s="40"/>
    </row>
    <row r="52" spans="1:16" ht="14.25" customHeight="1">
      <c r="A52" s="2">
        <v>47</v>
      </c>
      <c r="B52" s="193" t="s">
        <v>323</v>
      </c>
      <c r="C52" s="252">
        <v>27.35</v>
      </c>
      <c r="J52" s="221"/>
      <c r="K52" s="222"/>
      <c r="M52" s="2"/>
      <c r="N52" s="231"/>
      <c r="P52" s="40"/>
    </row>
    <row r="53" spans="1:16" ht="14.25" customHeight="1">
      <c r="A53" s="2">
        <v>48</v>
      </c>
      <c r="B53" s="193" t="s">
        <v>257</v>
      </c>
      <c r="C53" s="252">
        <v>26.98</v>
      </c>
      <c r="D53" s="2"/>
      <c r="E53" s="2"/>
      <c r="F53" s="11"/>
      <c r="J53" s="221"/>
      <c r="K53" s="222"/>
      <c r="M53" s="2"/>
      <c r="N53" s="231"/>
      <c r="P53" s="40"/>
    </row>
    <row r="54" spans="1:16" ht="14.25" customHeight="1">
      <c r="A54" s="2">
        <v>49</v>
      </c>
      <c r="B54" s="193" t="s">
        <v>169</v>
      </c>
      <c r="C54" s="252">
        <v>26.81</v>
      </c>
      <c r="D54" s="2"/>
      <c r="E54" s="63"/>
      <c r="F54" s="11"/>
      <c r="J54" s="221"/>
      <c r="K54" s="222"/>
      <c r="M54" s="63"/>
      <c r="N54" s="231"/>
      <c r="P54" s="40"/>
    </row>
    <row r="55" spans="1:16" ht="14.25" customHeight="1">
      <c r="A55" s="2">
        <v>50</v>
      </c>
      <c r="B55" s="193" t="s">
        <v>324</v>
      </c>
      <c r="C55" s="252">
        <v>26.71</v>
      </c>
      <c r="D55" s="2"/>
      <c r="E55" s="2"/>
      <c r="F55" s="131"/>
      <c r="J55" s="221"/>
      <c r="K55" s="222"/>
      <c r="M55" s="63"/>
      <c r="N55" s="33"/>
      <c r="P55" s="40"/>
    </row>
    <row r="56" spans="1:16" ht="14.25" customHeight="1">
      <c r="A56" s="2">
        <v>51</v>
      </c>
      <c r="B56" s="193" t="s">
        <v>168</v>
      </c>
      <c r="C56" s="252">
        <v>25.91</v>
      </c>
      <c r="J56" s="221"/>
      <c r="K56" s="222"/>
      <c r="M56" s="63"/>
      <c r="N56" s="33"/>
      <c r="P56" s="40"/>
    </row>
    <row r="57" spans="1:16" ht="14.25" customHeight="1">
      <c r="A57" s="2">
        <v>52</v>
      </c>
      <c r="B57" s="193" t="s">
        <v>244</v>
      </c>
      <c r="C57" s="252">
        <v>25.43</v>
      </c>
      <c r="J57" s="221"/>
      <c r="K57" s="222"/>
      <c r="M57" s="2"/>
      <c r="N57" s="33"/>
      <c r="P57" s="40"/>
    </row>
    <row r="58" spans="1:16" ht="14.25" customHeight="1">
      <c r="A58" s="2">
        <v>53</v>
      </c>
      <c r="B58" s="193" t="s">
        <v>314</v>
      </c>
      <c r="C58" s="252">
        <v>25.22</v>
      </c>
      <c r="J58" s="221"/>
      <c r="K58" s="222"/>
      <c r="M58" s="2"/>
      <c r="N58" s="33"/>
      <c r="P58" s="40"/>
    </row>
    <row r="59" spans="1:16" ht="14.25" customHeight="1">
      <c r="A59" s="2">
        <v>54</v>
      </c>
      <c r="B59" s="193" t="s">
        <v>247</v>
      </c>
      <c r="C59" s="252">
        <v>24.78</v>
      </c>
      <c r="J59" s="221"/>
      <c r="K59" s="222"/>
      <c r="M59" s="2"/>
      <c r="N59" s="33"/>
      <c r="P59" s="40"/>
    </row>
    <row r="60" spans="1:16" ht="14.25" customHeight="1">
      <c r="A60" s="2">
        <v>55</v>
      </c>
      <c r="B60" s="193" t="s">
        <v>311</v>
      </c>
      <c r="C60" s="252">
        <v>24.33</v>
      </c>
      <c r="J60" s="221"/>
      <c r="K60" s="222"/>
      <c r="M60" s="2"/>
      <c r="N60" s="33"/>
      <c r="P60" s="40"/>
    </row>
    <row r="61" spans="1:16" ht="14.25" customHeight="1">
      <c r="A61" s="2">
        <v>56</v>
      </c>
      <c r="B61" s="193" t="s">
        <v>182</v>
      </c>
      <c r="C61" s="252">
        <v>24.1</v>
      </c>
      <c r="J61" s="221"/>
      <c r="K61" s="222"/>
      <c r="M61" s="2"/>
      <c r="N61" s="33"/>
      <c r="P61" s="40"/>
    </row>
    <row r="62" spans="1:16" ht="14.25" customHeight="1">
      <c r="A62" s="2">
        <v>57</v>
      </c>
      <c r="B62" s="193" t="s">
        <v>278</v>
      </c>
      <c r="C62" s="252">
        <v>24.07</v>
      </c>
      <c r="J62" s="221"/>
      <c r="K62" s="222"/>
      <c r="M62" s="2"/>
      <c r="N62" s="33"/>
      <c r="P62" s="40"/>
    </row>
    <row r="63" spans="1:16" ht="14.25" customHeight="1">
      <c r="A63" s="2">
        <v>58</v>
      </c>
      <c r="B63" s="193" t="s">
        <v>326</v>
      </c>
      <c r="C63" s="252">
        <v>23.71</v>
      </c>
      <c r="J63" s="221"/>
      <c r="K63" s="222"/>
      <c r="M63" s="2"/>
      <c r="N63" s="33"/>
      <c r="P63" s="40"/>
    </row>
    <row r="64" spans="1:16" ht="14.25" customHeight="1">
      <c r="A64" s="2">
        <v>59</v>
      </c>
      <c r="B64" s="193" t="s">
        <v>179</v>
      </c>
      <c r="C64" s="252">
        <v>22.9</v>
      </c>
      <c r="J64" s="221"/>
      <c r="K64" s="222"/>
      <c r="M64" s="2"/>
      <c r="N64" s="33"/>
      <c r="P64" s="40"/>
    </row>
    <row r="65" spans="1:16" ht="14.25" customHeight="1">
      <c r="A65" s="2">
        <v>60</v>
      </c>
      <c r="B65" s="193" t="s">
        <v>220</v>
      </c>
      <c r="C65" s="252">
        <v>22.63</v>
      </c>
      <c r="J65" s="221"/>
      <c r="K65" s="222"/>
      <c r="M65" s="2"/>
      <c r="N65" s="33"/>
      <c r="P65" s="40"/>
    </row>
    <row r="66" spans="1:16" ht="14.25" customHeight="1">
      <c r="A66" s="2">
        <v>61</v>
      </c>
      <c r="B66" s="193" t="s">
        <v>282</v>
      </c>
      <c r="C66" s="252">
        <v>22.4</v>
      </c>
      <c r="J66" s="221"/>
      <c r="K66" s="222"/>
      <c r="M66" s="2"/>
      <c r="N66" s="33"/>
      <c r="P66" s="40"/>
    </row>
    <row r="67" spans="1:16" ht="14.25" customHeight="1">
      <c r="A67" s="2">
        <v>62</v>
      </c>
      <c r="B67" s="193" t="s">
        <v>196</v>
      </c>
      <c r="C67" s="252">
        <v>22.2</v>
      </c>
      <c r="J67" s="221"/>
      <c r="K67" s="222"/>
      <c r="M67" s="2"/>
      <c r="N67" s="33"/>
      <c r="P67" s="40"/>
    </row>
    <row r="68" spans="1:16" ht="14.25" customHeight="1">
      <c r="A68" s="2">
        <v>63</v>
      </c>
      <c r="B68" s="193" t="s">
        <v>199</v>
      </c>
      <c r="C68" s="252">
        <v>22.01</v>
      </c>
      <c r="J68" s="221"/>
      <c r="K68" s="222"/>
      <c r="M68" s="2"/>
      <c r="N68" s="33"/>
      <c r="P68" s="40"/>
    </row>
    <row r="69" spans="1:16" ht="14.25" customHeight="1">
      <c r="A69" s="2">
        <v>64</v>
      </c>
      <c r="B69" s="193" t="s">
        <v>284</v>
      </c>
      <c r="C69" s="252">
        <v>21.46</v>
      </c>
      <c r="J69" s="221"/>
      <c r="K69" s="222"/>
      <c r="M69" s="2"/>
      <c r="N69" s="33"/>
      <c r="P69" s="40"/>
    </row>
    <row r="70" spans="1:16" ht="14.25" customHeight="1">
      <c r="A70" s="2">
        <v>65</v>
      </c>
      <c r="B70" s="193" t="s">
        <v>327</v>
      </c>
      <c r="C70" s="252">
        <v>20.82</v>
      </c>
      <c r="J70" s="221"/>
      <c r="K70" s="222"/>
      <c r="M70" s="2"/>
      <c r="N70" s="33"/>
      <c r="P70" s="40"/>
    </row>
    <row r="71" spans="1:16" ht="14.25" customHeight="1">
      <c r="A71" s="2">
        <v>66</v>
      </c>
      <c r="B71" s="193" t="s">
        <v>127</v>
      </c>
      <c r="C71" s="252">
        <v>19.48</v>
      </c>
      <c r="J71" s="221"/>
      <c r="K71" s="222"/>
      <c r="M71" s="2"/>
      <c r="N71" s="33"/>
      <c r="P71" s="40"/>
    </row>
    <row r="72" spans="1:16" ht="14.25" customHeight="1">
      <c r="A72" s="2">
        <v>67</v>
      </c>
      <c r="B72" s="193" t="s">
        <v>173</v>
      </c>
      <c r="C72" s="252">
        <v>19.27</v>
      </c>
      <c r="J72" s="221"/>
      <c r="K72" s="222"/>
      <c r="M72" s="2"/>
      <c r="N72" s="33"/>
      <c r="P72" s="40"/>
    </row>
    <row r="73" spans="1:16" ht="14.25" customHeight="1">
      <c r="A73" s="2">
        <v>68</v>
      </c>
      <c r="B73" s="193" t="s">
        <v>318</v>
      </c>
      <c r="C73" s="252">
        <v>19.13</v>
      </c>
      <c r="J73" s="221"/>
      <c r="K73" s="222"/>
      <c r="M73" s="2"/>
      <c r="N73" s="33"/>
      <c r="P73" s="40"/>
    </row>
    <row r="74" spans="1:16" ht="14.25" customHeight="1">
      <c r="A74" s="2">
        <v>69</v>
      </c>
      <c r="B74" s="193" t="s">
        <v>202</v>
      </c>
      <c r="C74" s="252">
        <v>19.04</v>
      </c>
      <c r="J74" s="221"/>
      <c r="K74" s="222"/>
      <c r="M74" s="2"/>
      <c r="N74" s="33"/>
      <c r="P74" s="40"/>
    </row>
    <row r="75" spans="1:16" ht="14.25" customHeight="1">
      <c r="A75" s="2">
        <v>70</v>
      </c>
      <c r="B75" s="193" t="s">
        <v>260</v>
      </c>
      <c r="C75" s="252">
        <v>17.46</v>
      </c>
      <c r="J75" s="221"/>
      <c r="K75" s="222"/>
      <c r="M75" s="2"/>
      <c r="N75" s="33"/>
      <c r="P75" s="40"/>
    </row>
    <row r="76" spans="1:16" ht="14.25" customHeight="1">
      <c r="A76" s="2">
        <v>71</v>
      </c>
      <c r="B76" s="193" t="s">
        <v>261</v>
      </c>
      <c r="C76" s="252">
        <v>17.440000000000001</v>
      </c>
      <c r="J76" s="221"/>
      <c r="K76" s="222"/>
      <c r="M76" s="2"/>
      <c r="N76" s="33"/>
      <c r="P76" s="40"/>
    </row>
    <row r="77" spans="1:16" ht="14.25" customHeight="1">
      <c r="A77" s="2">
        <v>72</v>
      </c>
      <c r="B77" s="193" t="s">
        <v>139</v>
      </c>
      <c r="C77" s="252">
        <v>17.41</v>
      </c>
      <c r="J77" s="221"/>
      <c r="K77" s="222"/>
      <c r="M77" s="2"/>
      <c r="N77" s="33"/>
      <c r="P77" s="40"/>
    </row>
    <row r="78" spans="1:16" ht="14.25" customHeight="1">
      <c r="A78" s="2">
        <v>73</v>
      </c>
      <c r="B78" s="193" t="s">
        <v>211</v>
      </c>
      <c r="C78" s="252">
        <v>15.83</v>
      </c>
      <c r="J78" s="221"/>
      <c r="K78" s="222"/>
      <c r="M78" s="2"/>
      <c r="N78" s="33"/>
      <c r="P78" s="40"/>
    </row>
    <row r="79" spans="1:16" ht="14.25" customHeight="1">
      <c r="A79" s="2">
        <v>74</v>
      </c>
      <c r="B79" s="193" t="s">
        <v>316</v>
      </c>
      <c r="C79" s="252">
        <v>14.94</v>
      </c>
      <c r="J79" s="221"/>
      <c r="K79" s="222"/>
      <c r="M79" s="2"/>
      <c r="N79" s="33"/>
      <c r="P79" s="40"/>
    </row>
    <row r="80" spans="1:16" ht="14.25" customHeight="1">
      <c r="A80" s="2">
        <v>75</v>
      </c>
      <c r="B80" s="193" t="s">
        <v>224</v>
      </c>
      <c r="C80" s="252">
        <v>14.65</v>
      </c>
      <c r="J80" s="221"/>
      <c r="K80" s="222"/>
      <c r="M80" s="2"/>
      <c r="N80" s="33"/>
      <c r="P80" s="40"/>
    </row>
    <row r="81" spans="1:16" ht="14.25" customHeight="1">
      <c r="A81" s="2">
        <v>76</v>
      </c>
      <c r="B81" s="193" t="s">
        <v>238</v>
      </c>
      <c r="C81" s="252">
        <v>14.56</v>
      </c>
      <c r="J81" s="221"/>
      <c r="K81" s="222"/>
      <c r="M81" s="2"/>
      <c r="N81" s="33"/>
      <c r="P81" s="40"/>
    </row>
    <row r="82" spans="1:16" ht="14.25" customHeight="1">
      <c r="A82" s="2">
        <v>77</v>
      </c>
      <c r="B82" s="193" t="s">
        <v>165</v>
      </c>
      <c r="C82" s="252">
        <v>14.22</v>
      </c>
      <c r="J82" s="221"/>
      <c r="K82" s="222"/>
      <c r="M82" s="2"/>
      <c r="N82" s="33"/>
      <c r="P82" s="40"/>
    </row>
    <row r="83" spans="1:16" ht="14.25" customHeight="1">
      <c r="A83" s="2">
        <v>78</v>
      </c>
      <c r="B83" s="193" t="s">
        <v>186</v>
      </c>
      <c r="C83" s="252">
        <v>14.15</v>
      </c>
      <c r="J83" s="221"/>
      <c r="K83" s="222"/>
      <c r="M83" s="2"/>
      <c r="N83" s="33"/>
      <c r="P83" s="40"/>
    </row>
    <row r="84" spans="1:16" ht="14.25" customHeight="1">
      <c r="A84" s="2">
        <v>79</v>
      </c>
      <c r="B84" s="193" t="s">
        <v>321</v>
      </c>
      <c r="C84" s="252">
        <v>14.11</v>
      </c>
      <c r="J84" s="221"/>
      <c r="K84" s="222"/>
      <c r="M84" s="2"/>
      <c r="N84" s="33"/>
      <c r="P84" s="40"/>
    </row>
    <row r="85" spans="1:16" ht="14.25" customHeight="1">
      <c r="A85" s="2">
        <v>80</v>
      </c>
      <c r="B85" s="193" t="s">
        <v>158</v>
      </c>
      <c r="C85" s="252">
        <v>13.99</v>
      </c>
      <c r="J85" s="221"/>
      <c r="K85" s="222"/>
      <c r="M85" s="2"/>
      <c r="N85" s="33"/>
      <c r="P85" s="40"/>
    </row>
    <row r="86" spans="1:16" ht="14.25" customHeight="1">
      <c r="A86" s="2">
        <v>81</v>
      </c>
      <c r="B86" s="193" t="s">
        <v>192</v>
      </c>
      <c r="C86" s="252">
        <v>13.58</v>
      </c>
      <c r="J86" s="221"/>
      <c r="K86" s="222"/>
      <c r="M86" s="2"/>
      <c r="N86" s="33"/>
      <c r="P86" s="40"/>
    </row>
    <row r="87" spans="1:16" ht="14.25" customHeight="1">
      <c r="A87" s="2">
        <v>82</v>
      </c>
      <c r="B87" s="193" t="s">
        <v>308</v>
      </c>
      <c r="C87" s="252">
        <v>12.83</v>
      </c>
      <c r="J87" s="221"/>
      <c r="K87" s="222"/>
      <c r="M87" s="2"/>
      <c r="N87" s="33"/>
      <c r="P87" s="40"/>
    </row>
    <row r="88" spans="1:16" ht="14.25" customHeight="1">
      <c r="A88" s="2">
        <v>83</v>
      </c>
      <c r="B88" s="193" t="s">
        <v>151</v>
      </c>
      <c r="C88" s="252">
        <v>12.13</v>
      </c>
      <c r="J88" s="221"/>
      <c r="K88" s="222"/>
      <c r="M88" s="2"/>
      <c r="N88" s="33"/>
      <c r="P88" s="40"/>
    </row>
    <row r="89" spans="1:16" ht="14.25" customHeight="1">
      <c r="A89" s="2">
        <v>84</v>
      </c>
      <c r="B89" s="193" t="s">
        <v>185</v>
      </c>
      <c r="C89" s="252">
        <v>11.99</v>
      </c>
      <c r="J89" s="221"/>
      <c r="K89" s="222"/>
      <c r="M89" s="2"/>
      <c r="N89" s="33"/>
      <c r="P89" s="40"/>
    </row>
    <row r="90" spans="1:16" ht="14.25" customHeight="1">
      <c r="A90" s="2">
        <v>85</v>
      </c>
      <c r="B90" s="193" t="s">
        <v>198</v>
      </c>
      <c r="C90" s="252">
        <v>10.67</v>
      </c>
      <c r="J90" s="221"/>
      <c r="K90" s="222"/>
      <c r="M90" s="2"/>
      <c r="N90" s="33"/>
      <c r="P90" s="40"/>
    </row>
    <row r="91" spans="1:16" ht="14.25" customHeight="1">
      <c r="A91" s="2">
        <v>86</v>
      </c>
      <c r="B91" s="193" t="s">
        <v>236</v>
      </c>
      <c r="C91" s="252">
        <v>10.28</v>
      </c>
      <c r="J91" s="221"/>
      <c r="K91" s="222"/>
      <c r="M91" s="2"/>
      <c r="N91" s="33"/>
      <c r="P91" s="40"/>
    </row>
    <row r="92" spans="1:16" ht="14.25" customHeight="1">
      <c r="A92" s="2">
        <v>87</v>
      </c>
      <c r="B92" s="193" t="s">
        <v>322</v>
      </c>
      <c r="C92" s="252">
        <v>5.81</v>
      </c>
      <c r="J92" s="221"/>
      <c r="K92" s="222"/>
      <c r="M92" s="2"/>
      <c r="N92" s="33"/>
      <c r="P92" s="40"/>
    </row>
    <row r="93" spans="1:16" ht="14.25" customHeight="1">
      <c r="A93" s="2">
        <v>88</v>
      </c>
      <c r="B93" s="193" t="s">
        <v>256</v>
      </c>
      <c r="C93" s="252">
        <v>4.45</v>
      </c>
      <c r="J93" s="221"/>
      <c r="K93" s="222"/>
      <c r="M93" s="2"/>
      <c r="N93" s="33"/>
      <c r="P93" s="40"/>
    </row>
    <row r="94" spans="1:16" ht="14.25" customHeight="1">
      <c r="A94" s="2">
        <v>89</v>
      </c>
      <c r="B94" s="193" t="s">
        <v>208</v>
      </c>
      <c r="C94" s="252">
        <v>2.15</v>
      </c>
      <c r="J94" s="221"/>
      <c r="K94" s="222"/>
      <c r="M94" s="2"/>
      <c r="N94" s="33"/>
      <c r="P94" s="40"/>
    </row>
    <row r="95" spans="1:16" ht="14.25" customHeight="1">
      <c r="A95" s="2"/>
      <c r="M95" s="2"/>
      <c r="N95" s="33"/>
      <c r="P95" s="40"/>
    </row>
    <row r="96" spans="1:16" ht="14.25" customHeight="1">
      <c r="A96" s="2"/>
      <c r="B96" s="193"/>
      <c r="C96" s="252"/>
      <c r="M96" s="2"/>
      <c r="N96" s="33"/>
      <c r="P96" s="40"/>
    </row>
    <row r="97" spans="1:16" ht="14.25" customHeight="1">
      <c r="A97" s="2"/>
      <c r="C97" s="253"/>
      <c r="M97" s="2"/>
      <c r="N97" s="33"/>
      <c r="P97" s="40"/>
    </row>
    <row r="98" spans="1:16" ht="14.25" customHeight="1">
      <c r="A98" s="20"/>
      <c r="C98" s="253"/>
      <c r="M98" s="2"/>
      <c r="N98" s="33"/>
    </row>
    <row r="99" spans="1:16" ht="14.25" customHeight="1">
      <c r="A99" s="20"/>
      <c r="B99" s="25" t="s">
        <v>105</v>
      </c>
      <c r="C99" s="254">
        <f>MEDIAN(C6:C94)</f>
        <v>28.43</v>
      </c>
      <c r="M99" s="7"/>
      <c r="N99" s="66"/>
    </row>
    <row r="100" spans="1:16" ht="14.25" customHeight="1">
      <c r="B100" s="25" t="s">
        <v>104</v>
      </c>
      <c r="C100" s="254">
        <f>AVERAGE(C6:C94)</f>
        <v>28.060224719101129</v>
      </c>
      <c r="M100" s="7"/>
      <c r="N100" s="66"/>
    </row>
    <row r="101" spans="1:16" ht="14.25" customHeight="1">
      <c r="M101" s="7"/>
      <c r="N101" s="66"/>
    </row>
    <row r="103" spans="1:16" ht="14.25" customHeight="1">
      <c r="A103" s="44" t="s">
        <v>585</v>
      </c>
      <c r="M103" s="44"/>
    </row>
    <row r="104" spans="1:16" ht="14.25" customHeight="1">
      <c r="M104" s="44"/>
    </row>
    <row r="105" spans="1:16" ht="14.25" customHeight="1">
      <c r="M105" s="63"/>
    </row>
    <row r="106" spans="1:16" ht="14.25" customHeight="1">
      <c r="M106" s="99"/>
    </row>
  </sheetData>
  <sortState xmlns:xlrd2="http://schemas.microsoft.com/office/spreadsheetml/2017/richdata2" ref="I6:J95">
    <sortCondition descending="1" ref="J6:J95"/>
    <sortCondition ref="I6:I95"/>
  </sortState>
  <phoneticPr fontId="51" type="noConversion"/>
  <conditionalFormatting sqref="K52:K94">
    <cfRule type="cellIs" dxfId="34" priority="5" operator="lessThan">
      <formula>0</formula>
    </cfRule>
    <cfRule type="cellIs" dxfId="33" priority="6" operator="equal">
      <formula>0</formula>
    </cfRule>
  </conditionalFormatting>
  <conditionalFormatting sqref="N8:N54">
    <cfRule type="cellIs" dxfId="32" priority="2" operator="lessThan">
      <formula>0</formula>
    </cfRule>
    <cfRule type="cellIs" dxfId="31" priority="3" operator="lessThan">
      <formula>0</formula>
    </cfRule>
  </conditionalFormatting>
  <conditionalFormatting sqref="N8:N101">
    <cfRule type="cellIs" dxfId="30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1">
    <pageSetUpPr fitToPage="1"/>
  </sheetPr>
  <dimension ref="A1:O105"/>
  <sheetViews>
    <sheetView zoomScaleNormal="100" workbookViewId="0">
      <pane ySplit="12" topLeftCell="A13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17.28515625" style="41" customWidth="1"/>
    <col min="2" max="2" width="11.42578125" style="298" customWidth="1"/>
    <col min="3" max="3" width="13.140625" style="299" customWidth="1"/>
    <col min="4" max="4" width="4.7109375" style="41" customWidth="1"/>
    <col min="5" max="5" width="21.5703125" style="41" bestFit="1" customWidth="1"/>
    <col min="6" max="6" width="11.28515625" style="41" customWidth="1"/>
    <col min="7" max="7" width="13" style="41" customWidth="1"/>
    <col min="8" max="8" width="20.5703125" style="2" bestFit="1" customWidth="1"/>
    <col min="9" max="9" width="10.5703125" style="2" bestFit="1" customWidth="1"/>
    <col min="10" max="10" width="11.5703125" style="2" bestFit="1" customWidth="1"/>
    <col min="15" max="15" width="8.7109375" customWidth="1"/>
    <col min="16" max="16384" width="9.140625" style="41"/>
  </cols>
  <sheetData>
    <row r="1" spans="1:7" ht="14.1" customHeight="1">
      <c r="A1" s="9" t="s">
        <v>586</v>
      </c>
      <c r="B1" s="294"/>
      <c r="C1" s="23"/>
      <c r="D1" s="128"/>
      <c r="E1" s="2"/>
      <c r="F1" s="12"/>
      <c r="G1" s="12"/>
    </row>
    <row r="2" spans="1:7" ht="13.5" customHeight="1">
      <c r="A2" s="1" t="s">
        <v>587</v>
      </c>
      <c r="B2" s="294"/>
      <c r="C2" s="23"/>
      <c r="D2" s="128"/>
      <c r="E2" s="2"/>
      <c r="F2" s="12"/>
      <c r="G2" s="12"/>
    </row>
    <row r="3" spans="1:7" ht="13.5" customHeight="1">
      <c r="A3" s="1" t="s">
        <v>588</v>
      </c>
      <c r="B3" s="294"/>
      <c r="C3" s="23"/>
      <c r="D3" s="128"/>
      <c r="E3" s="2"/>
      <c r="F3" s="12"/>
      <c r="G3" s="12"/>
    </row>
    <row r="4" spans="1:7" ht="13.5" customHeight="1">
      <c r="A4" s="1" t="s">
        <v>589</v>
      </c>
      <c r="B4" s="294"/>
      <c r="C4" s="23"/>
      <c r="D4" s="128"/>
      <c r="E4" s="2"/>
      <c r="F4" s="12"/>
      <c r="G4" s="12"/>
    </row>
    <row r="5" spans="1:7" ht="13.5" customHeight="1">
      <c r="A5" s="1" t="s">
        <v>590</v>
      </c>
      <c r="B5" s="294"/>
      <c r="C5" s="23"/>
      <c r="D5" s="128"/>
      <c r="E5" s="2"/>
      <c r="F5" s="12"/>
      <c r="G5" s="12"/>
    </row>
    <row r="6" spans="1:7" s="120" customFormat="1" ht="5.0999999999999996" customHeight="1">
      <c r="A6" s="145"/>
      <c r="B6" s="295"/>
      <c r="C6" s="295"/>
      <c r="D6" s="144"/>
      <c r="E6" s="144"/>
      <c r="F6" s="144"/>
      <c r="G6" s="144"/>
    </row>
    <row r="7" spans="1:7" s="120" customFormat="1" ht="13.5" customHeight="1">
      <c r="A7" s="1" t="s">
        <v>591</v>
      </c>
      <c r="B7" s="295"/>
      <c r="C7" s="295"/>
      <c r="D7" s="144"/>
      <c r="E7" s="144"/>
      <c r="F7" s="144"/>
      <c r="G7" s="144"/>
    </row>
    <row r="8" spans="1:7" ht="13.5" customHeight="1">
      <c r="A8" s="1" t="s">
        <v>592</v>
      </c>
      <c r="B8" s="20"/>
      <c r="C8" s="20"/>
      <c r="D8"/>
      <c r="E8"/>
      <c r="F8"/>
      <c r="G8"/>
    </row>
    <row r="9" spans="1:7" ht="5.45" customHeight="1">
      <c r="A9" s="8"/>
      <c r="B9" s="294"/>
      <c r="C9" s="23"/>
      <c r="D9" s="128"/>
      <c r="E9" s="2"/>
      <c r="F9" s="12"/>
      <c r="G9" s="12"/>
    </row>
    <row r="10" spans="1:7" ht="12.75">
      <c r="A10" s="3" t="s">
        <v>593</v>
      </c>
      <c r="B10" s="294"/>
      <c r="C10" s="23"/>
      <c r="D10" s="128"/>
      <c r="E10" s="2"/>
      <c r="F10" s="12"/>
      <c r="G10" s="12"/>
    </row>
    <row r="11" spans="1:7" ht="12.75">
      <c r="A11" s="2"/>
      <c r="B11" s="294"/>
      <c r="C11" s="23"/>
      <c r="D11" s="128"/>
      <c r="E11" s="2"/>
      <c r="F11" s="12"/>
      <c r="G11" s="12"/>
    </row>
    <row r="12" spans="1:7" ht="12" customHeight="1">
      <c r="A12" s="7"/>
      <c r="B12" s="146" t="s">
        <v>594</v>
      </c>
      <c r="C12" s="126" t="s">
        <v>595</v>
      </c>
      <c r="D12" s="90"/>
      <c r="E12" s="6"/>
      <c r="F12" s="146"/>
      <c r="G12" s="126"/>
    </row>
    <row r="13" spans="1:7" ht="13.5" customHeight="1">
      <c r="A13" s="204" t="s">
        <v>346</v>
      </c>
      <c r="B13" s="352">
        <v>63</v>
      </c>
      <c r="C13" s="352">
        <v>94</v>
      </c>
      <c r="D13" s="12"/>
      <c r="E13" s="128"/>
      <c r="F13" s="128"/>
      <c r="G13" s="128"/>
    </row>
    <row r="14" spans="1:7" ht="13.5" customHeight="1">
      <c r="A14" s="204" t="s">
        <v>278</v>
      </c>
      <c r="B14" s="352">
        <v>31</v>
      </c>
      <c r="C14" s="352">
        <v>60</v>
      </c>
      <c r="D14" s="12"/>
      <c r="E14" s="128"/>
      <c r="F14" s="128"/>
      <c r="G14" s="128"/>
    </row>
    <row r="15" spans="1:7" ht="13.5" customHeight="1">
      <c r="A15" s="204" t="s">
        <v>123</v>
      </c>
      <c r="B15" s="352">
        <v>48</v>
      </c>
      <c r="C15" s="352">
        <v>52</v>
      </c>
      <c r="D15" s="12"/>
      <c r="E15" s="128"/>
      <c r="F15" s="128"/>
      <c r="G15" s="128"/>
    </row>
    <row r="16" spans="1:7" ht="13.5" customHeight="1">
      <c r="A16" s="204" t="s">
        <v>124</v>
      </c>
      <c r="B16" s="352">
        <v>84</v>
      </c>
      <c r="C16" s="352">
        <v>92</v>
      </c>
      <c r="D16" s="12"/>
      <c r="E16" s="128"/>
      <c r="F16" s="128"/>
      <c r="G16" s="128"/>
    </row>
    <row r="17" spans="1:4" ht="13.5" customHeight="1">
      <c r="A17" s="204" t="s">
        <v>126</v>
      </c>
      <c r="B17" s="352">
        <v>47</v>
      </c>
      <c r="C17" s="352">
        <v>88</v>
      </c>
      <c r="D17" s="12"/>
    </row>
    <row r="18" spans="1:4" ht="13.5" customHeight="1">
      <c r="A18" s="204" t="s">
        <v>127</v>
      </c>
      <c r="B18" s="352">
        <v>42</v>
      </c>
      <c r="C18" s="352">
        <v>74</v>
      </c>
      <c r="D18" s="12"/>
    </row>
    <row r="19" spans="1:4" ht="13.5" customHeight="1">
      <c r="A19" s="204" t="s">
        <v>305</v>
      </c>
      <c r="B19" s="352">
        <v>79</v>
      </c>
      <c r="C19" s="352">
        <v>96</v>
      </c>
      <c r="D19" s="12"/>
    </row>
    <row r="20" spans="1:4" ht="13.5" customHeight="1">
      <c r="A20" s="204" t="s">
        <v>133</v>
      </c>
      <c r="B20" s="352">
        <v>47</v>
      </c>
      <c r="C20" s="352">
        <v>94</v>
      </c>
      <c r="D20" s="12"/>
    </row>
    <row r="21" spans="1:4" ht="13.5" customHeight="1">
      <c r="A21" s="204" t="s">
        <v>137</v>
      </c>
      <c r="B21" s="352">
        <v>46</v>
      </c>
      <c r="C21" s="352">
        <v>86</v>
      </c>
      <c r="D21" s="12"/>
    </row>
    <row r="22" spans="1:4" ht="13.5" customHeight="1">
      <c r="A22" s="204" t="s">
        <v>139</v>
      </c>
      <c r="B22" s="352">
        <v>28</v>
      </c>
      <c r="C22" s="352">
        <v>62</v>
      </c>
      <c r="D22" s="12"/>
    </row>
    <row r="23" spans="1:4" ht="13.5" customHeight="1">
      <c r="A23" s="204" t="s">
        <v>142</v>
      </c>
      <c r="B23" s="352">
        <v>25</v>
      </c>
      <c r="C23" s="352">
        <v>46</v>
      </c>
      <c r="D23" s="12"/>
    </row>
    <row r="24" spans="1:4" ht="13.5" customHeight="1">
      <c r="A24" s="204" t="s">
        <v>144</v>
      </c>
      <c r="B24" s="352">
        <v>69</v>
      </c>
      <c r="C24" s="352">
        <v>88</v>
      </c>
      <c r="D24" s="12"/>
    </row>
    <row r="25" spans="1:4" ht="13.5" customHeight="1">
      <c r="A25" s="204" t="s">
        <v>148</v>
      </c>
      <c r="B25" s="352">
        <v>66</v>
      </c>
      <c r="C25" s="352">
        <v>88</v>
      </c>
      <c r="D25" s="12"/>
    </row>
    <row r="26" spans="1:4" ht="13.5" customHeight="1">
      <c r="A26" s="204" t="s">
        <v>149</v>
      </c>
      <c r="B26" s="352">
        <v>66</v>
      </c>
      <c r="C26" s="352">
        <v>85</v>
      </c>
      <c r="D26" s="12"/>
    </row>
    <row r="27" spans="1:4" ht="13.5" customHeight="1">
      <c r="A27" s="204" t="s">
        <v>151</v>
      </c>
      <c r="B27" s="352">
        <v>52</v>
      </c>
      <c r="C27" s="352">
        <v>80</v>
      </c>
      <c r="D27" s="12"/>
    </row>
    <row r="28" spans="1:4" ht="13.5" customHeight="1">
      <c r="A28" s="204" t="s">
        <v>152</v>
      </c>
      <c r="B28" s="352">
        <v>50</v>
      </c>
      <c r="C28" s="352">
        <v>82</v>
      </c>
      <c r="D28" s="12"/>
    </row>
    <row r="29" spans="1:4" ht="13.5" customHeight="1">
      <c r="A29" s="204" t="s">
        <v>154</v>
      </c>
      <c r="B29" s="352">
        <v>77</v>
      </c>
      <c r="C29" s="352">
        <v>97</v>
      </c>
      <c r="D29" s="12"/>
    </row>
    <row r="30" spans="1:4" ht="13.5" customHeight="1">
      <c r="A30" s="204" t="s">
        <v>347</v>
      </c>
      <c r="B30" s="352">
        <v>38</v>
      </c>
      <c r="C30" s="352">
        <v>77</v>
      </c>
      <c r="D30" s="12"/>
    </row>
    <row r="31" spans="1:4" ht="13.5" customHeight="1">
      <c r="A31" s="204" t="s">
        <v>312</v>
      </c>
      <c r="B31" s="352">
        <v>36</v>
      </c>
      <c r="C31" s="352">
        <v>58</v>
      </c>
      <c r="D31" s="12"/>
    </row>
    <row r="32" spans="1:4" ht="13.5" customHeight="1">
      <c r="A32" s="204" t="s">
        <v>155</v>
      </c>
      <c r="B32" s="352">
        <v>62</v>
      </c>
      <c r="C32" s="352">
        <v>85</v>
      </c>
      <c r="D32" s="12"/>
    </row>
    <row r="33" spans="1:4" ht="13.5" customHeight="1">
      <c r="A33" s="204" t="s">
        <v>348</v>
      </c>
      <c r="B33" s="352">
        <v>48</v>
      </c>
      <c r="C33" s="352">
        <v>72</v>
      </c>
      <c r="D33" s="12"/>
    </row>
    <row r="34" spans="1:4" ht="13.5" customHeight="1">
      <c r="A34" s="204" t="s">
        <v>158</v>
      </c>
      <c r="B34" s="352">
        <v>38</v>
      </c>
      <c r="C34" s="352">
        <v>75</v>
      </c>
      <c r="D34" s="12"/>
    </row>
    <row r="35" spans="1:4" ht="13.5" customHeight="1">
      <c r="A35" s="204" t="s">
        <v>160</v>
      </c>
      <c r="B35" s="352">
        <v>74</v>
      </c>
      <c r="C35" s="352">
        <v>84</v>
      </c>
      <c r="D35" s="12"/>
    </row>
    <row r="36" spans="1:4" ht="13.5" customHeight="1">
      <c r="A36" s="204" t="s">
        <v>165</v>
      </c>
      <c r="B36" s="352">
        <v>0</v>
      </c>
      <c r="C36" s="352">
        <v>0</v>
      </c>
      <c r="D36" s="12"/>
    </row>
    <row r="37" spans="1:4" ht="13.5" customHeight="1">
      <c r="A37" s="204" t="s">
        <v>168</v>
      </c>
      <c r="B37" s="352">
        <v>28</v>
      </c>
      <c r="C37" s="352">
        <v>25</v>
      </c>
      <c r="D37" s="12"/>
    </row>
    <row r="38" spans="1:4" ht="13.5" customHeight="1">
      <c r="A38" s="204" t="s">
        <v>169</v>
      </c>
      <c r="B38" s="352">
        <v>48</v>
      </c>
      <c r="C38" s="352">
        <v>78</v>
      </c>
      <c r="D38" s="12"/>
    </row>
    <row r="39" spans="1:4" ht="13.5" customHeight="1">
      <c r="A39" s="204" t="s">
        <v>170</v>
      </c>
      <c r="B39" s="352">
        <v>96</v>
      </c>
      <c r="C39" s="352">
        <v>100</v>
      </c>
      <c r="D39" s="12"/>
    </row>
    <row r="40" spans="1:4" ht="13.5" customHeight="1">
      <c r="A40" s="204" t="s">
        <v>173</v>
      </c>
      <c r="B40" s="352">
        <v>72</v>
      </c>
      <c r="C40" s="352">
        <v>88</v>
      </c>
      <c r="D40" s="12"/>
    </row>
    <row r="41" spans="1:4" ht="13.5" customHeight="1">
      <c r="A41" s="204" t="s">
        <v>280</v>
      </c>
      <c r="B41" s="352">
        <v>0</v>
      </c>
      <c r="C41" s="352">
        <v>0</v>
      </c>
      <c r="D41" s="12"/>
    </row>
    <row r="42" spans="1:4" ht="13.5" customHeight="1">
      <c r="A42" s="204" t="s">
        <v>176</v>
      </c>
      <c r="B42" s="352">
        <v>39</v>
      </c>
      <c r="C42" s="352">
        <v>60</v>
      </c>
      <c r="D42" s="12"/>
    </row>
    <row r="43" spans="1:4" ht="13.5" customHeight="1">
      <c r="A43" s="204" t="s">
        <v>316</v>
      </c>
      <c r="B43" s="352">
        <v>33</v>
      </c>
      <c r="C43" s="352">
        <v>88</v>
      </c>
      <c r="D43" s="12"/>
    </row>
    <row r="44" spans="1:4" ht="13.5" customHeight="1">
      <c r="A44" s="204" t="s">
        <v>179</v>
      </c>
      <c r="B44" s="352">
        <v>50</v>
      </c>
      <c r="C44" s="352">
        <v>86</v>
      </c>
      <c r="D44" s="12"/>
    </row>
    <row r="45" spans="1:4" ht="13.5" customHeight="1">
      <c r="A45" s="204" t="s">
        <v>182</v>
      </c>
      <c r="B45" s="352">
        <v>52</v>
      </c>
      <c r="C45" s="352">
        <v>76</v>
      </c>
      <c r="D45" s="12"/>
    </row>
    <row r="46" spans="1:4" ht="13.5" customHeight="1">
      <c r="A46" s="204" t="s">
        <v>317</v>
      </c>
      <c r="B46" s="352">
        <v>66</v>
      </c>
      <c r="C46" s="352">
        <v>88</v>
      </c>
      <c r="D46" s="12"/>
    </row>
    <row r="47" spans="1:4" ht="13.5" customHeight="1">
      <c r="A47" s="204" t="s">
        <v>185</v>
      </c>
      <c r="B47" s="352">
        <v>70</v>
      </c>
      <c r="C47" s="352">
        <v>87</v>
      </c>
      <c r="D47" s="12"/>
    </row>
    <row r="48" spans="1:4" ht="13.5" customHeight="1">
      <c r="A48" s="204" t="s">
        <v>186</v>
      </c>
      <c r="B48" s="352">
        <v>64</v>
      </c>
      <c r="C48" s="352">
        <v>87</v>
      </c>
      <c r="D48" s="12"/>
    </row>
    <row r="49" spans="1:4" ht="13.5" customHeight="1">
      <c r="A49" s="204" t="s">
        <v>282</v>
      </c>
      <c r="B49" s="352">
        <v>65</v>
      </c>
      <c r="C49" s="352">
        <v>98</v>
      </c>
      <c r="D49" s="12"/>
    </row>
    <row r="50" spans="1:4" ht="13.5" customHeight="1">
      <c r="A50" s="204" t="s">
        <v>190</v>
      </c>
      <c r="B50" s="352">
        <v>49</v>
      </c>
      <c r="C50" s="352">
        <v>74</v>
      </c>
      <c r="D50" s="12"/>
    </row>
    <row r="51" spans="1:4" ht="13.5" customHeight="1">
      <c r="A51" s="204" t="s">
        <v>192</v>
      </c>
      <c r="B51" s="352">
        <v>33</v>
      </c>
      <c r="C51" s="352">
        <v>55</v>
      </c>
      <c r="D51" s="12"/>
    </row>
    <row r="52" spans="1:4" ht="13.5" customHeight="1">
      <c r="A52" s="204" t="s">
        <v>193</v>
      </c>
      <c r="B52" s="352">
        <v>33</v>
      </c>
      <c r="C52" s="352">
        <v>55</v>
      </c>
      <c r="D52" s="12"/>
    </row>
    <row r="53" spans="1:4" ht="13.5" customHeight="1">
      <c r="A53" s="204" t="s">
        <v>318</v>
      </c>
      <c r="B53" s="352">
        <v>51</v>
      </c>
      <c r="C53" s="352">
        <v>87</v>
      </c>
      <c r="D53" s="12"/>
    </row>
    <row r="54" spans="1:4" ht="13.5" customHeight="1">
      <c r="A54" s="204" t="s">
        <v>196</v>
      </c>
      <c r="B54" s="352">
        <v>21</v>
      </c>
      <c r="C54" s="352">
        <v>44</v>
      </c>
      <c r="D54" s="12"/>
    </row>
    <row r="55" spans="1:4" ht="13.5" customHeight="1">
      <c r="A55" s="204" t="s">
        <v>198</v>
      </c>
      <c r="B55" s="352">
        <v>62</v>
      </c>
      <c r="C55" s="352">
        <v>86</v>
      </c>
      <c r="D55" s="12"/>
    </row>
    <row r="56" spans="1:4" ht="13.5" customHeight="1">
      <c r="A56" s="204" t="s">
        <v>199</v>
      </c>
      <c r="B56" s="352">
        <v>52</v>
      </c>
      <c r="C56" s="352">
        <v>73</v>
      </c>
      <c r="D56" s="12"/>
    </row>
    <row r="57" spans="1:4" ht="13.5" customHeight="1">
      <c r="A57" s="204" t="s">
        <v>202</v>
      </c>
      <c r="B57" s="352">
        <v>36</v>
      </c>
      <c r="C57" s="352">
        <v>70</v>
      </c>
      <c r="D57" s="12"/>
    </row>
    <row r="58" spans="1:4" ht="13.5" customHeight="1">
      <c r="A58" s="204" t="s">
        <v>203</v>
      </c>
      <c r="B58" s="352">
        <v>63</v>
      </c>
      <c r="C58" s="352">
        <v>90</v>
      </c>
      <c r="D58" s="12"/>
    </row>
    <row r="59" spans="1:4" ht="13.5" customHeight="1">
      <c r="A59" s="204" t="s">
        <v>319</v>
      </c>
      <c r="B59" s="352">
        <v>38</v>
      </c>
      <c r="C59" s="352">
        <v>74</v>
      </c>
      <c r="D59" s="12"/>
    </row>
    <row r="60" spans="1:4" ht="14.25" customHeight="1">
      <c r="A60" s="204" t="s">
        <v>206</v>
      </c>
      <c r="B60" s="352">
        <v>41</v>
      </c>
      <c r="C60" s="352">
        <v>76</v>
      </c>
      <c r="D60" s="128"/>
    </row>
    <row r="61" spans="1:4" ht="14.25" customHeight="1">
      <c r="A61" s="204" t="s">
        <v>207</v>
      </c>
      <c r="B61" s="352">
        <v>51</v>
      </c>
      <c r="C61" s="352">
        <v>80</v>
      </c>
      <c r="D61" s="128"/>
    </row>
    <row r="62" spans="1:4" ht="14.25" customHeight="1">
      <c r="A62" s="204" t="s">
        <v>208</v>
      </c>
      <c r="B62" s="352">
        <v>43</v>
      </c>
      <c r="C62" s="352">
        <v>70</v>
      </c>
      <c r="D62" s="128"/>
    </row>
    <row r="63" spans="1:4" ht="14.25" customHeight="1">
      <c r="A63" s="204" t="s">
        <v>210</v>
      </c>
      <c r="B63" s="352">
        <v>67</v>
      </c>
      <c r="C63" s="352">
        <v>74</v>
      </c>
      <c r="D63" s="128"/>
    </row>
    <row r="64" spans="1:4" ht="14.25" customHeight="1">
      <c r="A64" s="204" t="s">
        <v>349</v>
      </c>
      <c r="B64" s="352">
        <v>34</v>
      </c>
      <c r="C64" s="352">
        <v>63</v>
      </c>
      <c r="D64" s="128"/>
    </row>
    <row r="65" spans="1:3" ht="14.25" customHeight="1">
      <c r="A65" s="204" t="s">
        <v>213</v>
      </c>
      <c r="B65" s="352">
        <v>49</v>
      </c>
      <c r="C65" s="352">
        <v>69</v>
      </c>
    </row>
    <row r="66" spans="1:3" ht="14.25" customHeight="1">
      <c r="A66" s="204" t="s">
        <v>357</v>
      </c>
      <c r="B66" s="352">
        <v>32</v>
      </c>
      <c r="C66" s="352">
        <v>64</v>
      </c>
    </row>
    <row r="67" spans="1:3" ht="14.25" customHeight="1">
      <c r="A67" s="204" t="s">
        <v>218</v>
      </c>
      <c r="B67" s="352">
        <v>52</v>
      </c>
      <c r="C67" s="352">
        <v>17</v>
      </c>
    </row>
    <row r="68" spans="1:3" ht="14.25" customHeight="1">
      <c r="A68" s="204" t="s">
        <v>219</v>
      </c>
      <c r="B68" s="352">
        <v>51</v>
      </c>
      <c r="C68" s="352">
        <v>79</v>
      </c>
    </row>
    <row r="69" spans="1:3" ht="14.25" customHeight="1">
      <c r="A69" s="204" t="s">
        <v>320</v>
      </c>
      <c r="B69" s="352">
        <v>27</v>
      </c>
      <c r="C69" s="352">
        <v>51</v>
      </c>
    </row>
    <row r="70" spans="1:3" ht="14.25" customHeight="1">
      <c r="A70" s="204" t="s">
        <v>220</v>
      </c>
      <c r="B70" s="352">
        <v>71</v>
      </c>
      <c r="C70" s="352">
        <v>84</v>
      </c>
    </row>
    <row r="71" spans="1:3" ht="14.25" customHeight="1">
      <c r="A71" s="204" t="s">
        <v>283</v>
      </c>
      <c r="B71" s="352">
        <v>25</v>
      </c>
      <c r="C71" s="352">
        <v>55</v>
      </c>
    </row>
    <row r="72" spans="1:3" ht="14.25" customHeight="1">
      <c r="A72" s="204" t="s">
        <v>223</v>
      </c>
      <c r="B72" s="352">
        <v>33</v>
      </c>
      <c r="C72" s="352">
        <v>67</v>
      </c>
    </row>
    <row r="73" spans="1:3" ht="14.25" customHeight="1">
      <c r="A73" s="204" t="s">
        <v>224</v>
      </c>
      <c r="B73" s="352">
        <v>84</v>
      </c>
      <c r="C73" s="352">
        <v>97</v>
      </c>
    </row>
    <row r="74" spans="1:3" ht="14.25" customHeight="1">
      <c r="A74" s="204" t="s">
        <v>225</v>
      </c>
      <c r="B74" s="352">
        <v>45</v>
      </c>
      <c r="C74" s="352">
        <v>93</v>
      </c>
    </row>
    <row r="75" spans="1:3" ht="14.25" customHeight="1">
      <c r="A75" s="204" t="s">
        <v>226</v>
      </c>
      <c r="B75" s="352">
        <v>38</v>
      </c>
      <c r="C75" s="352">
        <v>71</v>
      </c>
    </row>
    <row r="76" spans="1:3" ht="14.25" customHeight="1">
      <c r="A76" s="204" t="s">
        <v>228</v>
      </c>
      <c r="B76" s="352">
        <v>23</v>
      </c>
      <c r="C76" s="352">
        <v>64</v>
      </c>
    </row>
    <row r="77" spans="1:3" ht="14.25" customHeight="1">
      <c r="A77" s="204" t="s">
        <v>229</v>
      </c>
      <c r="B77" s="352">
        <v>31</v>
      </c>
      <c r="C77" s="352">
        <v>57</v>
      </c>
    </row>
    <row r="78" spans="1:3" ht="14.25" customHeight="1">
      <c r="A78" s="204" t="s">
        <v>322</v>
      </c>
      <c r="B78" s="352">
        <v>62</v>
      </c>
      <c r="C78" s="352">
        <v>84</v>
      </c>
    </row>
    <row r="79" spans="1:3" ht="14.25" customHeight="1">
      <c r="A79" s="204" t="s">
        <v>323</v>
      </c>
      <c r="B79" s="352">
        <v>50</v>
      </c>
      <c r="C79" s="352">
        <v>82</v>
      </c>
    </row>
    <row r="80" spans="1:3" ht="14.25" customHeight="1">
      <c r="A80" s="204" t="s">
        <v>350</v>
      </c>
      <c r="B80" s="352">
        <v>43</v>
      </c>
      <c r="C80" s="352">
        <v>72</v>
      </c>
    </row>
    <row r="81" spans="1:3" ht="14.25" customHeight="1">
      <c r="A81" s="204" t="s">
        <v>284</v>
      </c>
      <c r="B81" s="352">
        <v>49</v>
      </c>
      <c r="C81" s="352">
        <v>77</v>
      </c>
    </row>
    <row r="82" spans="1:3" ht="14.25" customHeight="1">
      <c r="A82" s="204" t="s">
        <v>232</v>
      </c>
      <c r="B82" s="352">
        <v>84</v>
      </c>
      <c r="C82" s="352">
        <v>89</v>
      </c>
    </row>
    <row r="83" spans="1:3" ht="14.25" customHeight="1">
      <c r="A83" s="204" t="s">
        <v>233</v>
      </c>
      <c r="B83" s="352">
        <v>62</v>
      </c>
      <c r="C83" s="352">
        <v>90</v>
      </c>
    </row>
    <row r="84" spans="1:3" ht="14.25" customHeight="1">
      <c r="A84" s="204" t="s">
        <v>234</v>
      </c>
      <c r="B84" s="352">
        <v>44</v>
      </c>
      <c r="C84" s="352">
        <v>82</v>
      </c>
    </row>
    <row r="85" spans="1:3" ht="14.25" customHeight="1">
      <c r="A85" s="204" t="s">
        <v>236</v>
      </c>
      <c r="B85" s="352">
        <v>48</v>
      </c>
      <c r="C85" s="352">
        <v>84</v>
      </c>
    </row>
    <row r="86" spans="1:3" ht="14.25" customHeight="1">
      <c r="A86" s="204" t="s">
        <v>238</v>
      </c>
      <c r="B86" s="352">
        <v>48</v>
      </c>
      <c r="C86" s="352">
        <v>74</v>
      </c>
    </row>
    <row r="87" spans="1:3" ht="14.25" customHeight="1">
      <c r="A87" s="204" t="s">
        <v>239</v>
      </c>
      <c r="B87" s="352">
        <v>67</v>
      </c>
      <c r="C87" s="352">
        <v>95</v>
      </c>
    </row>
    <row r="88" spans="1:3" ht="14.25" customHeight="1">
      <c r="A88" s="204" t="s">
        <v>351</v>
      </c>
      <c r="B88" s="352">
        <v>31</v>
      </c>
      <c r="C88" s="352">
        <v>62</v>
      </c>
    </row>
    <row r="89" spans="1:3" ht="14.25" customHeight="1">
      <c r="A89" s="204" t="s">
        <v>244</v>
      </c>
      <c r="B89" s="352">
        <v>39</v>
      </c>
      <c r="C89" s="352">
        <v>23</v>
      </c>
    </row>
    <row r="90" spans="1:3" ht="14.25" customHeight="1">
      <c r="A90" s="204" t="s">
        <v>326</v>
      </c>
      <c r="B90" s="352">
        <v>35</v>
      </c>
      <c r="C90" s="352">
        <v>65</v>
      </c>
    </row>
    <row r="91" spans="1:3" ht="14.25" customHeight="1">
      <c r="A91" s="204" t="s">
        <v>247</v>
      </c>
      <c r="B91" s="352">
        <v>42</v>
      </c>
      <c r="C91" s="352">
        <v>80</v>
      </c>
    </row>
    <row r="92" spans="1:3" ht="14.25" customHeight="1">
      <c r="A92" s="204" t="s">
        <v>249</v>
      </c>
      <c r="B92" s="352">
        <v>42</v>
      </c>
      <c r="C92" s="352">
        <v>70</v>
      </c>
    </row>
    <row r="93" spans="1:3" ht="14.25" customHeight="1">
      <c r="A93" s="141" t="s">
        <v>254</v>
      </c>
      <c r="B93" s="353">
        <v>41</v>
      </c>
      <c r="C93" s="353">
        <v>27</v>
      </c>
    </row>
    <row r="94" spans="1:3" ht="14.25" customHeight="1">
      <c r="A94" s="204" t="s">
        <v>256</v>
      </c>
      <c r="B94" s="352">
        <v>84</v>
      </c>
      <c r="C94" s="352">
        <v>90</v>
      </c>
    </row>
    <row r="95" spans="1:3" ht="14.25" customHeight="1">
      <c r="A95" s="204" t="s">
        <v>327</v>
      </c>
      <c r="B95" s="352">
        <v>47</v>
      </c>
      <c r="C95" s="352">
        <v>73</v>
      </c>
    </row>
    <row r="96" spans="1:3" ht="14.25" customHeight="1">
      <c r="A96" s="204" t="s">
        <v>257</v>
      </c>
      <c r="B96" s="352">
        <v>32</v>
      </c>
      <c r="C96" s="352">
        <v>69</v>
      </c>
    </row>
    <row r="97" spans="1:3" ht="14.25" customHeight="1">
      <c r="A97" s="204" t="s">
        <v>258</v>
      </c>
      <c r="B97" s="352">
        <v>73</v>
      </c>
      <c r="C97" s="352">
        <v>89</v>
      </c>
    </row>
    <row r="98" spans="1:3" ht="14.25" customHeight="1">
      <c r="A98" s="204" t="s">
        <v>285</v>
      </c>
      <c r="B98" s="352">
        <v>42</v>
      </c>
      <c r="C98" s="352">
        <v>79</v>
      </c>
    </row>
    <row r="99" spans="1:3" ht="14.25" customHeight="1">
      <c r="A99" s="204" t="s">
        <v>260</v>
      </c>
      <c r="B99" s="352">
        <v>51</v>
      </c>
      <c r="C99" s="352">
        <v>82</v>
      </c>
    </row>
    <row r="100" spans="1:3" ht="14.25" customHeight="1">
      <c r="A100" s="204" t="s">
        <v>261</v>
      </c>
      <c r="B100" s="352">
        <v>65</v>
      </c>
      <c r="C100" s="352">
        <v>83</v>
      </c>
    </row>
    <row r="101" spans="1:3" ht="14.25" customHeight="1">
      <c r="A101" s="204" t="s">
        <v>286</v>
      </c>
      <c r="B101" s="352">
        <v>40</v>
      </c>
      <c r="C101" s="352">
        <v>78</v>
      </c>
    </row>
    <row r="102" spans="1:3" ht="14.25" customHeight="1">
      <c r="A102" s="204"/>
      <c r="B102" s="296"/>
      <c r="C102" s="296"/>
    </row>
    <row r="103" spans="1:3" ht="14.25" customHeight="1">
      <c r="A103" s="7" t="s">
        <v>105</v>
      </c>
      <c r="B103" s="293">
        <v>48</v>
      </c>
      <c r="C103" s="293">
        <v>78</v>
      </c>
    </row>
    <row r="104" spans="1:3" ht="14.25" customHeight="1">
      <c r="A104" s="32" t="s">
        <v>104</v>
      </c>
      <c r="B104" s="337">
        <v>48.932584269662918</v>
      </c>
      <c r="C104" s="337">
        <v>73.19101123595506</v>
      </c>
    </row>
    <row r="105" spans="1:3" ht="14.25" customHeight="1">
      <c r="A105" s="32"/>
      <c r="B105" s="297"/>
      <c r="C105" s="297"/>
    </row>
  </sheetData>
  <sortState xmlns:xlrd2="http://schemas.microsoft.com/office/spreadsheetml/2017/richdata2" ref="A59:A102">
    <sortCondition ref="A59:A102"/>
  </sortState>
  <phoneticPr fontId="51" type="noConversion"/>
  <conditionalFormatting sqref="B13:C102">
    <cfRule type="cellIs" dxfId="29" priority="1" operator="lessThan">
      <formula>0</formula>
    </cfRule>
    <cfRule type="cellIs" dxfId="28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2">
    <pageSetUpPr fitToPage="1"/>
  </sheetPr>
  <dimension ref="A1:J97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4.42578125" style="2" customWidth="1"/>
    <col min="2" max="2" width="22.85546875" customWidth="1"/>
    <col min="3" max="3" width="7.42578125" style="76" customWidth="1"/>
    <col min="4" max="4" width="9.42578125" style="54" customWidth="1"/>
    <col min="5" max="5" width="10.7109375" customWidth="1"/>
    <col min="6" max="6" width="19.85546875" style="41" customWidth="1"/>
    <col min="7" max="7" width="7.5703125" style="60" customWidth="1"/>
    <col min="8" max="8" width="9.140625" style="11"/>
    <col min="9" max="9" width="25.28515625" style="2" bestFit="1" customWidth="1"/>
    <col min="10" max="10" width="28.140625" style="11" bestFit="1" customWidth="1"/>
    <col min="11" max="11" width="11.28515625" bestFit="1" customWidth="1"/>
    <col min="12" max="18" width="8.7109375"/>
    <col min="19" max="19" width="14.85546875" bestFit="1" customWidth="1"/>
    <col min="20" max="21" width="8.7109375" customWidth="1"/>
  </cols>
  <sheetData>
    <row r="1" spans="1:6" ht="16.5" customHeight="1">
      <c r="B1" s="61" t="s">
        <v>596</v>
      </c>
      <c r="F1" s="128"/>
    </row>
    <row r="2" spans="1:6" ht="14.25" customHeight="1">
      <c r="B2" s="62" t="s">
        <v>597</v>
      </c>
      <c r="D2" s="37"/>
      <c r="F2" s="128"/>
    </row>
    <row r="3" spans="1:6" ht="14.25" customHeight="1">
      <c r="B3" s="62"/>
      <c r="D3" s="37"/>
      <c r="F3" s="128"/>
    </row>
    <row r="4" spans="1:6" ht="14.25" customHeight="1">
      <c r="A4" s="2">
        <v>1</v>
      </c>
      <c r="B4" s="208" t="s">
        <v>123</v>
      </c>
      <c r="C4" s="216">
        <v>52.3</v>
      </c>
      <c r="D4" s="47"/>
      <c r="F4" s="128"/>
    </row>
    <row r="5" spans="1:6" ht="14.25" customHeight="1">
      <c r="A5" s="2">
        <v>2</v>
      </c>
      <c r="B5" s="208" t="s">
        <v>244</v>
      </c>
      <c r="C5" s="216">
        <v>51</v>
      </c>
      <c r="D5" s="47"/>
      <c r="F5" s="128"/>
    </row>
    <row r="6" spans="1:6" ht="14.25" customHeight="1">
      <c r="A6" s="2">
        <v>3</v>
      </c>
      <c r="B6" s="208" t="s">
        <v>185</v>
      </c>
      <c r="C6" s="216">
        <v>48.78</v>
      </c>
      <c r="D6" s="47"/>
      <c r="F6" s="128"/>
    </row>
    <row r="7" spans="1:6" ht="14.25" customHeight="1">
      <c r="A7" s="2">
        <v>4</v>
      </c>
      <c r="B7" s="208" t="s">
        <v>158</v>
      </c>
      <c r="C7" s="216">
        <v>48.57</v>
      </c>
      <c r="D7" s="47"/>
      <c r="F7" s="128"/>
    </row>
    <row r="8" spans="1:6" ht="14.25" customHeight="1">
      <c r="A8" s="2">
        <v>5</v>
      </c>
      <c r="B8" s="208" t="s">
        <v>192</v>
      </c>
      <c r="C8" s="216">
        <v>47.41</v>
      </c>
      <c r="D8" s="47"/>
      <c r="F8" s="128"/>
    </row>
    <row r="9" spans="1:6" ht="14.25" customHeight="1">
      <c r="A9" s="2">
        <v>6</v>
      </c>
      <c r="B9" s="208" t="s">
        <v>311</v>
      </c>
      <c r="C9" s="216">
        <v>47.22</v>
      </c>
      <c r="D9" s="47"/>
      <c r="F9" s="128"/>
    </row>
    <row r="10" spans="1:6" ht="14.25" customHeight="1">
      <c r="A10" s="2">
        <v>7</v>
      </c>
      <c r="B10" s="208" t="s">
        <v>324</v>
      </c>
      <c r="C10" s="216">
        <v>46.92</v>
      </c>
      <c r="D10" s="47"/>
      <c r="F10" s="128"/>
    </row>
    <row r="11" spans="1:6" ht="14.25" customHeight="1">
      <c r="A11" s="2">
        <v>8</v>
      </c>
      <c r="B11" s="208" t="s">
        <v>569</v>
      </c>
      <c r="C11" s="216">
        <v>46.07</v>
      </c>
      <c r="D11" s="47"/>
      <c r="F11" s="128"/>
    </row>
    <row r="12" spans="1:6" ht="14.25" customHeight="1">
      <c r="A12" s="2">
        <v>9</v>
      </c>
      <c r="B12" s="208" t="s">
        <v>207</v>
      </c>
      <c r="C12" s="216">
        <v>45.86</v>
      </c>
      <c r="D12" s="47"/>
      <c r="F12" s="128"/>
    </row>
    <row r="13" spans="1:6" ht="14.25" customHeight="1">
      <c r="A13" s="2">
        <v>10</v>
      </c>
      <c r="B13" s="208" t="s">
        <v>169</v>
      </c>
      <c r="C13" s="216">
        <v>45.38</v>
      </c>
      <c r="D13" s="47"/>
      <c r="F13" s="128"/>
    </row>
    <row r="14" spans="1:6" ht="14.25" customHeight="1">
      <c r="A14" s="2">
        <v>11</v>
      </c>
      <c r="B14" s="208" t="s">
        <v>308</v>
      </c>
      <c r="C14" s="216">
        <v>44.19</v>
      </c>
      <c r="D14" s="47"/>
      <c r="F14" s="128"/>
    </row>
    <row r="15" spans="1:6" ht="14.25" customHeight="1">
      <c r="A15" s="2">
        <v>12</v>
      </c>
      <c r="B15" s="208" t="s">
        <v>326</v>
      </c>
      <c r="C15" s="216">
        <v>43.96</v>
      </c>
      <c r="D15" s="47"/>
      <c r="F15" s="128"/>
    </row>
    <row r="16" spans="1:6" ht="14.25" customHeight="1">
      <c r="A16" s="2">
        <v>13</v>
      </c>
      <c r="B16" s="208" t="s">
        <v>323</v>
      </c>
      <c r="C16" s="216">
        <v>43.89</v>
      </c>
      <c r="D16" s="47"/>
      <c r="F16" s="128"/>
    </row>
    <row r="17" spans="1:4" ht="14.25" customHeight="1">
      <c r="A17" s="2">
        <v>14</v>
      </c>
      <c r="B17" s="208" t="s">
        <v>193</v>
      </c>
      <c r="C17" s="216">
        <v>43.74</v>
      </c>
      <c r="D17" s="47"/>
    </row>
    <row r="18" spans="1:4" ht="14.25" customHeight="1">
      <c r="A18" s="2">
        <v>15</v>
      </c>
      <c r="B18" s="208" t="s">
        <v>214</v>
      </c>
      <c r="C18" s="216">
        <v>43.6</v>
      </c>
      <c r="D18" s="47"/>
    </row>
    <row r="19" spans="1:4" ht="14.25" customHeight="1">
      <c r="A19" s="2">
        <v>16</v>
      </c>
      <c r="B19" s="208" t="s">
        <v>313</v>
      </c>
      <c r="C19" s="216">
        <v>43.01</v>
      </c>
      <c r="D19" s="47"/>
    </row>
    <row r="20" spans="1:4" ht="14.25" customHeight="1">
      <c r="A20" s="2">
        <v>17</v>
      </c>
      <c r="B20" s="208" t="s">
        <v>232</v>
      </c>
      <c r="C20" s="216">
        <v>42.9</v>
      </c>
      <c r="D20" s="47"/>
    </row>
    <row r="21" spans="1:4" ht="14.25" customHeight="1">
      <c r="A21" s="2">
        <v>18</v>
      </c>
      <c r="B21" s="208" t="s">
        <v>328</v>
      </c>
      <c r="C21" s="216">
        <v>42.6</v>
      </c>
      <c r="D21" s="47"/>
    </row>
    <row r="22" spans="1:4" ht="14.25" customHeight="1">
      <c r="A22" s="2">
        <v>19</v>
      </c>
      <c r="B22" s="208" t="s">
        <v>139</v>
      </c>
      <c r="C22" s="216">
        <v>42.59</v>
      </c>
      <c r="D22" s="47"/>
    </row>
    <row r="23" spans="1:4" ht="14.25" customHeight="1">
      <c r="A23" s="2">
        <v>20</v>
      </c>
      <c r="B23" s="208" t="s">
        <v>247</v>
      </c>
      <c r="C23" s="216">
        <v>42.35</v>
      </c>
      <c r="D23" s="47"/>
    </row>
    <row r="24" spans="1:4" ht="14.25" customHeight="1">
      <c r="A24" s="2">
        <v>21</v>
      </c>
      <c r="B24" s="208" t="s">
        <v>256</v>
      </c>
      <c r="C24" s="216">
        <v>42.34</v>
      </c>
      <c r="D24" s="47"/>
    </row>
    <row r="25" spans="1:4" ht="14.25" customHeight="1">
      <c r="A25" s="2">
        <v>22</v>
      </c>
      <c r="B25" s="208" t="s">
        <v>236</v>
      </c>
      <c r="C25" s="216">
        <v>41.52</v>
      </c>
      <c r="D25" s="47"/>
    </row>
    <row r="26" spans="1:4" ht="14.25" customHeight="1">
      <c r="A26" s="2">
        <v>23</v>
      </c>
      <c r="B26" s="208" t="s">
        <v>226</v>
      </c>
      <c r="C26" s="216">
        <v>41.48</v>
      </c>
      <c r="D26" s="47"/>
    </row>
    <row r="27" spans="1:4" ht="14.25" customHeight="1">
      <c r="A27" s="2">
        <v>24</v>
      </c>
      <c r="B27" s="208" t="s">
        <v>179</v>
      </c>
      <c r="C27" s="216">
        <v>41.35</v>
      </c>
      <c r="D27" s="47"/>
    </row>
    <row r="28" spans="1:4" ht="14.25" customHeight="1">
      <c r="A28" s="2">
        <v>25</v>
      </c>
      <c r="B28" s="208" t="s">
        <v>260</v>
      </c>
      <c r="C28" s="216">
        <v>41.09</v>
      </c>
      <c r="D28" s="47"/>
    </row>
    <row r="29" spans="1:4" ht="14.25" customHeight="1">
      <c r="A29" s="2">
        <v>26</v>
      </c>
      <c r="B29" s="208" t="s">
        <v>320</v>
      </c>
      <c r="C29" s="216">
        <v>40.25</v>
      </c>
      <c r="D29" s="47"/>
    </row>
    <row r="30" spans="1:4" ht="14.25" customHeight="1">
      <c r="A30" s="2">
        <v>27</v>
      </c>
      <c r="B30" s="208" t="s">
        <v>198</v>
      </c>
      <c r="C30" s="216">
        <v>39.97</v>
      </c>
      <c r="D30" s="47"/>
    </row>
    <row r="31" spans="1:4" ht="14.25" customHeight="1">
      <c r="A31" s="2">
        <v>28</v>
      </c>
      <c r="B31" s="208" t="s">
        <v>223</v>
      </c>
      <c r="C31" s="216">
        <v>39.83</v>
      </c>
      <c r="D31" s="47"/>
    </row>
    <row r="32" spans="1:4" ht="14.25" customHeight="1">
      <c r="A32" s="2">
        <v>29</v>
      </c>
      <c r="B32" s="208" t="s">
        <v>315</v>
      </c>
      <c r="C32" s="216">
        <v>39.72</v>
      </c>
      <c r="D32" s="47"/>
    </row>
    <row r="33" spans="1:4" ht="14.25" customHeight="1">
      <c r="A33" s="2">
        <v>30</v>
      </c>
      <c r="B33" s="208" t="s">
        <v>127</v>
      </c>
      <c r="C33" s="216">
        <v>39.520000000000003</v>
      </c>
      <c r="D33" s="47"/>
    </row>
    <row r="34" spans="1:4" ht="14.25" customHeight="1">
      <c r="A34" s="2">
        <v>31</v>
      </c>
      <c r="B34" s="208" t="s">
        <v>327</v>
      </c>
      <c r="C34" s="216">
        <v>39.46</v>
      </c>
      <c r="D34" s="47"/>
    </row>
    <row r="35" spans="1:4" ht="14.25" customHeight="1">
      <c r="A35" s="2">
        <v>32</v>
      </c>
      <c r="B35" s="208" t="s">
        <v>233</v>
      </c>
      <c r="C35" s="216">
        <v>39.200000000000003</v>
      </c>
      <c r="D35" s="47"/>
    </row>
    <row r="36" spans="1:4" ht="14.25" customHeight="1">
      <c r="A36" s="2">
        <v>33</v>
      </c>
      <c r="B36" s="208" t="s">
        <v>154</v>
      </c>
      <c r="C36" s="216">
        <v>39.01</v>
      </c>
      <c r="D36" s="47"/>
    </row>
    <row r="37" spans="1:4" ht="14.25" customHeight="1">
      <c r="A37" s="2">
        <v>34</v>
      </c>
      <c r="B37" s="208" t="s">
        <v>258</v>
      </c>
      <c r="C37" s="216">
        <v>38.25</v>
      </c>
      <c r="D37" s="47"/>
    </row>
    <row r="38" spans="1:4" ht="14.25" customHeight="1">
      <c r="A38" s="2">
        <v>35</v>
      </c>
      <c r="B38" s="208" t="s">
        <v>190</v>
      </c>
      <c r="C38" s="216">
        <v>37.9</v>
      </c>
      <c r="D38" s="47"/>
    </row>
    <row r="39" spans="1:4" ht="14.25" customHeight="1">
      <c r="A39" s="2">
        <v>36</v>
      </c>
      <c r="B39" s="208" t="s">
        <v>304</v>
      </c>
      <c r="C39" s="216">
        <v>37.81</v>
      </c>
      <c r="D39" s="47"/>
    </row>
    <row r="40" spans="1:4" ht="14.25" customHeight="1">
      <c r="A40" s="2">
        <v>37</v>
      </c>
      <c r="B40" s="208" t="s">
        <v>151</v>
      </c>
      <c r="C40" s="216">
        <v>37.61</v>
      </c>
      <c r="D40" s="47"/>
    </row>
    <row r="41" spans="1:4" ht="14.25" customHeight="1">
      <c r="A41" s="2">
        <v>38</v>
      </c>
      <c r="B41" s="208" t="s">
        <v>160</v>
      </c>
      <c r="C41" s="216">
        <v>37.19</v>
      </c>
      <c r="D41" s="47"/>
    </row>
    <row r="42" spans="1:4" ht="14.25" customHeight="1">
      <c r="A42" s="2">
        <v>39</v>
      </c>
      <c r="B42" s="208" t="s">
        <v>208</v>
      </c>
      <c r="C42" s="216">
        <v>36.56</v>
      </c>
      <c r="D42" s="47"/>
    </row>
    <row r="43" spans="1:4" ht="14.25" customHeight="1">
      <c r="A43" s="2">
        <v>40</v>
      </c>
      <c r="B43" s="208" t="s">
        <v>182</v>
      </c>
      <c r="C43" s="216">
        <v>36.380000000000003</v>
      </c>
      <c r="D43" s="47"/>
    </row>
    <row r="44" spans="1:4" ht="14.25" customHeight="1">
      <c r="A44" s="2">
        <v>41</v>
      </c>
      <c r="B44" s="208" t="s">
        <v>206</v>
      </c>
      <c r="C44" s="216">
        <v>36.049999999999997</v>
      </c>
      <c r="D44" s="47"/>
    </row>
    <row r="45" spans="1:4" ht="14.25" customHeight="1">
      <c r="A45" s="2">
        <v>42</v>
      </c>
      <c r="B45" s="208" t="s">
        <v>196</v>
      </c>
      <c r="C45" s="216">
        <v>35.840000000000003</v>
      </c>
      <c r="D45" s="47"/>
    </row>
    <row r="46" spans="1:4" ht="14.25" customHeight="1">
      <c r="A46" s="2">
        <v>43</v>
      </c>
      <c r="B46" s="208" t="s">
        <v>278</v>
      </c>
      <c r="C46" s="216">
        <v>35.74</v>
      </c>
      <c r="D46" s="47"/>
    </row>
    <row r="47" spans="1:4" ht="14.25" customHeight="1">
      <c r="A47" s="2">
        <v>44</v>
      </c>
      <c r="B47" s="208" t="s">
        <v>314</v>
      </c>
      <c r="C47" s="216">
        <v>35.5</v>
      </c>
      <c r="D47" s="47"/>
    </row>
    <row r="48" spans="1:4" ht="14.25" customHeight="1">
      <c r="A48" s="2">
        <v>45</v>
      </c>
      <c r="B48" s="208" t="s">
        <v>321</v>
      </c>
      <c r="C48" s="216">
        <v>35.409999999999997</v>
      </c>
      <c r="D48" s="47"/>
    </row>
    <row r="49" spans="1:4" ht="14.25" customHeight="1">
      <c r="A49" s="2">
        <v>46</v>
      </c>
      <c r="B49" s="208" t="s">
        <v>213</v>
      </c>
      <c r="C49" s="216">
        <v>35.270000000000003</v>
      </c>
      <c r="D49" s="47"/>
    </row>
    <row r="50" spans="1:4" ht="14.25" customHeight="1">
      <c r="A50" s="2">
        <v>47</v>
      </c>
      <c r="B50" s="208" t="s">
        <v>280</v>
      </c>
      <c r="C50" s="216">
        <v>35.200000000000003</v>
      </c>
      <c r="D50" s="47"/>
    </row>
    <row r="51" spans="1:4" ht="14.25" customHeight="1">
      <c r="A51" s="2">
        <v>48</v>
      </c>
      <c r="B51" s="2" t="s">
        <v>312</v>
      </c>
      <c r="C51" s="42">
        <v>34.97</v>
      </c>
    </row>
    <row r="52" spans="1:4" ht="14.25" customHeight="1">
      <c r="A52" s="2">
        <v>49</v>
      </c>
      <c r="B52" s="2" t="s">
        <v>202</v>
      </c>
      <c r="C52" s="42">
        <v>34.869999999999997</v>
      </c>
    </row>
    <row r="53" spans="1:4" ht="14.25" customHeight="1">
      <c r="A53" s="2">
        <v>50</v>
      </c>
      <c r="B53" s="2" t="s">
        <v>118</v>
      </c>
      <c r="C53" s="42">
        <v>34.28</v>
      </c>
    </row>
    <row r="54" spans="1:4" ht="14.25" customHeight="1">
      <c r="A54" s="2">
        <v>51</v>
      </c>
      <c r="B54" s="2" t="s">
        <v>234</v>
      </c>
      <c r="C54" s="42">
        <v>34.03</v>
      </c>
    </row>
    <row r="55" spans="1:4" ht="14.25" customHeight="1">
      <c r="A55" s="2">
        <v>52</v>
      </c>
      <c r="B55" s="2" t="s">
        <v>249</v>
      </c>
      <c r="C55" s="42">
        <v>33.6</v>
      </c>
    </row>
    <row r="56" spans="1:4" ht="14.25" customHeight="1">
      <c r="A56" s="2">
        <v>53</v>
      </c>
      <c r="B56" s="2" t="s">
        <v>305</v>
      </c>
      <c r="C56" s="42">
        <v>33.58</v>
      </c>
    </row>
    <row r="57" spans="1:4" ht="14.25" customHeight="1">
      <c r="A57" s="2">
        <v>54</v>
      </c>
      <c r="B57" s="2" t="s">
        <v>325</v>
      </c>
      <c r="C57" s="42">
        <v>33.28</v>
      </c>
    </row>
    <row r="58" spans="1:4" ht="14.25" customHeight="1">
      <c r="A58" s="2">
        <v>55</v>
      </c>
      <c r="B58" s="2" t="s">
        <v>319</v>
      </c>
      <c r="C58" s="42">
        <v>33.119999999999997</v>
      </c>
    </row>
    <row r="59" spans="1:4" ht="14.25" customHeight="1">
      <c r="A59" s="2">
        <v>56</v>
      </c>
      <c r="B59" s="2" t="s">
        <v>307</v>
      </c>
      <c r="C59" s="42">
        <v>32.049999999999997</v>
      </c>
    </row>
    <row r="60" spans="1:4" ht="14.25" customHeight="1">
      <c r="A60" s="2">
        <v>57</v>
      </c>
      <c r="B60" s="2" t="s">
        <v>285</v>
      </c>
      <c r="C60" s="42">
        <v>32</v>
      </c>
    </row>
    <row r="61" spans="1:4" ht="14.25" customHeight="1">
      <c r="A61" s="2">
        <v>58</v>
      </c>
      <c r="B61" s="2" t="s">
        <v>239</v>
      </c>
      <c r="C61" s="42">
        <v>31.48</v>
      </c>
    </row>
    <row r="62" spans="1:4" ht="14.25" customHeight="1">
      <c r="A62" s="2">
        <v>59</v>
      </c>
      <c r="B62" s="2" t="s">
        <v>168</v>
      </c>
      <c r="C62" s="42">
        <v>31.46</v>
      </c>
    </row>
    <row r="63" spans="1:4" ht="14.25" customHeight="1">
      <c r="A63" s="2">
        <v>60</v>
      </c>
      <c r="B63" s="2" t="s">
        <v>316</v>
      </c>
      <c r="C63" s="42">
        <v>31.21</v>
      </c>
    </row>
    <row r="64" spans="1:4" ht="14.25" customHeight="1">
      <c r="A64" s="2">
        <v>61</v>
      </c>
      <c r="B64" s="2" t="s">
        <v>210</v>
      </c>
      <c r="C64" s="42">
        <v>31.13</v>
      </c>
    </row>
    <row r="65" spans="1:3" ht="14.25" customHeight="1">
      <c r="A65" s="2">
        <v>62</v>
      </c>
      <c r="B65" s="2" t="s">
        <v>318</v>
      </c>
      <c r="C65" s="42">
        <v>29.86</v>
      </c>
    </row>
    <row r="66" spans="1:3" ht="14.25" customHeight="1">
      <c r="A66" s="2">
        <v>63</v>
      </c>
      <c r="B66" s="2" t="s">
        <v>173</v>
      </c>
      <c r="C66" s="42">
        <v>29.64</v>
      </c>
    </row>
    <row r="67" spans="1:3" ht="14.25" customHeight="1">
      <c r="A67" s="2">
        <v>64</v>
      </c>
      <c r="B67" s="2" t="s">
        <v>283</v>
      </c>
      <c r="C67" s="42">
        <v>29.44</v>
      </c>
    </row>
    <row r="68" spans="1:3" ht="14.25" customHeight="1">
      <c r="A68" s="2">
        <v>65</v>
      </c>
      <c r="B68" s="2" t="s">
        <v>309</v>
      </c>
      <c r="C68" s="42">
        <v>28.96</v>
      </c>
    </row>
    <row r="69" spans="1:3" ht="14.25" customHeight="1">
      <c r="A69" s="2">
        <v>66</v>
      </c>
      <c r="B69" s="2" t="s">
        <v>257</v>
      </c>
      <c r="C69" s="42">
        <v>28.73</v>
      </c>
    </row>
    <row r="70" spans="1:3" ht="14.25" customHeight="1">
      <c r="A70" s="2">
        <v>67</v>
      </c>
      <c r="B70" s="2" t="s">
        <v>322</v>
      </c>
      <c r="C70" s="42">
        <v>28.67</v>
      </c>
    </row>
    <row r="71" spans="1:3" ht="14.25" customHeight="1">
      <c r="A71" s="2">
        <v>68</v>
      </c>
      <c r="B71" s="2" t="s">
        <v>218</v>
      </c>
      <c r="C71" s="42">
        <v>28.48</v>
      </c>
    </row>
    <row r="72" spans="1:3" ht="14.25" customHeight="1">
      <c r="A72" s="2">
        <v>69</v>
      </c>
      <c r="B72" s="2" t="s">
        <v>199</v>
      </c>
      <c r="C72" s="42">
        <v>28.2</v>
      </c>
    </row>
    <row r="73" spans="1:3" ht="14.25" customHeight="1">
      <c r="A73" s="2">
        <v>70</v>
      </c>
      <c r="B73" s="2" t="s">
        <v>126</v>
      </c>
      <c r="C73" s="42">
        <v>28.17</v>
      </c>
    </row>
    <row r="74" spans="1:3" ht="14.25" customHeight="1">
      <c r="A74" s="2">
        <v>71</v>
      </c>
      <c r="B74" s="2" t="s">
        <v>165</v>
      </c>
      <c r="C74" s="42">
        <v>27.96</v>
      </c>
    </row>
    <row r="75" spans="1:3" ht="14.25" customHeight="1">
      <c r="A75" s="2">
        <v>72</v>
      </c>
      <c r="B75" s="2" t="s">
        <v>186</v>
      </c>
      <c r="C75" s="42">
        <v>26.36</v>
      </c>
    </row>
    <row r="76" spans="1:3" ht="14.25" customHeight="1">
      <c r="A76" s="2">
        <v>73</v>
      </c>
      <c r="B76" s="2" t="s">
        <v>306</v>
      </c>
      <c r="C76" s="42">
        <v>26.31</v>
      </c>
    </row>
    <row r="77" spans="1:3" ht="14.25" customHeight="1">
      <c r="A77" s="2">
        <v>74</v>
      </c>
      <c r="B77" s="2" t="s">
        <v>220</v>
      </c>
      <c r="C77" s="42">
        <v>26.23</v>
      </c>
    </row>
    <row r="78" spans="1:3" ht="14.25" customHeight="1">
      <c r="A78" s="2">
        <v>75</v>
      </c>
      <c r="B78" s="2" t="s">
        <v>144</v>
      </c>
      <c r="C78" s="42">
        <v>25.89</v>
      </c>
    </row>
    <row r="79" spans="1:3" ht="14.25" customHeight="1">
      <c r="A79" s="2">
        <v>76</v>
      </c>
      <c r="B79" s="2" t="s">
        <v>284</v>
      </c>
      <c r="C79" s="42">
        <v>25.43</v>
      </c>
    </row>
    <row r="80" spans="1:3" ht="14.25" customHeight="1">
      <c r="A80" s="2">
        <v>77</v>
      </c>
      <c r="B80" s="2" t="s">
        <v>261</v>
      </c>
      <c r="C80" s="42">
        <v>25.01</v>
      </c>
    </row>
    <row r="81" spans="1:3" ht="14.25" customHeight="1">
      <c r="A81" s="2">
        <v>78</v>
      </c>
      <c r="B81" s="2" t="s">
        <v>225</v>
      </c>
      <c r="C81" s="42">
        <v>24.93</v>
      </c>
    </row>
    <row r="82" spans="1:3" ht="14.25" customHeight="1">
      <c r="A82" s="2">
        <v>79</v>
      </c>
      <c r="B82" s="2" t="s">
        <v>148</v>
      </c>
      <c r="C82" s="42">
        <v>24.72</v>
      </c>
    </row>
    <row r="83" spans="1:3" ht="14.25" customHeight="1">
      <c r="A83" s="2">
        <v>80</v>
      </c>
      <c r="B83" s="2" t="s">
        <v>229</v>
      </c>
      <c r="C83" s="42">
        <v>24.68</v>
      </c>
    </row>
    <row r="84" spans="1:3" ht="14.25" customHeight="1">
      <c r="A84" s="2">
        <v>81</v>
      </c>
      <c r="B84" s="2" t="s">
        <v>282</v>
      </c>
      <c r="C84" s="42">
        <v>24.14</v>
      </c>
    </row>
    <row r="85" spans="1:3" ht="14.25" customHeight="1">
      <c r="A85" s="2">
        <v>82</v>
      </c>
      <c r="B85" s="2" t="s">
        <v>238</v>
      </c>
      <c r="C85" s="42">
        <v>23.84</v>
      </c>
    </row>
    <row r="86" spans="1:3" ht="14.25" customHeight="1">
      <c r="A86" s="2">
        <v>83</v>
      </c>
      <c r="B86" s="2" t="s">
        <v>224</v>
      </c>
      <c r="C86" s="42">
        <v>23.41</v>
      </c>
    </row>
    <row r="87" spans="1:3" ht="14.25" customHeight="1">
      <c r="A87" s="2">
        <v>84</v>
      </c>
      <c r="B87" s="2" t="s">
        <v>317</v>
      </c>
      <c r="C87" s="42">
        <v>23.36</v>
      </c>
    </row>
    <row r="88" spans="1:3" ht="14.25" customHeight="1">
      <c r="A88" s="2">
        <v>85</v>
      </c>
      <c r="B88" s="2" t="s">
        <v>219</v>
      </c>
      <c r="C88" s="42">
        <v>23.25</v>
      </c>
    </row>
    <row r="89" spans="1:3" ht="14.25" customHeight="1">
      <c r="A89" s="2">
        <v>86</v>
      </c>
      <c r="B89" s="2" t="s">
        <v>254</v>
      </c>
      <c r="C89" s="42">
        <v>22.97</v>
      </c>
    </row>
    <row r="90" spans="1:3" ht="14.25" customHeight="1">
      <c r="A90" s="2">
        <v>87</v>
      </c>
      <c r="B90" s="2" t="s">
        <v>203</v>
      </c>
      <c r="C90" s="42">
        <v>22.12</v>
      </c>
    </row>
    <row r="91" spans="1:3" ht="14.25" customHeight="1">
      <c r="A91" s="2">
        <v>88</v>
      </c>
      <c r="B91" s="2" t="s">
        <v>170</v>
      </c>
      <c r="C91" s="42">
        <v>21.85</v>
      </c>
    </row>
    <row r="92" spans="1:3" ht="14.25" customHeight="1">
      <c r="A92" s="2">
        <v>89</v>
      </c>
      <c r="B92" s="2" t="s">
        <v>310</v>
      </c>
      <c r="C92" s="42">
        <v>21.46</v>
      </c>
    </row>
    <row r="93" spans="1:3" ht="14.25" customHeight="1">
      <c r="B93" s="2"/>
      <c r="C93" s="42"/>
    </row>
    <row r="94" spans="1:3" ht="14.25" customHeight="1">
      <c r="B94" s="128"/>
      <c r="C94" s="219"/>
    </row>
    <row r="95" spans="1:3" ht="14.25" customHeight="1">
      <c r="B95" s="128"/>
      <c r="C95" s="219"/>
    </row>
    <row r="96" spans="1:3" ht="14.25" customHeight="1">
      <c r="B96" s="7" t="s">
        <v>105</v>
      </c>
      <c r="C96" s="251">
        <v>35.409999999999997</v>
      </c>
    </row>
    <row r="97" spans="2:3" ht="14.25" customHeight="1">
      <c r="B97" s="7" t="s">
        <v>104</v>
      </c>
      <c r="C97" s="251">
        <v>35.20134831460674</v>
      </c>
    </row>
  </sheetData>
  <sortState xmlns:xlrd2="http://schemas.microsoft.com/office/spreadsheetml/2017/richdata2" ref="I4:J93">
    <sortCondition descending="1" ref="J4:J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3">
    <pageSetUpPr fitToPage="1"/>
  </sheetPr>
  <dimension ref="A1:H97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4.85546875" style="2" customWidth="1"/>
    <col min="2" max="2" width="18.85546875" customWidth="1"/>
    <col min="3" max="3" width="7.5703125" style="65" customWidth="1"/>
    <col min="4" max="4" width="9.42578125" style="65" customWidth="1"/>
    <col min="5" max="5" width="10.5703125" style="2" customWidth="1"/>
    <col min="6" max="6" width="21.42578125" customWidth="1"/>
    <col min="7" max="7" width="7.28515625" style="65" customWidth="1"/>
    <col min="8" max="8" width="20.5703125" style="59" bestFit="1" customWidth="1"/>
    <col min="9" max="9" width="31.42578125" customWidth="1"/>
    <col min="10" max="10" width="28.42578125" bestFit="1" customWidth="1"/>
  </cols>
  <sheetData>
    <row r="1" spans="1:4" ht="16.5" customHeight="1">
      <c r="B1" s="9" t="s">
        <v>598</v>
      </c>
    </row>
    <row r="2" spans="1:4" ht="14.25" customHeight="1">
      <c r="B2" s="3" t="s">
        <v>599</v>
      </c>
    </row>
    <row r="3" spans="1:4" ht="14.25" customHeight="1">
      <c r="B3" s="3"/>
    </row>
    <row r="4" spans="1:4" ht="14.25" customHeight="1">
      <c r="A4" s="2">
        <v>1</v>
      </c>
      <c r="B4" s="208" t="s">
        <v>218</v>
      </c>
      <c r="C4" s="209">
        <v>3383</v>
      </c>
      <c r="D4" s="47"/>
    </row>
    <row r="5" spans="1:4" ht="14.25" customHeight="1">
      <c r="A5" s="2">
        <v>2</v>
      </c>
      <c r="B5" s="208" t="s">
        <v>260</v>
      </c>
      <c r="C5" s="209">
        <v>1140</v>
      </c>
      <c r="D5" s="47"/>
    </row>
    <row r="6" spans="1:4" ht="14.25" customHeight="1">
      <c r="A6" s="2">
        <v>3</v>
      </c>
      <c r="B6" s="208" t="s">
        <v>322</v>
      </c>
      <c r="C6" s="209">
        <v>679</v>
      </c>
      <c r="D6" s="47"/>
    </row>
    <row r="7" spans="1:4" ht="14.25" customHeight="1">
      <c r="A7" s="2">
        <v>4</v>
      </c>
      <c r="B7" s="208" t="s">
        <v>239</v>
      </c>
      <c r="C7" s="209">
        <v>503</v>
      </c>
      <c r="D7" s="47"/>
    </row>
    <row r="8" spans="1:4" ht="14.25" customHeight="1">
      <c r="A8" s="2">
        <v>5</v>
      </c>
      <c r="B8" s="208" t="s">
        <v>198</v>
      </c>
      <c r="C8" s="209">
        <v>382</v>
      </c>
      <c r="D8" s="47"/>
    </row>
    <row r="9" spans="1:4" ht="14.25" customHeight="1">
      <c r="A9" s="2">
        <v>6</v>
      </c>
      <c r="B9" s="208" t="s">
        <v>325</v>
      </c>
      <c r="C9" s="209">
        <v>361</v>
      </c>
      <c r="D9" s="47"/>
    </row>
    <row r="10" spans="1:4" ht="14.25" customHeight="1">
      <c r="A10" s="2">
        <v>7</v>
      </c>
      <c r="B10" s="208" t="s">
        <v>310</v>
      </c>
      <c r="C10" s="209">
        <v>303</v>
      </c>
      <c r="D10" s="47"/>
    </row>
    <row r="11" spans="1:4" ht="14.25" customHeight="1">
      <c r="A11" s="2">
        <v>8</v>
      </c>
      <c r="B11" s="208" t="s">
        <v>306</v>
      </c>
      <c r="C11" s="209">
        <v>288</v>
      </c>
      <c r="D11" s="47"/>
    </row>
    <row r="12" spans="1:4" ht="14.25" customHeight="1">
      <c r="A12" s="2">
        <v>9</v>
      </c>
      <c r="B12" s="208" t="s">
        <v>327</v>
      </c>
      <c r="C12" s="209">
        <v>277</v>
      </c>
      <c r="D12" s="47"/>
    </row>
    <row r="13" spans="1:4" ht="14.25" customHeight="1">
      <c r="A13" s="2">
        <v>10</v>
      </c>
      <c r="B13" s="208" t="s">
        <v>282</v>
      </c>
      <c r="C13" s="209">
        <v>268</v>
      </c>
      <c r="D13" s="47"/>
    </row>
    <row r="14" spans="1:4" ht="14.25" customHeight="1">
      <c r="A14" s="2">
        <v>11</v>
      </c>
      <c r="B14" s="208" t="s">
        <v>186</v>
      </c>
      <c r="C14" s="209">
        <v>244</v>
      </c>
      <c r="D14" s="47"/>
    </row>
    <row r="15" spans="1:4" ht="14.25" customHeight="1">
      <c r="A15" s="2">
        <v>12</v>
      </c>
      <c r="B15" s="208" t="s">
        <v>312</v>
      </c>
      <c r="C15" s="209">
        <v>189</v>
      </c>
      <c r="D15" s="47"/>
    </row>
    <row r="16" spans="1:4" ht="14.25" customHeight="1">
      <c r="A16" s="2">
        <v>13</v>
      </c>
      <c r="B16" s="208" t="s">
        <v>203</v>
      </c>
      <c r="C16" s="209">
        <v>189</v>
      </c>
      <c r="D16" s="47"/>
    </row>
    <row r="17" spans="1:4" ht="14.25" customHeight="1">
      <c r="A17" s="2">
        <v>14</v>
      </c>
      <c r="B17" s="208" t="s">
        <v>257</v>
      </c>
      <c r="C17" s="209">
        <v>185</v>
      </c>
      <c r="D17" s="47"/>
    </row>
    <row r="18" spans="1:4" ht="14.25" customHeight="1">
      <c r="A18" s="2">
        <v>15</v>
      </c>
      <c r="B18" s="208" t="s">
        <v>165</v>
      </c>
      <c r="C18" s="209">
        <v>176</v>
      </c>
      <c r="D18" s="47"/>
    </row>
    <row r="19" spans="1:4" ht="14.25" customHeight="1">
      <c r="A19" s="2">
        <v>16</v>
      </c>
      <c r="B19" s="208" t="s">
        <v>232</v>
      </c>
      <c r="C19" s="209">
        <v>174</v>
      </c>
      <c r="D19" s="47"/>
    </row>
    <row r="20" spans="1:4" ht="14.25" customHeight="1">
      <c r="A20" s="2">
        <v>17</v>
      </c>
      <c r="B20" s="208" t="s">
        <v>224</v>
      </c>
      <c r="C20" s="209">
        <v>173</v>
      </c>
      <c r="D20" s="47"/>
    </row>
    <row r="21" spans="1:4" ht="14.25" customHeight="1">
      <c r="A21" s="2">
        <v>18</v>
      </c>
      <c r="B21" s="208" t="s">
        <v>261</v>
      </c>
      <c r="C21" s="209">
        <v>169</v>
      </c>
      <c r="D21" s="47"/>
    </row>
    <row r="22" spans="1:4" ht="14.25" customHeight="1">
      <c r="A22" s="2">
        <v>19</v>
      </c>
      <c r="B22" s="208" t="s">
        <v>318</v>
      </c>
      <c r="C22" s="209">
        <v>166</v>
      </c>
      <c r="D22" s="47"/>
    </row>
    <row r="23" spans="1:4" ht="14.25" customHeight="1">
      <c r="A23" s="2">
        <v>20</v>
      </c>
      <c r="B23" s="208" t="s">
        <v>226</v>
      </c>
      <c r="C23" s="209">
        <v>165</v>
      </c>
      <c r="D23" s="47"/>
    </row>
    <row r="24" spans="1:4" ht="14.25" customHeight="1">
      <c r="A24" s="2">
        <v>21</v>
      </c>
      <c r="B24" s="208" t="s">
        <v>173</v>
      </c>
      <c r="C24" s="209">
        <v>162</v>
      </c>
      <c r="D24" s="47"/>
    </row>
    <row r="25" spans="1:4" ht="14.25" customHeight="1">
      <c r="A25" s="2">
        <v>22</v>
      </c>
      <c r="B25" s="208" t="s">
        <v>324</v>
      </c>
      <c r="C25" s="209">
        <v>151</v>
      </c>
      <c r="D25" s="47"/>
    </row>
    <row r="26" spans="1:4" ht="14.25" customHeight="1">
      <c r="A26" s="2">
        <v>23</v>
      </c>
      <c r="B26" s="208" t="s">
        <v>220</v>
      </c>
      <c r="C26" s="209">
        <v>149</v>
      </c>
      <c r="D26" s="47"/>
    </row>
    <row r="27" spans="1:4" ht="14.25" customHeight="1">
      <c r="A27" s="2">
        <v>24</v>
      </c>
      <c r="B27" s="208" t="s">
        <v>284</v>
      </c>
      <c r="C27" s="209">
        <v>147</v>
      </c>
      <c r="D27" s="47"/>
    </row>
    <row r="28" spans="1:4" ht="14.25" customHeight="1">
      <c r="A28" s="2">
        <v>25</v>
      </c>
      <c r="B28" s="208" t="s">
        <v>320</v>
      </c>
      <c r="C28" s="209">
        <v>145</v>
      </c>
      <c r="D28" s="47"/>
    </row>
    <row r="29" spans="1:4" ht="14.25" customHeight="1">
      <c r="A29" s="2">
        <v>26</v>
      </c>
      <c r="B29" s="208" t="s">
        <v>207</v>
      </c>
      <c r="C29" s="209">
        <v>144</v>
      </c>
      <c r="D29" s="47"/>
    </row>
    <row r="30" spans="1:4" ht="14.25" customHeight="1">
      <c r="A30" s="2">
        <v>27</v>
      </c>
      <c r="B30" s="208" t="s">
        <v>151</v>
      </c>
      <c r="C30" s="209">
        <v>139</v>
      </c>
      <c r="D30" s="47"/>
    </row>
    <row r="31" spans="1:4" ht="14.25" customHeight="1">
      <c r="A31" s="2">
        <v>28</v>
      </c>
      <c r="B31" s="208" t="s">
        <v>233</v>
      </c>
      <c r="C31" s="209">
        <v>136</v>
      </c>
      <c r="D31" s="47"/>
    </row>
    <row r="32" spans="1:4" ht="14.25" customHeight="1">
      <c r="A32" s="2">
        <v>29</v>
      </c>
      <c r="B32" s="208" t="s">
        <v>169</v>
      </c>
      <c r="C32" s="209">
        <v>132</v>
      </c>
      <c r="D32" s="47"/>
    </row>
    <row r="33" spans="1:4" ht="14.25" customHeight="1">
      <c r="A33" s="2">
        <v>30</v>
      </c>
      <c r="B33" s="208" t="s">
        <v>199</v>
      </c>
      <c r="C33" s="209">
        <v>132</v>
      </c>
      <c r="D33" s="47"/>
    </row>
    <row r="34" spans="1:4" ht="14.25" customHeight="1">
      <c r="A34" s="2">
        <v>31</v>
      </c>
      <c r="B34" s="208" t="s">
        <v>229</v>
      </c>
      <c r="C34" s="209">
        <v>127</v>
      </c>
      <c r="D34" s="47"/>
    </row>
    <row r="35" spans="1:4" ht="14.25" customHeight="1">
      <c r="A35" s="2">
        <v>32</v>
      </c>
      <c r="B35" s="208" t="s">
        <v>314</v>
      </c>
      <c r="C35" s="209">
        <v>122</v>
      </c>
      <c r="D35" s="47"/>
    </row>
    <row r="36" spans="1:4" ht="14.25" customHeight="1">
      <c r="A36" s="2">
        <v>33</v>
      </c>
      <c r="B36" s="208" t="s">
        <v>307</v>
      </c>
      <c r="C36" s="209">
        <v>121</v>
      </c>
      <c r="D36" s="47"/>
    </row>
    <row r="37" spans="1:4" ht="14.25" customHeight="1">
      <c r="A37" s="2">
        <v>34</v>
      </c>
      <c r="B37" s="208" t="s">
        <v>219</v>
      </c>
      <c r="C37" s="209">
        <v>120</v>
      </c>
      <c r="D37" s="47"/>
    </row>
    <row r="38" spans="1:4" ht="14.25" customHeight="1">
      <c r="A38" s="2">
        <v>35</v>
      </c>
      <c r="B38" s="208" t="s">
        <v>309</v>
      </c>
      <c r="C38" s="209">
        <v>110</v>
      </c>
      <c r="D38" s="47"/>
    </row>
    <row r="39" spans="1:4" ht="14.25" customHeight="1">
      <c r="A39" s="2">
        <v>36</v>
      </c>
      <c r="B39" s="208" t="s">
        <v>154</v>
      </c>
      <c r="C39" s="209">
        <v>106</v>
      </c>
      <c r="D39" s="47"/>
    </row>
    <row r="40" spans="1:4" ht="14.25" customHeight="1">
      <c r="A40" s="2">
        <v>37</v>
      </c>
      <c r="B40" s="208" t="s">
        <v>311</v>
      </c>
      <c r="C40" s="209">
        <v>105</v>
      </c>
      <c r="D40" s="47"/>
    </row>
    <row r="41" spans="1:4" ht="14.25" customHeight="1">
      <c r="A41" s="2">
        <v>38</v>
      </c>
      <c r="B41" s="208" t="s">
        <v>210</v>
      </c>
      <c r="C41" s="209">
        <v>101</v>
      </c>
      <c r="D41" s="47"/>
    </row>
    <row r="42" spans="1:4" ht="14.25" customHeight="1">
      <c r="A42" s="2">
        <v>39</v>
      </c>
      <c r="B42" s="208" t="s">
        <v>319</v>
      </c>
      <c r="C42" s="209">
        <v>88</v>
      </c>
      <c r="D42" s="47"/>
    </row>
    <row r="43" spans="1:4" ht="14.25" customHeight="1">
      <c r="A43" s="2">
        <v>40</v>
      </c>
      <c r="B43" s="208" t="s">
        <v>160</v>
      </c>
      <c r="C43" s="209">
        <v>86</v>
      </c>
      <c r="D43" s="47"/>
    </row>
    <row r="44" spans="1:4" ht="14.25" customHeight="1">
      <c r="A44" s="2">
        <v>41</v>
      </c>
      <c r="B44" s="208" t="s">
        <v>254</v>
      </c>
      <c r="C44" s="209">
        <v>81</v>
      </c>
      <c r="D44" s="47"/>
    </row>
    <row r="45" spans="1:4" ht="14.25" customHeight="1">
      <c r="A45" s="2">
        <v>42</v>
      </c>
      <c r="B45" s="208" t="s">
        <v>118</v>
      </c>
      <c r="C45" s="209">
        <v>79</v>
      </c>
      <c r="D45" s="47"/>
    </row>
    <row r="46" spans="1:4" ht="14.25" customHeight="1">
      <c r="A46" s="2">
        <v>43</v>
      </c>
      <c r="B46" s="208" t="s">
        <v>278</v>
      </c>
      <c r="C46" s="209">
        <v>76</v>
      </c>
      <c r="D46" s="47"/>
    </row>
    <row r="47" spans="1:4" ht="14.25" customHeight="1">
      <c r="A47" s="2">
        <v>44</v>
      </c>
      <c r="B47" s="208" t="s">
        <v>225</v>
      </c>
      <c r="C47" s="209">
        <v>74</v>
      </c>
      <c r="D47" s="47"/>
    </row>
    <row r="48" spans="1:4" ht="14.25" customHeight="1">
      <c r="A48" s="2">
        <v>45</v>
      </c>
      <c r="B48" s="208" t="s">
        <v>170</v>
      </c>
      <c r="C48" s="209">
        <v>72</v>
      </c>
      <c r="D48" s="47"/>
    </row>
    <row r="49" spans="1:4" ht="14.25" customHeight="1">
      <c r="A49" s="2">
        <v>46</v>
      </c>
      <c r="B49" s="208" t="s">
        <v>313</v>
      </c>
      <c r="C49" s="209">
        <v>70</v>
      </c>
      <c r="D49" s="47"/>
    </row>
    <row r="50" spans="1:4" ht="14.25" customHeight="1">
      <c r="A50" s="2">
        <v>47</v>
      </c>
      <c r="B50" s="208" t="s">
        <v>304</v>
      </c>
      <c r="C50" s="209">
        <v>69</v>
      </c>
      <c r="D50" s="47"/>
    </row>
    <row r="51" spans="1:4" ht="14.25" customHeight="1">
      <c r="A51" s="2">
        <v>48</v>
      </c>
      <c r="B51" s="2" t="s">
        <v>202</v>
      </c>
      <c r="C51" s="33">
        <v>67</v>
      </c>
    </row>
    <row r="52" spans="1:4" ht="14.25" customHeight="1">
      <c r="A52" s="2">
        <v>49</v>
      </c>
      <c r="B52" s="2" t="s">
        <v>317</v>
      </c>
      <c r="C52" s="33">
        <v>66</v>
      </c>
    </row>
    <row r="53" spans="1:4" ht="14.25" customHeight="1">
      <c r="A53" s="2">
        <v>50</v>
      </c>
      <c r="B53" s="2" t="s">
        <v>258</v>
      </c>
      <c r="C53" s="33">
        <v>61</v>
      </c>
    </row>
    <row r="54" spans="1:4" ht="14.25" customHeight="1">
      <c r="A54" s="2">
        <v>51</v>
      </c>
      <c r="B54" s="2" t="s">
        <v>182</v>
      </c>
      <c r="C54" s="33">
        <v>59</v>
      </c>
    </row>
    <row r="55" spans="1:4" ht="14.25" customHeight="1">
      <c r="A55" s="2">
        <v>52</v>
      </c>
      <c r="B55" s="2" t="s">
        <v>206</v>
      </c>
      <c r="C55" s="33">
        <v>58</v>
      </c>
    </row>
    <row r="56" spans="1:4" ht="14.25" customHeight="1">
      <c r="A56" s="2">
        <v>53</v>
      </c>
      <c r="B56" s="2" t="s">
        <v>321</v>
      </c>
      <c r="C56" s="33">
        <v>55</v>
      </c>
    </row>
    <row r="57" spans="1:4" ht="14.25" customHeight="1">
      <c r="A57" s="2">
        <v>54</v>
      </c>
      <c r="B57" s="2" t="s">
        <v>144</v>
      </c>
      <c r="C57" s="33">
        <v>52</v>
      </c>
    </row>
    <row r="58" spans="1:4" ht="14.25" customHeight="1">
      <c r="A58" s="2">
        <v>55</v>
      </c>
      <c r="B58" s="2" t="s">
        <v>208</v>
      </c>
      <c r="C58" s="33">
        <v>48</v>
      </c>
    </row>
    <row r="59" spans="1:4" ht="14.25" customHeight="1">
      <c r="A59" s="2">
        <v>56</v>
      </c>
      <c r="B59" s="2" t="s">
        <v>148</v>
      </c>
      <c r="C59" s="33">
        <v>47</v>
      </c>
    </row>
    <row r="60" spans="1:4" ht="14.25" customHeight="1">
      <c r="A60" s="2">
        <v>57</v>
      </c>
      <c r="B60" s="2" t="s">
        <v>249</v>
      </c>
      <c r="C60" s="33">
        <v>46</v>
      </c>
    </row>
    <row r="61" spans="1:4" ht="14.25" customHeight="1">
      <c r="A61" s="2">
        <v>58</v>
      </c>
      <c r="B61" s="2" t="s">
        <v>193</v>
      </c>
      <c r="C61" s="33">
        <v>45</v>
      </c>
    </row>
    <row r="62" spans="1:4" ht="14.25" customHeight="1">
      <c r="A62" s="2">
        <v>59</v>
      </c>
      <c r="B62" s="2" t="s">
        <v>280</v>
      </c>
      <c r="C62" s="33">
        <v>44</v>
      </c>
    </row>
    <row r="63" spans="1:4" ht="14.25" customHeight="1">
      <c r="A63" s="2">
        <v>60</v>
      </c>
      <c r="B63" s="2" t="s">
        <v>315</v>
      </c>
      <c r="C63" s="33">
        <v>42</v>
      </c>
    </row>
    <row r="64" spans="1:4" ht="14.25" customHeight="1">
      <c r="A64" s="2">
        <v>61</v>
      </c>
      <c r="B64" s="2" t="s">
        <v>236</v>
      </c>
      <c r="C64" s="33">
        <v>42</v>
      </c>
    </row>
    <row r="65" spans="1:3" ht="14.25" customHeight="1">
      <c r="A65" s="2">
        <v>62</v>
      </c>
      <c r="B65" s="2" t="s">
        <v>127</v>
      </c>
      <c r="C65" s="33">
        <v>39</v>
      </c>
    </row>
    <row r="66" spans="1:3" ht="14.25" customHeight="1">
      <c r="A66" s="2">
        <v>63</v>
      </c>
      <c r="B66" s="2" t="s">
        <v>190</v>
      </c>
      <c r="C66" s="33">
        <v>38</v>
      </c>
    </row>
    <row r="67" spans="1:3" ht="14.25" customHeight="1">
      <c r="A67" s="2">
        <v>64</v>
      </c>
      <c r="B67" s="2" t="s">
        <v>285</v>
      </c>
      <c r="C67" s="33">
        <v>37</v>
      </c>
    </row>
    <row r="68" spans="1:3" ht="14.25" customHeight="1">
      <c r="A68" s="2">
        <v>65</v>
      </c>
      <c r="B68" s="2" t="s">
        <v>316</v>
      </c>
      <c r="C68" s="33">
        <v>36</v>
      </c>
    </row>
    <row r="69" spans="1:3" ht="14.25" customHeight="1">
      <c r="A69" s="2">
        <v>66</v>
      </c>
      <c r="B69" s="2" t="s">
        <v>238</v>
      </c>
      <c r="C69" s="33">
        <v>34</v>
      </c>
    </row>
    <row r="70" spans="1:3" ht="14.25" customHeight="1">
      <c r="A70" s="2">
        <v>67</v>
      </c>
      <c r="B70" s="2" t="s">
        <v>256</v>
      </c>
      <c r="C70" s="33">
        <v>34</v>
      </c>
    </row>
    <row r="71" spans="1:3" ht="14.25" customHeight="1">
      <c r="A71" s="2">
        <v>68</v>
      </c>
      <c r="B71" s="2" t="s">
        <v>323</v>
      </c>
      <c r="C71" s="33">
        <v>33</v>
      </c>
    </row>
    <row r="72" spans="1:3" ht="14.25" customHeight="1">
      <c r="A72" s="2">
        <v>69</v>
      </c>
      <c r="B72" s="2" t="s">
        <v>158</v>
      </c>
      <c r="C72" s="33">
        <v>32</v>
      </c>
    </row>
    <row r="73" spans="1:3" ht="14.25" customHeight="1">
      <c r="A73" s="2">
        <v>70</v>
      </c>
      <c r="B73" s="2" t="s">
        <v>192</v>
      </c>
      <c r="C73" s="33">
        <v>28</v>
      </c>
    </row>
    <row r="74" spans="1:3" ht="14.25" customHeight="1">
      <c r="A74" s="2">
        <v>71</v>
      </c>
      <c r="B74" s="2" t="s">
        <v>328</v>
      </c>
      <c r="C74" s="33">
        <v>27</v>
      </c>
    </row>
    <row r="75" spans="1:3" ht="14.25" customHeight="1">
      <c r="A75" s="2">
        <v>72</v>
      </c>
      <c r="B75" s="2" t="s">
        <v>196</v>
      </c>
      <c r="C75" s="33">
        <v>22</v>
      </c>
    </row>
    <row r="76" spans="1:3" ht="14.25" customHeight="1">
      <c r="A76" s="2">
        <v>73</v>
      </c>
      <c r="B76" s="2" t="s">
        <v>569</v>
      </c>
      <c r="C76" s="33">
        <v>22</v>
      </c>
    </row>
    <row r="77" spans="1:3" ht="14.25" customHeight="1">
      <c r="A77" s="2">
        <v>74</v>
      </c>
      <c r="B77" s="2" t="s">
        <v>168</v>
      </c>
      <c r="C77" s="33">
        <v>21</v>
      </c>
    </row>
    <row r="78" spans="1:3" ht="14.25" customHeight="1">
      <c r="A78" s="2">
        <v>75</v>
      </c>
      <c r="B78" s="2" t="s">
        <v>244</v>
      </c>
      <c r="C78" s="33">
        <v>18</v>
      </c>
    </row>
    <row r="79" spans="1:3" ht="14.25" customHeight="1">
      <c r="A79" s="2">
        <v>76</v>
      </c>
      <c r="B79" s="2" t="s">
        <v>247</v>
      </c>
      <c r="C79" s="33">
        <v>18</v>
      </c>
    </row>
    <row r="80" spans="1:3" ht="14.25" customHeight="1">
      <c r="A80" s="2">
        <v>77</v>
      </c>
      <c r="B80" s="208" t="s">
        <v>179</v>
      </c>
      <c r="C80" s="209">
        <v>16</v>
      </c>
    </row>
    <row r="81" spans="1:3" ht="14.25" customHeight="1">
      <c r="A81" s="2">
        <v>78</v>
      </c>
      <c r="B81" s="208" t="s">
        <v>185</v>
      </c>
      <c r="C81" s="209">
        <v>16</v>
      </c>
    </row>
    <row r="82" spans="1:3" ht="14.25" customHeight="1">
      <c r="A82" s="2">
        <v>79</v>
      </c>
      <c r="B82" s="208" t="s">
        <v>234</v>
      </c>
      <c r="C82" s="209">
        <v>16</v>
      </c>
    </row>
    <row r="83" spans="1:3" ht="14.25" customHeight="1">
      <c r="A83" s="2">
        <v>80</v>
      </c>
      <c r="B83" s="208" t="s">
        <v>214</v>
      </c>
      <c r="C83" s="209">
        <v>15</v>
      </c>
    </row>
    <row r="84" spans="1:3" ht="14.25" customHeight="1">
      <c r="A84" s="2">
        <v>81</v>
      </c>
      <c r="B84" s="208" t="s">
        <v>305</v>
      </c>
      <c r="C84" s="209">
        <v>14</v>
      </c>
    </row>
    <row r="85" spans="1:3" ht="14.25" customHeight="1">
      <c r="A85" s="2">
        <v>82</v>
      </c>
      <c r="B85" s="208" t="s">
        <v>223</v>
      </c>
      <c r="C85" s="209">
        <v>14</v>
      </c>
    </row>
    <row r="86" spans="1:3" ht="14.25" customHeight="1">
      <c r="A86" s="2">
        <v>83</v>
      </c>
      <c r="B86" s="208" t="s">
        <v>283</v>
      </c>
      <c r="C86" s="209">
        <v>13</v>
      </c>
    </row>
    <row r="87" spans="1:3" ht="14.25" customHeight="1">
      <c r="A87" s="2">
        <v>84</v>
      </c>
      <c r="B87" s="208" t="s">
        <v>139</v>
      </c>
      <c r="C87" s="209">
        <v>12</v>
      </c>
    </row>
    <row r="88" spans="1:3" ht="14.25" customHeight="1">
      <c r="A88" s="2">
        <v>85</v>
      </c>
      <c r="B88" s="208" t="s">
        <v>126</v>
      </c>
      <c r="C88" s="209">
        <v>11</v>
      </c>
    </row>
    <row r="89" spans="1:3" ht="14.25" customHeight="1">
      <c r="A89" s="2">
        <v>86</v>
      </c>
      <c r="B89" s="208" t="s">
        <v>308</v>
      </c>
      <c r="C89" s="209">
        <v>10</v>
      </c>
    </row>
    <row r="90" spans="1:3" ht="14.25" customHeight="1">
      <c r="A90" s="2">
        <v>87</v>
      </c>
      <c r="B90" s="208" t="s">
        <v>123</v>
      </c>
      <c r="C90" s="209">
        <v>0</v>
      </c>
    </row>
    <row r="91" spans="1:3" ht="14.25" customHeight="1">
      <c r="A91" s="2">
        <v>88</v>
      </c>
      <c r="B91" s="208" t="s">
        <v>213</v>
      </c>
      <c r="C91" s="209">
        <v>0</v>
      </c>
    </row>
    <row r="92" spans="1:3" ht="14.25" customHeight="1">
      <c r="A92" s="2">
        <v>89</v>
      </c>
      <c r="B92" s="208" t="s">
        <v>326</v>
      </c>
      <c r="C92" s="209">
        <v>0</v>
      </c>
    </row>
    <row r="93" spans="1:3" ht="14.25" customHeight="1">
      <c r="B93" s="208"/>
      <c r="C93" s="209"/>
    </row>
    <row r="94" spans="1:3" ht="14.25" customHeight="1">
      <c r="C94" s="248"/>
    </row>
    <row r="95" spans="1:3" ht="14.25" customHeight="1">
      <c r="B95" s="7" t="s">
        <v>105</v>
      </c>
      <c r="C95" s="249">
        <v>72</v>
      </c>
    </row>
    <row r="96" spans="1:3" ht="14.25" customHeight="1">
      <c r="B96" s="7" t="s">
        <v>104</v>
      </c>
      <c r="C96" s="249">
        <v>154.67415730337078</v>
      </c>
    </row>
    <row r="97" spans="2:3" ht="14.25" customHeight="1">
      <c r="B97" s="7" t="s">
        <v>329</v>
      </c>
      <c r="C97" s="15">
        <v>13766</v>
      </c>
    </row>
  </sheetData>
  <sortState xmlns:xlrd2="http://schemas.microsoft.com/office/spreadsheetml/2017/richdata2" ref="H4:I93">
    <sortCondition descending="1" ref="I4:I93"/>
  </sortState>
  <phoneticPr fontId="51" type="noConversion"/>
  <conditionalFormatting sqref="B51:C93">
    <cfRule type="cellIs" dxfId="27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4">
    <pageSetUpPr fitToPage="1"/>
  </sheetPr>
  <dimension ref="A1:K96"/>
  <sheetViews>
    <sheetView zoomScaleNormal="100" workbookViewId="0">
      <pane ySplit="1" topLeftCell="A2" activePane="bottomLeft" state="frozen"/>
      <selection pane="bottomLeft" activeCell="F13" sqref="F13"/>
      <selection activeCell="G34" sqref="G34"/>
    </sheetView>
  </sheetViews>
  <sheetFormatPr defaultColWidth="9.140625" defaultRowHeight="14.25" customHeight="1"/>
  <cols>
    <col min="1" max="1" width="4.42578125" style="2" customWidth="1"/>
    <col min="2" max="2" width="21.140625" customWidth="1"/>
    <col min="3" max="3" width="7.7109375" customWidth="1"/>
    <col min="4" max="4" width="9.42578125" customWidth="1"/>
    <col min="5" max="5" width="9.28515625" customWidth="1"/>
    <col min="6" max="6" width="21.5703125" bestFit="1" customWidth="1"/>
    <col min="7" max="7" width="8.42578125" customWidth="1"/>
    <col min="8" max="8" width="25.28515625" style="2" bestFit="1" customWidth="1"/>
  </cols>
  <sheetData>
    <row r="1" spans="1:11" ht="16.5" customHeight="1">
      <c r="B1" s="9" t="s">
        <v>600</v>
      </c>
    </row>
    <row r="2" spans="1:11" ht="12.75">
      <c r="B2" s="3" t="s">
        <v>601</v>
      </c>
    </row>
    <row r="3" spans="1:11" ht="14.25" customHeight="1">
      <c r="B3" s="9"/>
      <c r="J3" s="202"/>
      <c r="K3" s="203"/>
    </row>
    <row r="4" spans="1:11" ht="14.25" customHeight="1">
      <c r="A4" s="2">
        <v>1</v>
      </c>
      <c r="B4" s="202" t="s">
        <v>322</v>
      </c>
      <c r="C4" s="203">
        <v>81377</v>
      </c>
      <c r="D4" s="47"/>
      <c r="J4" s="2"/>
      <c r="K4" s="14"/>
    </row>
    <row r="5" spans="1:11" ht="14.25" customHeight="1">
      <c r="A5" s="2">
        <v>2</v>
      </c>
      <c r="B5" s="202" t="s">
        <v>260</v>
      </c>
      <c r="C5" s="203">
        <v>80381</v>
      </c>
      <c r="D5" s="47"/>
      <c r="J5" s="202"/>
      <c r="K5" s="203"/>
    </row>
    <row r="6" spans="1:11" ht="14.25" customHeight="1">
      <c r="A6" s="2">
        <v>3</v>
      </c>
      <c r="B6" s="202" t="s">
        <v>208</v>
      </c>
      <c r="C6" s="203">
        <v>73309</v>
      </c>
      <c r="D6" s="47"/>
      <c r="J6" s="2"/>
      <c r="K6" s="14"/>
    </row>
    <row r="7" spans="1:11" ht="14.25" customHeight="1">
      <c r="A7" s="2">
        <v>4</v>
      </c>
      <c r="B7" s="202" t="s">
        <v>220</v>
      </c>
      <c r="C7" s="203">
        <v>64716</v>
      </c>
      <c r="D7" s="47"/>
      <c r="J7" s="202"/>
      <c r="K7" s="203"/>
    </row>
    <row r="8" spans="1:11" ht="14.25" customHeight="1">
      <c r="A8" s="2">
        <v>5</v>
      </c>
      <c r="B8" s="202" t="s">
        <v>224</v>
      </c>
      <c r="C8" s="203">
        <v>61415</v>
      </c>
      <c r="D8" s="47"/>
      <c r="J8" s="2"/>
      <c r="K8" s="14"/>
    </row>
    <row r="9" spans="1:11" ht="14.25" customHeight="1">
      <c r="A9" s="2">
        <v>6</v>
      </c>
      <c r="B9" s="202" t="s">
        <v>282</v>
      </c>
      <c r="C9" s="203">
        <v>52656</v>
      </c>
      <c r="D9" s="47"/>
      <c r="J9" s="2"/>
      <c r="K9" s="14"/>
    </row>
    <row r="10" spans="1:11" ht="14.25" customHeight="1">
      <c r="A10" s="2">
        <v>7</v>
      </c>
      <c r="B10" s="202" t="s">
        <v>151</v>
      </c>
      <c r="C10" s="203">
        <v>55223</v>
      </c>
      <c r="D10" s="47"/>
      <c r="J10" s="202"/>
      <c r="K10" s="203"/>
    </row>
    <row r="11" spans="1:11" ht="14.25" customHeight="1">
      <c r="A11" s="2">
        <v>8</v>
      </c>
      <c r="B11" s="202" t="s">
        <v>198</v>
      </c>
      <c r="C11" s="203">
        <v>52561</v>
      </c>
      <c r="D11" s="47"/>
      <c r="J11" s="202"/>
      <c r="K11" s="203"/>
    </row>
    <row r="12" spans="1:11" ht="14.25" customHeight="1">
      <c r="A12" s="2">
        <v>9</v>
      </c>
      <c r="B12" s="202" t="s">
        <v>165</v>
      </c>
      <c r="C12" s="203">
        <v>49595</v>
      </c>
      <c r="D12" s="47"/>
      <c r="J12" s="202"/>
      <c r="K12" s="203"/>
    </row>
    <row r="13" spans="1:11" ht="14.25" customHeight="1">
      <c r="A13" s="2">
        <v>10</v>
      </c>
      <c r="B13" s="202" t="s">
        <v>261</v>
      </c>
      <c r="C13" s="203">
        <v>45260</v>
      </c>
      <c r="D13" s="47"/>
      <c r="J13" s="202"/>
      <c r="K13" s="203"/>
    </row>
    <row r="14" spans="1:11" ht="14.25" customHeight="1">
      <c r="A14" s="2">
        <v>11</v>
      </c>
      <c r="B14" s="202" t="s">
        <v>318</v>
      </c>
      <c r="C14" s="203">
        <v>44832</v>
      </c>
      <c r="D14" s="47"/>
      <c r="J14" s="2"/>
      <c r="K14" s="14"/>
    </row>
    <row r="15" spans="1:11" ht="14.25" customHeight="1">
      <c r="A15" s="2">
        <v>12</v>
      </c>
      <c r="B15" s="202" t="s">
        <v>186</v>
      </c>
      <c r="C15" s="203">
        <v>43669</v>
      </c>
      <c r="D15" s="47"/>
      <c r="J15" s="2"/>
      <c r="K15" s="14"/>
    </row>
    <row r="16" spans="1:11" ht="14.25" customHeight="1">
      <c r="A16" s="2">
        <v>13</v>
      </c>
      <c r="B16" s="202" t="s">
        <v>310</v>
      </c>
      <c r="C16" s="203">
        <v>42770</v>
      </c>
      <c r="D16" s="47"/>
      <c r="J16" s="202"/>
      <c r="K16" s="203"/>
    </row>
    <row r="17" spans="1:11" ht="14.25" customHeight="1">
      <c r="A17" s="2">
        <v>14</v>
      </c>
      <c r="B17" s="202" t="s">
        <v>154</v>
      </c>
      <c r="C17" s="203">
        <v>40427</v>
      </c>
      <c r="D17" s="47"/>
      <c r="J17" s="202"/>
      <c r="K17" s="203"/>
    </row>
    <row r="18" spans="1:11" ht="14.25" customHeight="1">
      <c r="A18" s="2">
        <v>15</v>
      </c>
      <c r="B18" s="202" t="s">
        <v>218</v>
      </c>
      <c r="C18" s="203">
        <v>39823</v>
      </c>
      <c r="D18" s="47"/>
      <c r="J18" s="202"/>
      <c r="K18" s="203"/>
    </row>
    <row r="19" spans="1:11" ht="14.25" customHeight="1">
      <c r="A19" s="2">
        <v>16</v>
      </c>
      <c r="B19" s="202" t="s">
        <v>239</v>
      </c>
      <c r="C19" s="203">
        <v>36624</v>
      </c>
      <c r="D19" s="47"/>
      <c r="J19" s="202"/>
      <c r="K19" s="203"/>
    </row>
    <row r="20" spans="1:11" ht="14.25" customHeight="1">
      <c r="A20" s="2">
        <v>17</v>
      </c>
      <c r="B20" s="202" t="s">
        <v>173</v>
      </c>
      <c r="C20" s="203">
        <v>34659</v>
      </c>
      <c r="D20" s="47"/>
      <c r="J20" s="202"/>
      <c r="K20" s="203"/>
    </row>
    <row r="21" spans="1:11" ht="14.25" customHeight="1">
      <c r="A21" s="2">
        <v>18</v>
      </c>
      <c r="B21" s="202" t="s">
        <v>203</v>
      </c>
      <c r="C21" s="203">
        <v>32991</v>
      </c>
      <c r="D21" s="47"/>
      <c r="J21" s="202"/>
      <c r="K21" s="203"/>
    </row>
    <row r="22" spans="1:11" ht="14.25" customHeight="1">
      <c r="A22" s="2">
        <v>19</v>
      </c>
      <c r="B22" s="202" t="s">
        <v>284</v>
      </c>
      <c r="C22" s="203">
        <v>32258</v>
      </c>
      <c r="D22" s="47"/>
      <c r="J22" s="202"/>
      <c r="K22" s="203"/>
    </row>
    <row r="23" spans="1:11" ht="14.25" customHeight="1">
      <c r="A23" s="2">
        <v>20</v>
      </c>
      <c r="B23" s="202" t="s">
        <v>317</v>
      </c>
      <c r="C23" s="203">
        <v>27319</v>
      </c>
      <c r="D23" s="47"/>
      <c r="J23" s="2"/>
      <c r="K23" s="14"/>
    </row>
    <row r="24" spans="1:11" ht="14.25" customHeight="1">
      <c r="A24" s="2">
        <v>21</v>
      </c>
      <c r="B24" s="202" t="s">
        <v>306</v>
      </c>
      <c r="C24" s="203">
        <v>25719</v>
      </c>
      <c r="D24" s="47"/>
      <c r="J24" s="202"/>
      <c r="K24" s="203"/>
    </row>
    <row r="25" spans="1:11" ht="14.25" customHeight="1">
      <c r="A25" s="2">
        <v>22</v>
      </c>
      <c r="B25" s="202" t="s">
        <v>325</v>
      </c>
      <c r="C25" s="203">
        <v>24959</v>
      </c>
      <c r="D25" s="47"/>
      <c r="J25" s="202"/>
      <c r="K25" s="203"/>
    </row>
    <row r="26" spans="1:11" ht="14.25" customHeight="1">
      <c r="A26" s="2">
        <v>23</v>
      </c>
      <c r="B26" s="202" t="s">
        <v>170</v>
      </c>
      <c r="C26" s="203">
        <v>20421</v>
      </c>
      <c r="D26" s="47"/>
      <c r="J26" s="202"/>
      <c r="K26" s="203"/>
    </row>
    <row r="27" spans="1:11" ht="14.25" customHeight="1">
      <c r="A27" s="2">
        <v>24</v>
      </c>
      <c r="B27" s="202" t="s">
        <v>314</v>
      </c>
      <c r="C27" s="203">
        <v>18978</v>
      </c>
      <c r="D27" s="47"/>
      <c r="J27" s="202"/>
      <c r="K27" s="203"/>
    </row>
    <row r="28" spans="1:11" ht="14.25" customHeight="1">
      <c r="A28" s="2">
        <v>25</v>
      </c>
      <c r="B28" s="202" t="s">
        <v>324</v>
      </c>
      <c r="C28" s="203">
        <v>18804</v>
      </c>
      <c r="D28" s="47"/>
      <c r="J28" s="202"/>
      <c r="K28" s="203"/>
    </row>
    <row r="29" spans="1:11" ht="14.25" customHeight="1">
      <c r="A29" s="2">
        <v>26</v>
      </c>
      <c r="B29" s="202" t="s">
        <v>233</v>
      </c>
      <c r="C29" s="203">
        <v>17517</v>
      </c>
      <c r="D29" s="47"/>
      <c r="J29" s="202"/>
      <c r="K29" s="203"/>
    </row>
    <row r="30" spans="1:11" ht="14.25" customHeight="1">
      <c r="A30" s="2">
        <v>27</v>
      </c>
      <c r="B30" s="202" t="s">
        <v>207</v>
      </c>
      <c r="C30" s="203">
        <v>17048</v>
      </c>
      <c r="D30" s="47"/>
      <c r="J30" s="202"/>
      <c r="K30" s="203"/>
    </row>
    <row r="31" spans="1:11" ht="14.25" customHeight="1">
      <c r="A31" s="2">
        <v>28</v>
      </c>
      <c r="B31" s="202" t="s">
        <v>309</v>
      </c>
      <c r="C31" s="203">
        <v>16900</v>
      </c>
      <c r="D31" s="47"/>
      <c r="J31" s="202"/>
      <c r="K31" s="203"/>
    </row>
    <row r="32" spans="1:11" ht="14.25" customHeight="1">
      <c r="A32" s="2">
        <v>29</v>
      </c>
      <c r="B32" s="202" t="s">
        <v>311</v>
      </c>
      <c r="C32" s="203">
        <v>16828</v>
      </c>
      <c r="D32" s="47"/>
      <c r="J32" s="2"/>
      <c r="K32" s="14"/>
    </row>
    <row r="33" spans="1:11" ht="14.25" customHeight="1">
      <c r="A33" s="2">
        <v>30</v>
      </c>
      <c r="B33" s="202" t="s">
        <v>199</v>
      </c>
      <c r="C33" s="203">
        <v>16773</v>
      </c>
      <c r="D33" s="47"/>
      <c r="J33" s="2"/>
      <c r="K33" s="14"/>
    </row>
    <row r="34" spans="1:11" ht="14.25" customHeight="1">
      <c r="A34" s="2">
        <v>31</v>
      </c>
      <c r="B34" s="202" t="s">
        <v>256</v>
      </c>
      <c r="C34" s="203">
        <v>16130</v>
      </c>
      <c r="D34" s="47"/>
      <c r="J34" s="202"/>
      <c r="K34" s="203"/>
    </row>
    <row r="35" spans="1:11" ht="14.25" customHeight="1">
      <c r="A35" s="2">
        <v>32</v>
      </c>
      <c r="B35" s="202" t="s">
        <v>312</v>
      </c>
      <c r="C35" s="203">
        <v>15981</v>
      </c>
      <c r="D35" s="47"/>
      <c r="J35" s="202"/>
      <c r="K35" s="203"/>
    </row>
    <row r="36" spans="1:11" ht="14.25" customHeight="1">
      <c r="A36" s="2">
        <v>33</v>
      </c>
      <c r="B36" s="202" t="s">
        <v>232</v>
      </c>
      <c r="C36" s="203">
        <v>15502</v>
      </c>
      <c r="D36" s="47"/>
      <c r="J36" s="2"/>
      <c r="K36" s="14"/>
    </row>
    <row r="37" spans="1:11" ht="14.25" customHeight="1">
      <c r="A37" s="2">
        <v>34</v>
      </c>
      <c r="B37" s="202" t="s">
        <v>327</v>
      </c>
      <c r="C37" s="203">
        <v>15193</v>
      </c>
      <c r="D37" s="47"/>
      <c r="J37" s="202"/>
      <c r="K37" s="203"/>
    </row>
    <row r="38" spans="1:11" ht="14.25" customHeight="1">
      <c r="A38" s="2">
        <v>35</v>
      </c>
      <c r="B38" s="202" t="s">
        <v>126</v>
      </c>
      <c r="C38" s="203">
        <v>15036</v>
      </c>
      <c r="D38" s="47"/>
      <c r="J38" s="2"/>
      <c r="K38" s="14"/>
    </row>
    <row r="39" spans="1:11" ht="14.25" customHeight="1">
      <c r="A39" s="2">
        <v>36</v>
      </c>
      <c r="B39" s="202" t="s">
        <v>225</v>
      </c>
      <c r="C39" s="203">
        <v>14250</v>
      </c>
      <c r="D39" s="47"/>
      <c r="J39" s="202"/>
      <c r="K39" s="203"/>
    </row>
    <row r="40" spans="1:11" ht="14.25" customHeight="1">
      <c r="A40" s="2">
        <v>37</v>
      </c>
      <c r="B40" s="202" t="s">
        <v>257</v>
      </c>
      <c r="C40" s="203">
        <v>14166</v>
      </c>
      <c r="D40" s="47"/>
      <c r="J40" s="202"/>
      <c r="K40" s="203"/>
    </row>
    <row r="41" spans="1:11" ht="14.25" customHeight="1">
      <c r="A41" s="2">
        <v>38</v>
      </c>
      <c r="B41" s="202" t="s">
        <v>229</v>
      </c>
      <c r="C41" s="203">
        <v>13663</v>
      </c>
      <c r="D41" s="47"/>
      <c r="J41" s="2"/>
      <c r="K41" s="14"/>
    </row>
    <row r="42" spans="1:11" ht="14.25" customHeight="1">
      <c r="A42" s="2">
        <v>39</v>
      </c>
      <c r="B42" s="202" t="s">
        <v>226</v>
      </c>
      <c r="C42" s="203">
        <v>13594</v>
      </c>
      <c r="D42" s="47"/>
      <c r="J42" s="2"/>
      <c r="K42" s="14"/>
    </row>
    <row r="43" spans="1:11" ht="14.25" customHeight="1">
      <c r="A43" s="2">
        <v>40</v>
      </c>
      <c r="B43" s="202" t="s">
        <v>307</v>
      </c>
      <c r="C43" s="203">
        <v>12986</v>
      </c>
      <c r="D43" s="47"/>
      <c r="J43" s="2"/>
      <c r="K43" s="14"/>
    </row>
    <row r="44" spans="1:11" ht="14.25" customHeight="1">
      <c r="A44" s="2">
        <v>41</v>
      </c>
      <c r="B44" s="202" t="s">
        <v>160</v>
      </c>
      <c r="C44" s="203">
        <v>12650</v>
      </c>
      <c r="D44" s="47"/>
      <c r="J44" s="202"/>
      <c r="K44" s="203"/>
    </row>
    <row r="45" spans="1:11" ht="14.25" customHeight="1">
      <c r="A45" s="2">
        <v>42</v>
      </c>
      <c r="B45" s="202" t="s">
        <v>185</v>
      </c>
      <c r="C45" s="203">
        <v>12500</v>
      </c>
      <c r="D45" s="47"/>
      <c r="J45" s="202"/>
      <c r="K45" s="203"/>
    </row>
    <row r="46" spans="1:11" ht="14.25" customHeight="1">
      <c r="A46" s="2">
        <v>43</v>
      </c>
      <c r="B46" s="202" t="s">
        <v>148</v>
      </c>
      <c r="C46" s="203">
        <v>12459</v>
      </c>
      <c r="D46" s="47"/>
      <c r="J46" s="202"/>
      <c r="K46" s="203"/>
    </row>
    <row r="47" spans="1:11" ht="14.25" customHeight="1">
      <c r="A47" s="2">
        <v>44</v>
      </c>
      <c r="B47" s="202" t="s">
        <v>206</v>
      </c>
      <c r="C47" s="203">
        <v>12376</v>
      </c>
      <c r="D47" s="47"/>
      <c r="J47" s="202"/>
      <c r="K47" s="203"/>
    </row>
    <row r="48" spans="1:11" ht="14.25" customHeight="1">
      <c r="A48" s="2">
        <v>45</v>
      </c>
      <c r="B48" s="202" t="s">
        <v>238</v>
      </c>
      <c r="C48" s="203">
        <v>12044</v>
      </c>
      <c r="D48" s="47"/>
      <c r="J48" s="2"/>
      <c r="K48" s="14"/>
    </row>
    <row r="49" spans="1:11" ht="14.25" customHeight="1">
      <c r="A49" s="2">
        <v>46</v>
      </c>
      <c r="B49" s="202" t="s">
        <v>182</v>
      </c>
      <c r="C49" s="203">
        <v>11816</v>
      </c>
      <c r="D49" s="47"/>
      <c r="J49" s="202"/>
      <c r="K49" s="203"/>
    </row>
    <row r="50" spans="1:11" ht="14.25" customHeight="1">
      <c r="A50" s="2">
        <v>47</v>
      </c>
      <c r="B50" s="202" t="s">
        <v>210</v>
      </c>
      <c r="C50" s="203">
        <v>9835</v>
      </c>
      <c r="D50" s="47"/>
      <c r="J50" s="202"/>
      <c r="K50" s="203"/>
    </row>
    <row r="51" spans="1:11" ht="14.25" customHeight="1">
      <c r="A51" s="2">
        <v>48</v>
      </c>
      <c r="B51" s="2" t="s">
        <v>118</v>
      </c>
      <c r="C51" s="14">
        <v>9736</v>
      </c>
      <c r="J51" s="2"/>
      <c r="K51" s="14"/>
    </row>
    <row r="52" spans="1:11" ht="14.25" customHeight="1">
      <c r="A52" s="2">
        <v>49</v>
      </c>
      <c r="B52" s="2" t="s">
        <v>219</v>
      </c>
      <c r="C52" s="14">
        <v>9409</v>
      </c>
      <c r="J52" s="202"/>
      <c r="K52" s="203"/>
    </row>
    <row r="53" spans="1:11" ht="14.25" customHeight="1">
      <c r="A53" s="2">
        <v>50</v>
      </c>
      <c r="B53" s="2" t="s">
        <v>192</v>
      </c>
      <c r="C53" s="14">
        <v>9400</v>
      </c>
      <c r="J53" s="202"/>
      <c r="K53" s="203"/>
    </row>
    <row r="54" spans="1:11" ht="14.25" customHeight="1">
      <c r="A54" s="2">
        <v>51</v>
      </c>
      <c r="B54" s="2" t="s">
        <v>319</v>
      </c>
      <c r="C54" s="14">
        <v>9345</v>
      </c>
      <c r="J54" s="2"/>
      <c r="K54" s="14"/>
    </row>
    <row r="55" spans="1:11" ht="14.25" customHeight="1">
      <c r="A55" s="2">
        <v>52</v>
      </c>
      <c r="B55" s="2" t="s">
        <v>236</v>
      </c>
      <c r="C55" s="14">
        <v>9310</v>
      </c>
      <c r="J55" s="202"/>
      <c r="K55" s="203"/>
    </row>
    <row r="56" spans="1:11" ht="14.25" customHeight="1">
      <c r="A56" s="2">
        <v>53</v>
      </c>
      <c r="B56" s="2" t="s">
        <v>254</v>
      </c>
      <c r="C56" s="14">
        <v>9267</v>
      </c>
      <c r="J56" s="2"/>
      <c r="K56" s="14"/>
    </row>
    <row r="57" spans="1:11" ht="14.25" customHeight="1">
      <c r="A57" s="2">
        <v>54</v>
      </c>
      <c r="B57" s="2" t="s">
        <v>321</v>
      </c>
      <c r="C57" s="14">
        <v>8984</v>
      </c>
      <c r="J57" s="2"/>
      <c r="K57" s="14"/>
    </row>
    <row r="58" spans="1:11" ht="14.25" customHeight="1">
      <c r="A58" s="2">
        <v>55</v>
      </c>
      <c r="B58" s="2" t="s">
        <v>313</v>
      </c>
      <c r="C58" s="14">
        <v>8285</v>
      </c>
      <c r="J58" s="202"/>
      <c r="K58" s="203"/>
    </row>
    <row r="59" spans="1:11" ht="14.25" customHeight="1">
      <c r="A59" s="2">
        <v>56</v>
      </c>
      <c r="B59" s="2" t="s">
        <v>144</v>
      </c>
      <c r="C59" s="14">
        <v>7796</v>
      </c>
      <c r="J59" s="2"/>
      <c r="K59" s="14"/>
    </row>
    <row r="60" spans="1:11" ht="14.25" customHeight="1">
      <c r="A60" s="2">
        <v>57</v>
      </c>
      <c r="B60" s="2" t="s">
        <v>249</v>
      </c>
      <c r="C60" s="14">
        <v>7659</v>
      </c>
      <c r="J60" s="2"/>
      <c r="K60" s="14"/>
    </row>
    <row r="61" spans="1:11" ht="14.25" customHeight="1">
      <c r="A61" s="2">
        <v>58</v>
      </c>
      <c r="B61" s="2" t="s">
        <v>304</v>
      </c>
      <c r="C61" s="14">
        <v>7456</v>
      </c>
      <c r="J61" s="202"/>
      <c r="K61" s="203"/>
    </row>
    <row r="62" spans="1:11" ht="14.25" customHeight="1">
      <c r="A62" s="2">
        <v>59</v>
      </c>
      <c r="B62" s="2" t="s">
        <v>169</v>
      </c>
      <c r="C62" s="14">
        <v>7267</v>
      </c>
      <c r="J62" s="2"/>
      <c r="K62" s="14"/>
    </row>
    <row r="63" spans="1:11" ht="14.25" customHeight="1">
      <c r="A63" s="2">
        <v>60</v>
      </c>
      <c r="B63" s="2" t="s">
        <v>258</v>
      </c>
      <c r="C63" s="14">
        <v>6769</v>
      </c>
      <c r="J63" s="202"/>
      <c r="K63" s="203"/>
    </row>
    <row r="64" spans="1:11" ht="14.25" customHeight="1">
      <c r="A64" s="2">
        <v>61</v>
      </c>
      <c r="B64" s="2" t="s">
        <v>320</v>
      </c>
      <c r="C64" s="14">
        <v>6682</v>
      </c>
      <c r="J64" s="202"/>
      <c r="K64" s="203"/>
    </row>
    <row r="65" spans="1:11" ht="14.25" customHeight="1">
      <c r="A65" s="2">
        <v>62</v>
      </c>
      <c r="B65" s="2" t="s">
        <v>323</v>
      </c>
      <c r="C65" s="14">
        <v>5794</v>
      </c>
      <c r="J65" s="202"/>
      <c r="K65" s="203"/>
    </row>
    <row r="66" spans="1:11" ht="14.25" customHeight="1">
      <c r="A66" s="2">
        <v>63</v>
      </c>
      <c r="B66" s="2" t="s">
        <v>190</v>
      </c>
      <c r="C66" s="14">
        <v>5516</v>
      </c>
      <c r="J66" s="202"/>
      <c r="K66" s="203"/>
    </row>
    <row r="67" spans="1:11" ht="14.25" customHeight="1">
      <c r="A67" s="2">
        <v>64</v>
      </c>
      <c r="B67" s="2" t="s">
        <v>127</v>
      </c>
      <c r="C67" s="14">
        <v>5196</v>
      </c>
      <c r="J67" s="2"/>
      <c r="K67" s="14"/>
    </row>
    <row r="68" spans="1:11" ht="14.25" customHeight="1">
      <c r="A68" s="2">
        <v>65</v>
      </c>
      <c r="B68" s="2" t="s">
        <v>278</v>
      </c>
      <c r="C68" s="14">
        <v>4963</v>
      </c>
      <c r="J68" s="202"/>
      <c r="K68" s="203"/>
    </row>
    <row r="69" spans="1:11" ht="14.25" customHeight="1">
      <c r="A69" s="2">
        <v>66</v>
      </c>
      <c r="B69" s="2" t="s">
        <v>202</v>
      </c>
      <c r="C69" s="14">
        <v>4878</v>
      </c>
      <c r="J69" s="202"/>
      <c r="K69" s="203"/>
    </row>
    <row r="70" spans="1:11" ht="14.25" customHeight="1">
      <c r="A70" s="2">
        <v>67</v>
      </c>
      <c r="B70" s="2" t="s">
        <v>315</v>
      </c>
      <c r="C70" s="14">
        <v>4803</v>
      </c>
      <c r="J70" s="2"/>
      <c r="K70" s="14"/>
    </row>
    <row r="71" spans="1:11" ht="14.25" customHeight="1">
      <c r="A71" s="2">
        <v>68</v>
      </c>
      <c r="B71" s="2" t="s">
        <v>193</v>
      </c>
      <c r="C71" s="14">
        <v>4766</v>
      </c>
      <c r="J71" s="202"/>
      <c r="K71" s="203"/>
    </row>
    <row r="72" spans="1:11" ht="14.25" customHeight="1">
      <c r="A72" s="2">
        <v>69</v>
      </c>
      <c r="B72" s="2" t="s">
        <v>326</v>
      </c>
      <c r="C72" s="14">
        <v>4343</v>
      </c>
      <c r="J72" s="202"/>
      <c r="K72" s="203"/>
    </row>
    <row r="73" spans="1:11" ht="14.25" customHeight="1">
      <c r="A73" s="2">
        <v>70</v>
      </c>
      <c r="B73" s="2" t="s">
        <v>234</v>
      </c>
      <c r="C73" s="14">
        <v>3948</v>
      </c>
      <c r="J73" s="202"/>
      <c r="K73" s="203"/>
    </row>
    <row r="74" spans="1:11" ht="14.25" customHeight="1">
      <c r="A74" s="2">
        <v>71</v>
      </c>
      <c r="B74" s="2" t="s">
        <v>285</v>
      </c>
      <c r="C74" s="14">
        <v>3613</v>
      </c>
      <c r="J74" s="202"/>
      <c r="K74" s="203"/>
    </row>
    <row r="75" spans="1:11" ht="14.25" customHeight="1">
      <c r="A75" s="2">
        <v>72</v>
      </c>
      <c r="B75" s="2" t="s">
        <v>223</v>
      </c>
      <c r="C75" s="14">
        <v>3323</v>
      </c>
      <c r="J75" s="2"/>
      <c r="K75" s="14"/>
    </row>
    <row r="76" spans="1:11" ht="14.25" customHeight="1">
      <c r="A76" s="2">
        <v>73</v>
      </c>
      <c r="B76" s="2" t="s">
        <v>308</v>
      </c>
      <c r="C76" s="14">
        <v>2882</v>
      </c>
      <c r="J76" s="202"/>
      <c r="K76" s="203"/>
    </row>
    <row r="77" spans="1:11" ht="14.25" customHeight="1">
      <c r="A77" s="2">
        <v>74</v>
      </c>
      <c r="B77" s="2" t="s">
        <v>213</v>
      </c>
      <c r="C77" s="14">
        <v>2697</v>
      </c>
      <c r="J77" s="202"/>
      <c r="K77" s="203"/>
    </row>
    <row r="78" spans="1:11" ht="14.25" customHeight="1">
      <c r="A78" s="2">
        <v>75</v>
      </c>
      <c r="B78" s="2" t="s">
        <v>305</v>
      </c>
      <c r="C78" s="14">
        <v>2574</v>
      </c>
      <c r="J78" s="202"/>
      <c r="K78" s="203"/>
    </row>
    <row r="79" spans="1:11" ht="14.25" customHeight="1">
      <c r="A79" s="2">
        <v>76</v>
      </c>
      <c r="B79" s="2" t="s">
        <v>328</v>
      </c>
      <c r="C79" s="14">
        <v>2550</v>
      </c>
      <c r="J79" s="202"/>
      <c r="K79" s="203"/>
    </row>
    <row r="80" spans="1:11" ht="14.25" customHeight="1">
      <c r="A80" s="2">
        <v>77</v>
      </c>
      <c r="B80" s="202" t="s">
        <v>214</v>
      </c>
      <c r="C80" s="203">
        <v>2420</v>
      </c>
      <c r="J80" s="202"/>
      <c r="K80" s="203"/>
    </row>
    <row r="81" spans="1:11" ht="14.25" customHeight="1">
      <c r="A81" s="2">
        <v>78</v>
      </c>
      <c r="B81" s="202" t="s">
        <v>168</v>
      </c>
      <c r="C81" s="203">
        <v>2380</v>
      </c>
      <c r="J81" s="202"/>
      <c r="K81" s="203"/>
    </row>
    <row r="82" spans="1:11" ht="14.25" customHeight="1">
      <c r="A82" s="2">
        <v>79</v>
      </c>
      <c r="B82" s="202" t="s">
        <v>569</v>
      </c>
      <c r="C82" s="203">
        <v>2153</v>
      </c>
      <c r="J82" s="202"/>
      <c r="K82" s="203"/>
    </row>
    <row r="83" spans="1:11" ht="14.25" customHeight="1">
      <c r="A83" s="2">
        <v>80</v>
      </c>
      <c r="B83" s="202" t="s">
        <v>247</v>
      </c>
      <c r="C83" s="203">
        <v>2071</v>
      </c>
      <c r="J83" s="202"/>
      <c r="K83" s="203"/>
    </row>
    <row r="84" spans="1:11" ht="14.25" customHeight="1">
      <c r="A84" s="2">
        <v>81</v>
      </c>
      <c r="B84" s="202" t="s">
        <v>244</v>
      </c>
      <c r="C84" s="203">
        <v>1863</v>
      </c>
      <c r="J84" s="202"/>
      <c r="K84" s="203"/>
    </row>
    <row r="85" spans="1:11" ht="14.25" customHeight="1">
      <c r="A85" s="2">
        <v>82</v>
      </c>
      <c r="B85" s="202" t="s">
        <v>158</v>
      </c>
      <c r="C85" s="203">
        <v>1714</v>
      </c>
      <c r="J85" s="2"/>
      <c r="K85" s="14"/>
    </row>
    <row r="86" spans="1:11" ht="14.25" customHeight="1">
      <c r="A86" s="2">
        <v>83</v>
      </c>
      <c r="B86" s="202" t="s">
        <v>196</v>
      </c>
      <c r="C86" s="203">
        <v>1522</v>
      </c>
      <c r="J86" s="2"/>
      <c r="K86" s="14"/>
    </row>
    <row r="87" spans="1:11" ht="14.25" customHeight="1">
      <c r="A87" s="2">
        <v>84</v>
      </c>
      <c r="B87" s="202" t="s">
        <v>179</v>
      </c>
      <c r="C87" s="203">
        <v>1427</v>
      </c>
      <c r="J87" s="202"/>
      <c r="K87" s="203"/>
    </row>
    <row r="88" spans="1:11" ht="14.25" customHeight="1">
      <c r="A88" s="2">
        <v>85</v>
      </c>
      <c r="B88" s="202" t="s">
        <v>123</v>
      </c>
      <c r="C88" s="203">
        <v>1359</v>
      </c>
      <c r="J88" s="2"/>
      <c r="K88" s="14"/>
    </row>
    <row r="89" spans="1:11" ht="14.25" customHeight="1">
      <c r="A89" s="2">
        <v>86</v>
      </c>
      <c r="B89" s="202" t="s">
        <v>280</v>
      </c>
      <c r="C89" s="203">
        <v>1242</v>
      </c>
      <c r="J89" s="2"/>
      <c r="K89" s="14"/>
    </row>
    <row r="90" spans="1:11" ht="14.25" customHeight="1">
      <c r="A90" s="2">
        <v>87</v>
      </c>
      <c r="B90" s="202" t="s">
        <v>139</v>
      </c>
      <c r="C90" s="203">
        <v>944</v>
      </c>
      <c r="J90" s="202"/>
      <c r="K90" s="203"/>
    </row>
    <row r="91" spans="1:11" ht="14.25" customHeight="1">
      <c r="A91" s="2">
        <v>88</v>
      </c>
      <c r="B91" s="202" t="s">
        <v>316</v>
      </c>
      <c r="C91" s="203">
        <v>842</v>
      </c>
      <c r="J91" s="202"/>
      <c r="K91" s="203"/>
    </row>
    <row r="92" spans="1:11" ht="14.25" customHeight="1">
      <c r="A92" s="2">
        <v>89</v>
      </c>
      <c r="B92" s="202" t="s">
        <v>283</v>
      </c>
      <c r="C92" s="203">
        <v>752</v>
      </c>
      <c r="J92" s="202"/>
      <c r="K92" s="203"/>
    </row>
    <row r="94" spans="1:11" ht="14.25" customHeight="1">
      <c r="B94" s="7" t="s">
        <v>105</v>
      </c>
      <c r="C94" s="255">
        <v>12044</v>
      </c>
    </row>
    <row r="95" spans="1:11" ht="14.25" customHeight="1">
      <c r="B95" s="7" t="s">
        <v>104</v>
      </c>
      <c r="C95" s="255">
        <v>18156.101123595505</v>
      </c>
    </row>
    <row r="96" spans="1:11" ht="14.25" customHeight="1">
      <c r="B96" s="7" t="s">
        <v>329</v>
      </c>
      <c r="C96" s="66">
        <v>1615893</v>
      </c>
    </row>
  </sheetData>
  <sortState xmlns:xlrd2="http://schemas.microsoft.com/office/spreadsheetml/2017/richdata2" ref="J3:K92">
    <sortCondition ref="J3:J9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5">
    <pageSetUpPr fitToPage="1"/>
  </sheetPr>
  <dimension ref="A1:K97"/>
  <sheetViews>
    <sheetView zoomScaleNormal="100" workbookViewId="0">
      <pane ySplit="1" topLeftCell="A11" activePane="bottomLeft" state="frozen"/>
      <selection pane="bottomLeft" activeCell="B24" sqref="B24:C24"/>
      <selection activeCell="G34" sqref="G34"/>
    </sheetView>
  </sheetViews>
  <sheetFormatPr defaultColWidth="9.140625" defaultRowHeight="14.25" customHeight="1"/>
  <cols>
    <col min="1" max="1" width="6.140625" customWidth="1"/>
    <col min="2" max="2" width="21" customWidth="1"/>
    <col min="3" max="3" width="6.7109375" style="57" customWidth="1"/>
    <col min="4" max="4" width="9.42578125" style="57" customWidth="1"/>
    <col min="5" max="5" width="11.28515625" style="14" customWidth="1"/>
    <col min="6" max="6" width="21.42578125" customWidth="1"/>
    <col min="7" max="7" width="8.7109375" customWidth="1"/>
    <col min="8" max="8" width="8.85546875" customWidth="1"/>
    <col min="9" max="9" width="25.28515625" bestFit="1" customWidth="1"/>
    <col min="10" max="10" width="20.42578125" style="2" bestFit="1" customWidth="1"/>
    <col min="11" max="11" width="20.42578125" style="2" customWidth="1"/>
    <col min="12" max="12" width="22.28515625" bestFit="1" customWidth="1"/>
    <col min="13" max="13" width="22.28515625" customWidth="1"/>
    <col min="14" max="14" width="21.42578125" bestFit="1" customWidth="1"/>
  </cols>
  <sheetData>
    <row r="1" spans="1:4" ht="16.5" customHeight="1">
      <c r="B1" s="9" t="s">
        <v>602</v>
      </c>
    </row>
    <row r="2" spans="1:4" ht="14.25" customHeight="1">
      <c r="B2" s="3" t="s">
        <v>603</v>
      </c>
    </row>
    <row r="3" spans="1:4" ht="14.25" customHeight="1">
      <c r="B3" s="3"/>
    </row>
    <row r="4" spans="1:4" ht="14.25" customHeight="1">
      <c r="A4" s="2">
        <v>1</v>
      </c>
      <c r="B4" s="163" t="s">
        <v>208</v>
      </c>
      <c r="C4" s="216">
        <v>2.8</v>
      </c>
      <c r="D4" s="47"/>
    </row>
    <row r="5" spans="1:4" ht="14.25" customHeight="1">
      <c r="A5" s="2">
        <v>2</v>
      </c>
      <c r="B5" s="163" t="s">
        <v>256</v>
      </c>
      <c r="C5" s="216">
        <v>2.0699999999999998</v>
      </c>
      <c r="D5" s="47"/>
    </row>
    <row r="6" spans="1:4" ht="14.25" customHeight="1">
      <c r="A6" s="2">
        <v>3</v>
      </c>
      <c r="B6" s="2" t="s">
        <v>261</v>
      </c>
      <c r="C6" s="12">
        <v>0.82</v>
      </c>
      <c r="D6" s="47"/>
    </row>
    <row r="7" spans="1:4" ht="14.25" customHeight="1">
      <c r="A7" s="2">
        <v>4</v>
      </c>
      <c r="B7" s="2" t="s">
        <v>185</v>
      </c>
      <c r="C7" s="12">
        <v>0.65</v>
      </c>
      <c r="D7" s="47"/>
    </row>
    <row r="8" spans="1:4" ht="14.25" customHeight="1">
      <c r="A8" s="2">
        <v>5</v>
      </c>
      <c r="B8" s="2" t="s">
        <v>123</v>
      </c>
      <c r="C8" s="12">
        <v>0.61</v>
      </c>
      <c r="D8" s="47"/>
    </row>
    <row r="9" spans="1:4" ht="14.25" customHeight="1">
      <c r="A9" s="2">
        <v>6</v>
      </c>
      <c r="B9" s="163" t="s">
        <v>151</v>
      </c>
      <c r="C9" s="216">
        <v>0.6</v>
      </c>
      <c r="D9" s="47"/>
    </row>
    <row r="10" spans="1:4" ht="14.25" customHeight="1">
      <c r="A10" s="2">
        <v>7</v>
      </c>
      <c r="B10" s="163" t="s">
        <v>320</v>
      </c>
      <c r="C10" s="216">
        <v>0.51</v>
      </c>
      <c r="D10" s="47"/>
    </row>
    <row r="11" spans="1:4" ht="14.25" customHeight="1">
      <c r="A11" s="2">
        <v>8</v>
      </c>
      <c r="B11" s="2" t="s">
        <v>158</v>
      </c>
      <c r="C11" s="12">
        <v>0.43</v>
      </c>
      <c r="D11" s="47"/>
    </row>
    <row r="12" spans="1:4" ht="14.25" customHeight="1">
      <c r="A12" s="2">
        <v>9</v>
      </c>
      <c r="B12" s="163" t="s">
        <v>236</v>
      </c>
      <c r="C12" s="216">
        <v>0.42</v>
      </c>
      <c r="D12" s="47"/>
    </row>
    <row r="13" spans="1:4" ht="14.25" customHeight="1">
      <c r="A13" s="2">
        <v>10</v>
      </c>
      <c r="B13" s="163" t="s">
        <v>139</v>
      </c>
      <c r="C13" s="216">
        <v>0.4</v>
      </c>
      <c r="D13" s="47"/>
    </row>
    <row r="14" spans="1:4" ht="14.25" customHeight="1">
      <c r="A14" s="2">
        <v>11</v>
      </c>
      <c r="B14" s="163" t="s">
        <v>260</v>
      </c>
      <c r="C14" s="216">
        <v>0.36</v>
      </c>
      <c r="D14" s="47"/>
    </row>
    <row r="15" spans="1:4" ht="14.25" customHeight="1">
      <c r="A15" s="2">
        <v>12</v>
      </c>
      <c r="B15" s="2" t="s">
        <v>327</v>
      </c>
      <c r="C15" s="12">
        <v>0.36</v>
      </c>
      <c r="D15" s="47"/>
    </row>
    <row r="16" spans="1:4" ht="14.25" customHeight="1">
      <c r="A16" s="2">
        <v>13</v>
      </c>
      <c r="B16" s="163" t="s">
        <v>322</v>
      </c>
      <c r="C16" s="216">
        <v>0.35</v>
      </c>
      <c r="D16" s="47"/>
    </row>
    <row r="17" spans="1:4" ht="14.25" customHeight="1">
      <c r="A17" s="2">
        <v>14</v>
      </c>
      <c r="B17" s="2" t="s">
        <v>318</v>
      </c>
      <c r="C17" s="12">
        <v>0.35</v>
      </c>
      <c r="D17" s="47"/>
    </row>
    <row r="18" spans="1:4" ht="14.25" customHeight="1">
      <c r="A18" s="2">
        <v>15</v>
      </c>
      <c r="B18" s="163" t="s">
        <v>210</v>
      </c>
      <c r="C18" s="216">
        <v>0.34</v>
      </c>
      <c r="D18" s="47"/>
    </row>
    <row r="19" spans="1:4" ht="14.25" customHeight="1">
      <c r="A19" s="2">
        <v>16</v>
      </c>
      <c r="B19" s="163" t="s">
        <v>190</v>
      </c>
      <c r="C19" s="216">
        <v>0.31</v>
      </c>
      <c r="D19" s="47"/>
    </row>
    <row r="20" spans="1:4" ht="14.25" customHeight="1">
      <c r="A20" s="2">
        <v>17</v>
      </c>
      <c r="B20" s="2" t="s">
        <v>326</v>
      </c>
      <c r="C20" s="12">
        <v>0.3</v>
      </c>
      <c r="D20" s="47"/>
    </row>
    <row r="21" spans="1:4" ht="14.25" customHeight="1">
      <c r="A21" s="2">
        <v>18</v>
      </c>
      <c r="B21" s="2" t="s">
        <v>192</v>
      </c>
      <c r="C21" s="12">
        <v>0.3</v>
      </c>
      <c r="D21" s="47"/>
    </row>
    <row r="22" spans="1:4" ht="14.25" customHeight="1">
      <c r="A22" s="2">
        <v>19</v>
      </c>
      <c r="B22" s="163" t="s">
        <v>199</v>
      </c>
      <c r="C22" s="216">
        <v>0.3</v>
      </c>
      <c r="D22" s="47"/>
    </row>
    <row r="23" spans="1:4" ht="14.25" customHeight="1">
      <c r="A23" s="2">
        <v>20</v>
      </c>
      <c r="B23" s="2" t="s">
        <v>168</v>
      </c>
      <c r="C23" s="12">
        <v>0.28000000000000003</v>
      </c>
      <c r="D23" s="47"/>
    </row>
    <row r="24" spans="1:4" ht="14.25" customHeight="1">
      <c r="A24" s="2">
        <v>21</v>
      </c>
      <c r="B24" s="163" t="s">
        <v>282</v>
      </c>
      <c r="C24" s="376">
        <v>0.28000000000000003</v>
      </c>
      <c r="D24" s="47"/>
    </row>
    <row r="25" spans="1:4" ht="14.25" customHeight="1">
      <c r="A25" s="2">
        <v>22</v>
      </c>
      <c r="B25" s="2" t="s">
        <v>186</v>
      </c>
      <c r="C25" s="12">
        <v>0.28000000000000003</v>
      </c>
      <c r="D25" s="47"/>
    </row>
    <row r="26" spans="1:4" ht="14.25" customHeight="1">
      <c r="A26" s="2">
        <v>23</v>
      </c>
      <c r="B26" s="2" t="s">
        <v>314</v>
      </c>
      <c r="C26" s="12">
        <v>0.27</v>
      </c>
      <c r="D26" s="47"/>
    </row>
    <row r="27" spans="1:4" ht="14.25" customHeight="1">
      <c r="A27" s="2">
        <v>24</v>
      </c>
      <c r="B27" s="2" t="s">
        <v>244</v>
      </c>
      <c r="C27" s="12">
        <v>0.26</v>
      </c>
      <c r="D27" s="47"/>
    </row>
    <row r="28" spans="1:4" ht="14.25" customHeight="1">
      <c r="A28" s="2">
        <v>25</v>
      </c>
      <c r="B28" s="163" t="s">
        <v>196</v>
      </c>
      <c r="C28" s="216">
        <v>0.25</v>
      </c>
      <c r="D28" s="47"/>
    </row>
    <row r="29" spans="1:4" ht="14.25" customHeight="1">
      <c r="A29" s="2">
        <v>26</v>
      </c>
      <c r="B29" s="163" t="s">
        <v>238</v>
      </c>
      <c r="C29" s="216">
        <v>0.25</v>
      </c>
      <c r="D29" s="47"/>
    </row>
    <row r="30" spans="1:4" ht="14.25" customHeight="1">
      <c r="A30" s="2">
        <v>27</v>
      </c>
      <c r="B30" s="2" t="s">
        <v>220</v>
      </c>
      <c r="C30" s="12">
        <v>0.24</v>
      </c>
      <c r="D30" s="47"/>
    </row>
    <row r="31" spans="1:4" ht="14.25" customHeight="1">
      <c r="A31" s="2">
        <v>28</v>
      </c>
      <c r="B31" s="2" t="s">
        <v>198</v>
      </c>
      <c r="C31" s="12">
        <v>0.24</v>
      </c>
      <c r="D31" s="47"/>
    </row>
    <row r="32" spans="1:4" ht="14.25" customHeight="1">
      <c r="A32" s="2">
        <v>29</v>
      </c>
      <c r="B32" s="163" t="s">
        <v>202</v>
      </c>
      <c r="C32" s="216">
        <v>0.24</v>
      </c>
      <c r="D32" s="47"/>
    </row>
    <row r="33" spans="1:4" ht="14.25" customHeight="1">
      <c r="A33" s="2">
        <v>30</v>
      </c>
      <c r="B33" s="163" t="s">
        <v>223</v>
      </c>
      <c r="C33" s="216">
        <v>0.23</v>
      </c>
      <c r="D33" s="47"/>
    </row>
    <row r="34" spans="1:4" ht="14.25" customHeight="1">
      <c r="A34" s="2">
        <v>31</v>
      </c>
      <c r="B34" s="2" t="s">
        <v>316</v>
      </c>
      <c r="C34" s="12">
        <v>0.23</v>
      </c>
      <c r="D34" s="47"/>
    </row>
    <row r="35" spans="1:4" ht="14.25" customHeight="1">
      <c r="A35" s="2">
        <v>32</v>
      </c>
      <c r="B35" s="163" t="s">
        <v>247</v>
      </c>
      <c r="C35" s="216">
        <v>0.23</v>
      </c>
      <c r="D35" s="47"/>
    </row>
    <row r="36" spans="1:4" ht="14.25" customHeight="1">
      <c r="A36" s="2">
        <v>33</v>
      </c>
      <c r="B36" s="163" t="s">
        <v>284</v>
      </c>
      <c r="C36" s="216">
        <v>0.23</v>
      </c>
      <c r="D36" s="47"/>
    </row>
    <row r="37" spans="1:4" ht="14.25" customHeight="1">
      <c r="A37" s="2">
        <v>34</v>
      </c>
      <c r="B37" s="163" t="s">
        <v>224</v>
      </c>
      <c r="C37" s="216">
        <v>0.22</v>
      </c>
      <c r="D37" s="47"/>
    </row>
    <row r="38" spans="1:4" ht="14.25" customHeight="1">
      <c r="A38" s="2">
        <v>35</v>
      </c>
      <c r="B38" s="163" t="s">
        <v>173</v>
      </c>
      <c r="C38" s="216">
        <v>0.21</v>
      </c>
      <c r="D38" s="47"/>
    </row>
    <row r="39" spans="1:4" ht="14.25" customHeight="1">
      <c r="A39" s="2">
        <v>36</v>
      </c>
      <c r="B39" s="2" t="s">
        <v>193</v>
      </c>
      <c r="C39" s="12">
        <v>0.21</v>
      </c>
      <c r="D39" s="47"/>
    </row>
    <row r="40" spans="1:4" ht="14.25" customHeight="1">
      <c r="A40" s="2">
        <v>37</v>
      </c>
      <c r="B40" s="2" t="s">
        <v>165</v>
      </c>
      <c r="C40" s="12">
        <v>0.2</v>
      </c>
      <c r="D40" s="47"/>
    </row>
    <row r="41" spans="1:4" ht="14.25" customHeight="1">
      <c r="A41" s="2">
        <v>38</v>
      </c>
      <c r="B41" s="163" t="s">
        <v>324</v>
      </c>
      <c r="C41" s="216">
        <v>0.19</v>
      </c>
      <c r="D41" s="47"/>
    </row>
    <row r="42" spans="1:4" ht="14.25" customHeight="1">
      <c r="A42" s="2">
        <v>39</v>
      </c>
      <c r="B42" s="2" t="s">
        <v>232</v>
      </c>
      <c r="C42" s="12">
        <v>0.19</v>
      </c>
      <c r="D42" s="47"/>
    </row>
    <row r="43" spans="1:4" ht="14.25" customHeight="1">
      <c r="A43" s="2">
        <v>40</v>
      </c>
      <c r="B43" s="2" t="s">
        <v>312</v>
      </c>
      <c r="C43" s="12">
        <v>0.18</v>
      </c>
      <c r="D43" s="47"/>
    </row>
    <row r="44" spans="1:4" ht="14.25" customHeight="1">
      <c r="A44" s="2">
        <v>41</v>
      </c>
      <c r="B44" s="163" t="s">
        <v>144</v>
      </c>
      <c r="C44" s="216">
        <v>0.18</v>
      </c>
      <c r="D44" s="47"/>
    </row>
    <row r="45" spans="1:4" ht="14.25" customHeight="1">
      <c r="A45" s="2">
        <v>42</v>
      </c>
      <c r="B45" s="2" t="s">
        <v>257</v>
      </c>
      <c r="C45" s="12">
        <v>0.18</v>
      </c>
      <c r="D45" s="47"/>
    </row>
    <row r="46" spans="1:4" ht="14.25" customHeight="1">
      <c r="A46" s="2">
        <v>43</v>
      </c>
      <c r="B46" s="2" t="s">
        <v>169</v>
      </c>
      <c r="C46" s="12">
        <v>0.18</v>
      </c>
      <c r="D46" s="47"/>
    </row>
    <row r="47" spans="1:4" ht="14.25" customHeight="1">
      <c r="A47" s="2">
        <v>44</v>
      </c>
      <c r="B47" s="163" t="s">
        <v>323</v>
      </c>
      <c r="C47" s="216">
        <v>0.17</v>
      </c>
      <c r="D47" s="47"/>
    </row>
    <row r="48" spans="1:4" ht="14.25" customHeight="1">
      <c r="A48" s="2">
        <v>45</v>
      </c>
      <c r="B48" s="163" t="s">
        <v>207</v>
      </c>
      <c r="C48" s="216">
        <v>0.17</v>
      </c>
      <c r="D48" s="47"/>
    </row>
    <row r="49" spans="1:4" ht="14.25" customHeight="1">
      <c r="A49" s="2">
        <v>46</v>
      </c>
      <c r="B49" s="2" t="s">
        <v>182</v>
      </c>
      <c r="C49" s="12">
        <v>0.17</v>
      </c>
      <c r="D49" s="47"/>
    </row>
    <row r="50" spans="1:4" ht="14.25" customHeight="1">
      <c r="A50" s="2">
        <v>47</v>
      </c>
      <c r="B50" s="163" t="s">
        <v>311</v>
      </c>
      <c r="C50" s="216">
        <v>0.17</v>
      </c>
      <c r="D50" s="47"/>
    </row>
    <row r="51" spans="1:4" ht="14.25" customHeight="1">
      <c r="A51" s="2">
        <v>48</v>
      </c>
      <c r="B51" s="2" t="s">
        <v>278</v>
      </c>
      <c r="C51" s="12">
        <v>0.17</v>
      </c>
    </row>
    <row r="52" spans="1:4" ht="14.25" customHeight="1">
      <c r="A52" s="2">
        <v>49</v>
      </c>
      <c r="B52" s="163" t="s">
        <v>118</v>
      </c>
      <c r="C52" s="216">
        <v>0.17</v>
      </c>
    </row>
    <row r="53" spans="1:4" ht="14.25" customHeight="1">
      <c r="A53" s="2">
        <v>50</v>
      </c>
      <c r="B53" s="163" t="s">
        <v>304</v>
      </c>
      <c r="C53" s="216">
        <v>0.17</v>
      </c>
    </row>
    <row r="54" spans="1:4" ht="14.25" customHeight="1">
      <c r="A54" s="2">
        <v>51</v>
      </c>
      <c r="B54" s="163" t="s">
        <v>307</v>
      </c>
      <c r="C54" s="216">
        <v>0.16</v>
      </c>
    </row>
    <row r="55" spans="1:4" ht="14.25" customHeight="1">
      <c r="A55" s="2">
        <v>52</v>
      </c>
      <c r="B55" s="2" t="s">
        <v>308</v>
      </c>
      <c r="C55" s="12">
        <v>0.16</v>
      </c>
    </row>
    <row r="56" spans="1:4" ht="14.25" customHeight="1">
      <c r="A56" s="2">
        <v>53</v>
      </c>
      <c r="B56" s="2" t="s">
        <v>213</v>
      </c>
      <c r="C56" s="12">
        <v>0.16</v>
      </c>
    </row>
    <row r="57" spans="1:4" ht="14.25" customHeight="1">
      <c r="A57" s="2">
        <v>54</v>
      </c>
      <c r="B57" s="2" t="s">
        <v>569</v>
      </c>
      <c r="C57" s="12">
        <v>0.16</v>
      </c>
    </row>
    <row r="58" spans="1:4" ht="14.25" customHeight="1">
      <c r="A58" s="2">
        <v>55</v>
      </c>
      <c r="B58" s="2" t="s">
        <v>233</v>
      </c>
      <c r="C58" s="12">
        <v>0.16</v>
      </c>
    </row>
    <row r="59" spans="1:4" ht="14.25" customHeight="1">
      <c r="A59" s="2">
        <v>56</v>
      </c>
      <c r="B59" s="163" t="s">
        <v>160</v>
      </c>
      <c r="C59" s="216">
        <v>0.16</v>
      </c>
    </row>
    <row r="60" spans="1:4" ht="14.25" customHeight="1">
      <c r="A60" s="2">
        <v>57</v>
      </c>
      <c r="B60" s="2" t="s">
        <v>234</v>
      </c>
      <c r="C60" s="12">
        <v>0.15</v>
      </c>
    </row>
    <row r="61" spans="1:4" ht="14.25" customHeight="1">
      <c r="A61" s="2">
        <v>58</v>
      </c>
      <c r="B61" s="2" t="s">
        <v>239</v>
      </c>
      <c r="C61" s="12">
        <v>0.15</v>
      </c>
    </row>
    <row r="62" spans="1:4" ht="14.25" customHeight="1">
      <c r="A62" s="2">
        <v>59</v>
      </c>
      <c r="B62" s="2" t="s">
        <v>218</v>
      </c>
      <c r="C62" s="12">
        <v>0.15</v>
      </c>
    </row>
    <row r="63" spans="1:4" ht="14.25" customHeight="1">
      <c r="A63" s="2">
        <v>60</v>
      </c>
      <c r="B63" s="2" t="s">
        <v>226</v>
      </c>
      <c r="C63" s="12">
        <v>0.15</v>
      </c>
    </row>
    <row r="64" spans="1:4" ht="14.25" customHeight="1">
      <c r="A64" s="2">
        <v>61</v>
      </c>
      <c r="B64" s="2" t="s">
        <v>315</v>
      </c>
      <c r="C64" s="12">
        <v>0.15</v>
      </c>
    </row>
    <row r="65" spans="1:3" ht="14.25" customHeight="1">
      <c r="A65" s="2">
        <v>62</v>
      </c>
      <c r="B65" s="163" t="s">
        <v>328</v>
      </c>
      <c r="C65" s="216">
        <v>0.14000000000000001</v>
      </c>
    </row>
    <row r="66" spans="1:3" ht="14.25" customHeight="1">
      <c r="A66" s="2">
        <v>63</v>
      </c>
      <c r="B66" s="163" t="s">
        <v>127</v>
      </c>
      <c r="C66" s="216">
        <v>0.14000000000000001</v>
      </c>
    </row>
    <row r="67" spans="1:3" ht="14.25" customHeight="1">
      <c r="A67" s="2">
        <v>64</v>
      </c>
      <c r="B67" s="163" t="s">
        <v>280</v>
      </c>
      <c r="C67" s="216">
        <v>0.14000000000000001</v>
      </c>
    </row>
    <row r="68" spans="1:3" ht="14.25" customHeight="1">
      <c r="A68" s="2">
        <v>65</v>
      </c>
      <c r="B68" s="163" t="s">
        <v>321</v>
      </c>
      <c r="C68" s="216">
        <v>0.13</v>
      </c>
    </row>
    <row r="69" spans="1:3" ht="14.25" customHeight="1">
      <c r="A69" s="2">
        <v>66</v>
      </c>
      <c r="B69" s="163" t="s">
        <v>283</v>
      </c>
      <c r="C69" s="216">
        <v>0.13</v>
      </c>
    </row>
    <row r="70" spans="1:3" ht="14.25" customHeight="1">
      <c r="A70" s="2">
        <v>67</v>
      </c>
      <c r="B70" s="2" t="s">
        <v>305</v>
      </c>
      <c r="C70" s="12">
        <v>0.13</v>
      </c>
    </row>
    <row r="71" spans="1:3" ht="14.25" customHeight="1">
      <c r="A71" s="2">
        <v>68</v>
      </c>
      <c r="B71" s="163" t="s">
        <v>203</v>
      </c>
      <c r="C71" s="216">
        <v>0.13</v>
      </c>
    </row>
    <row r="72" spans="1:3" ht="14.25" customHeight="1">
      <c r="A72" s="2">
        <v>69</v>
      </c>
      <c r="B72" s="163" t="s">
        <v>219</v>
      </c>
      <c r="C72" s="216">
        <v>0.13</v>
      </c>
    </row>
    <row r="73" spans="1:3" ht="14.25" customHeight="1">
      <c r="A73" s="2">
        <v>70</v>
      </c>
      <c r="B73" s="2" t="s">
        <v>319</v>
      </c>
      <c r="C73" s="12">
        <v>0.13</v>
      </c>
    </row>
    <row r="74" spans="1:3" ht="14.25" customHeight="1">
      <c r="A74" s="2">
        <v>71</v>
      </c>
      <c r="B74" s="2" t="s">
        <v>254</v>
      </c>
      <c r="C74" s="12">
        <v>0.13</v>
      </c>
    </row>
    <row r="75" spans="1:3" ht="14.25" customHeight="1">
      <c r="A75" s="2">
        <v>72</v>
      </c>
      <c r="B75" s="163" t="s">
        <v>317</v>
      </c>
      <c r="C75" s="216">
        <v>0.13</v>
      </c>
    </row>
    <row r="76" spans="1:3" ht="14.25" customHeight="1">
      <c r="A76" s="2">
        <v>73</v>
      </c>
      <c r="B76" s="163" t="s">
        <v>258</v>
      </c>
      <c r="C76" s="216">
        <v>0.13</v>
      </c>
    </row>
    <row r="77" spans="1:3" ht="14.25" customHeight="1">
      <c r="A77" s="2">
        <v>74</v>
      </c>
      <c r="B77" s="163" t="s">
        <v>206</v>
      </c>
      <c r="C77" s="216">
        <v>0.13</v>
      </c>
    </row>
    <row r="78" spans="1:3" ht="14.25" customHeight="1">
      <c r="A78" s="2">
        <v>75</v>
      </c>
      <c r="B78" s="2" t="s">
        <v>313</v>
      </c>
      <c r="C78" s="12">
        <v>0.12</v>
      </c>
    </row>
    <row r="79" spans="1:3" ht="14.25" customHeight="1">
      <c r="A79" s="2">
        <v>76</v>
      </c>
      <c r="B79" s="2" t="s">
        <v>214</v>
      </c>
      <c r="C79" s="12">
        <v>0.12</v>
      </c>
    </row>
    <row r="80" spans="1:3" ht="14.25" customHeight="1">
      <c r="A80" s="2">
        <v>77</v>
      </c>
      <c r="B80" s="163" t="s">
        <v>154</v>
      </c>
      <c r="C80" s="216">
        <v>0.11</v>
      </c>
    </row>
    <row r="81" spans="1:3" ht="14.25" customHeight="1">
      <c r="A81" s="2">
        <v>78</v>
      </c>
      <c r="B81" s="163" t="s">
        <v>249</v>
      </c>
      <c r="C81" s="216">
        <v>0.11</v>
      </c>
    </row>
    <row r="82" spans="1:3" ht="14.25" customHeight="1">
      <c r="A82" s="2">
        <v>79</v>
      </c>
      <c r="B82" s="163" t="s">
        <v>310</v>
      </c>
      <c r="C82" s="216">
        <v>0.11</v>
      </c>
    </row>
    <row r="83" spans="1:3" ht="14.25" customHeight="1">
      <c r="A83" s="2">
        <v>80</v>
      </c>
      <c r="B83" s="163" t="s">
        <v>179</v>
      </c>
      <c r="C83" s="216">
        <v>0.11</v>
      </c>
    </row>
    <row r="84" spans="1:3" ht="14.25" customHeight="1">
      <c r="A84" s="2">
        <v>81</v>
      </c>
      <c r="B84" s="2" t="s">
        <v>325</v>
      </c>
      <c r="C84" s="12">
        <v>0.11</v>
      </c>
    </row>
    <row r="85" spans="1:3" ht="14.25" customHeight="1">
      <c r="A85" s="2">
        <v>82</v>
      </c>
      <c r="B85" s="163" t="s">
        <v>170</v>
      </c>
      <c r="C85" s="216">
        <v>0.1</v>
      </c>
    </row>
    <row r="86" spans="1:3" ht="14.25" customHeight="1">
      <c r="A86" s="2">
        <v>83</v>
      </c>
      <c r="B86" s="163" t="s">
        <v>229</v>
      </c>
      <c r="C86" s="216">
        <v>0.09</v>
      </c>
    </row>
    <row r="87" spans="1:3" ht="14.25" customHeight="1">
      <c r="A87" s="2">
        <v>84</v>
      </c>
      <c r="B87" s="163" t="s">
        <v>309</v>
      </c>
      <c r="C87" s="216">
        <v>0.09</v>
      </c>
    </row>
    <row r="88" spans="1:3" ht="14.25" customHeight="1">
      <c r="A88" s="2">
        <v>85</v>
      </c>
      <c r="B88" s="163" t="s">
        <v>148</v>
      </c>
      <c r="C88" s="216">
        <v>0.09</v>
      </c>
    </row>
    <row r="89" spans="1:3" ht="14.25" customHeight="1">
      <c r="A89" s="2">
        <v>86</v>
      </c>
      <c r="B89" s="2" t="s">
        <v>126</v>
      </c>
      <c r="C89" s="12">
        <v>0.08</v>
      </c>
    </row>
    <row r="90" spans="1:3" ht="14.25" customHeight="1">
      <c r="A90" s="2">
        <v>87</v>
      </c>
      <c r="B90" s="2" t="s">
        <v>225</v>
      </c>
      <c r="C90" s="12">
        <v>0.06</v>
      </c>
    </row>
    <row r="91" spans="1:3" ht="14.25" customHeight="1">
      <c r="A91" s="2">
        <v>88</v>
      </c>
      <c r="B91" s="2" t="s">
        <v>285</v>
      </c>
      <c r="C91" s="12">
        <v>0.06</v>
      </c>
    </row>
    <row r="92" spans="1:3" ht="14.25" customHeight="1">
      <c r="A92" s="2">
        <v>89</v>
      </c>
      <c r="B92" s="2" t="s">
        <v>306</v>
      </c>
      <c r="C92" s="12">
        <v>0.06</v>
      </c>
    </row>
    <row r="93" spans="1:3" ht="14.25" customHeight="1">
      <c r="A93" s="2"/>
      <c r="B93" s="2"/>
      <c r="C93" s="12"/>
    </row>
    <row r="94" spans="1:3" ht="14.25" customHeight="1">
      <c r="A94" s="2"/>
      <c r="C94" s="40"/>
    </row>
    <row r="95" spans="1:3" ht="14.25" customHeight="1">
      <c r="A95" s="2"/>
      <c r="C95" s="40"/>
    </row>
    <row r="96" spans="1:3" ht="14.25" customHeight="1">
      <c r="A96" s="2"/>
      <c r="B96" s="7" t="s">
        <v>105</v>
      </c>
      <c r="C96" s="251">
        <v>0.17</v>
      </c>
    </row>
    <row r="97" spans="1:3" ht="14.25" customHeight="1">
      <c r="A97" s="2"/>
      <c r="B97" s="7" t="s">
        <v>104</v>
      </c>
      <c r="C97" s="256">
        <v>0.26707865168539319</v>
      </c>
    </row>
  </sheetData>
  <sortState xmlns:xlrd2="http://schemas.microsoft.com/office/spreadsheetml/2017/richdata2" ref="I4:J93">
    <sortCondition descending="1" ref="J4:J93"/>
    <sortCondition ref="I4:I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6">
    <pageSetUpPr fitToPage="1"/>
  </sheetPr>
  <dimension ref="A1:K95"/>
  <sheetViews>
    <sheetView zoomScaleNormal="100" workbookViewId="0">
      <pane ySplit="1" topLeftCell="A25" activePane="bottomLeft" state="frozen"/>
      <selection pane="bottomLeft" activeCell="B38" sqref="B38:C39"/>
      <selection activeCell="G34" sqref="G34"/>
    </sheetView>
  </sheetViews>
  <sheetFormatPr defaultColWidth="9.140625" defaultRowHeight="14.25" customHeight="1"/>
  <cols>
    <col min="1" max="1" width="6.140625" style="2" customWidth="1"/>
    <col min="2" max="2" width="22.7109375" style="2" customWidth="1"/>
    <col min="3" max="3" width="7.7109375" style="118" bestFit="1" customWidth="1"/>
    <col min="4" max="4" width="9.42578125" style="56" customWidth="1"/>
    <col min="5" max="5" width="10.28515625" style="5" customWidth="1"/>
    <col min="6" max="6" width="21.5703125" bestFit="1" customWidth="1"/>
    <col min="8" max="8" width="8.7109375" customWidth="1"/>
    <col min="10" max="10" width="25.28515625" style="20" bestFit="1" customWidth="1"/>
    <col min="11" max="11" width="19.85546875" style="11" bestFit="1" customWidth="1"/>
    <col min="12" max="12" width="8.7109375"/>
    <col min="13" max="29" width="8.85546875" customWidth="1"/>
  </cols>
  <sheetData>
    <row r="1" spans="1:11" ht="15.75" customHeight="1">
      <c r="B1" s="92" t="s">
        <v>604</v>
      </c>
      <c r="F1" s="34"/>
      <c r="H1" s="34"/>
      <c r="I1" s="34"/>
    </row>
    <row r="2" spans="1:11" ht="14.25" customHeight="1">
      <c r="B2" s="93" t="s">
        <v>605</v>
      </c>
      <c r="F2" s="34"/>
      <c r="H2" s="34"/>
      <c r="I2" s="34"/>
    </row>
    <row r="3" spans="1:11" ht="14.25" customHeight="1">
      <c r="B3" s="93"/>
      <c r="F3" s="34"/>
      <c r="H3" s="34"/>
      <c r="I3" s="34"/>
      <c r="J3" s="163"/>
      <c r="K3" s="163"/>
    </row>
    <row r="4" spans="1:11" ht="14.25" customHeight="1">
      <c r="A4" s="2">
        <v>1</v>
      </c>
      <c r="B4" s="163" t="s">
        <v>257</v>
      </c>
      <c r="C4" s="216">
        <v>199.48</v>
      </c>
      <c r="D4" s="47"/>
      <c r="H4" s="48"/>
      <c r="I4" s="48"/>
    </row>
    <row r="5" spans="1:11" ht="14.25" customHeight="1">
      <c r="A5" s="2">
        <v>2</v>
      </c>
      <c r="B5" s="163" t="s">
        <v>219</v>
      </c>
      <c r="C5" s="216">
        <v>161.74</v>
      </c>
      <c r="D5" s="47"/>
      <c r="H5" s="55"/>
      <c r="I5" s="48"/>
    </row>
    <row r="6" spans="1:11" ht="14.25" customHeight="1">
      <c r="A6" s="2">
        <v>3</v>
      </c>
      <c r="B6" s="163" t="s">
        <v>190</v>
      </c>
      <c r="C6" s="216">
        <v>159.08000000000001</v>
      </c>
      <c r="D6" s="47"/>
      <c r="H6" s="55"/>
      <c r="I6" s="48"/>
    </row>
    <row r="7" spans="1:11" ht="14.25" customHeight="1">
      <c r="A7" s="2">
        <v>4</v>
      </c>
      <c r="B7" s="163" t="s">
        <v>306</v>
      </c>
      <c r="C7" s="216">
        <v>155.44</v>
      </c>
      <c r="D7" s="47"/>
      <c r="H7" s="55"/>
      <c r="I7" s="48"/>
    </row>
    <row r="8" spans="1:11" ht="14.25" customHeight="1">
      <c r="A8" s="2">
        <v>5</v>
      </c>
      <c r="B8" s="163" t="s">
        <v>126</v>
      </c>
      <c r="C8" s="216">
        <v>152.43</v>
      </c>
      <c r="D8" s="47"/>
      <c r="H8" s="55"/>
      <c r="I8" s="2"/>
    </row>
    <row r="9" spans="1:11" ht="14.25" customHeight="1">
      <c r="A9" s="2">
        <v>6</v>
      </c>
      <c r="B9" s="163" t="s">
        <v>225</v>
      </c>
      <c r="C9" s="216">
        <v>148.72</v>
      </c>
      <c r="D9" s="47"/>
      <c r="H9" s="55"/>
      <c r="I9" s="48"/>
    </row>
    <row r="10" spans="1:11" ht="14.25" customHeight="1">
      <c r="A10" s="2">
        <v>7</v>
      </c>
      <c r="B10" s="163" t="s">
        <v>206</v>
      </c>
      <c r="C10" s="216">
        <v>147.41</v>
      </c>
      <c r="D10" s="47"/>
      <c r="H10" s="55"/>
      <c r="I10" s="48"/>
    </row>
    <row r="11" spans="1:11" ht="14.25" customHeight="1">
      <c r="A11" s="2">
        <v>8</v>
      </c>
      <c r="B11" s="163" t="s">
        <v>139</v>
      </c>
      <c r="C11" s="216">
        <v>142.16</v>
      </c>
      <c r="D11" s="47"/>
      <c r="H11" s="48"/>
      <c r="I11" s="48"/>
    </row>
    <row r="12" spans="1:11" ht="14.25" customHeight="1">
      <c r="A12" s="2">
        <v>9</v>
      </c>
      <c r="B12" s="163" t="s">
        <v>249</v>
      </c>
      <c r="C12" s="216">
        <v>142.04</v>
      </c>
      <c r="D12" s="47"/>
      <c r="H12" s="48"/>
      <c r="I12" s="48"/>
    </row>
    <row r="13" spans="1:11" ht="14.25" customHeight="1">
      <c r="A13" s="2">
        <v>10</v>
      </c>
      <c r="B13" s="163" t="s">
        <v>324</v>
      </c>
      <c r="C13" s="216">
        <v>138.87</v>
      </c>
      <c r="D13" s="47"/>
      <c r="H13" s="48"/>
      <c r="I13" s="48"/>
    </row>
    <row r="14" spans="1:11" ht="14.25" customHeight="1">
      <c r="A14" s="2">
        <v>11</v>
      </c>
      <c r="B14" s="163" t="s">
        <v>323</v>
      </c>
      <c r="C14" s="216">
        <v>138.66</v>
      </c>
      <c r="D14" s="47"/>
      <c r="H14" s="48"/>
      <c r="I14" s="2"/>
    </row>
    <row r="15" spans="1:11" ht="14.25" customHeight="1">
      <c r="A15" s="2">
        <v>12</v>
      </c>
      <c r="B15" s="163" t="s">
        <v>224</v>
      </c>
      <c r="C15" s="216">
        <v>137.49</v>
      </c>
      <c r="D15" s="47"/>
      <c r="H15" s="55"/>
      <c r="I15" s="48"/>
    </row>
    <row r="16" spans="1:11" ht="14.25" customHeight="1">
      <c r="A16" s="2">
        <v>13</v>
      </c>
      <c r="B16" s="163" t="s">
        <v>325</v>
      </c>
      <c r="C16" s="216">
        <v>132.30000000000001</v>
      </c>
      <c r="D16" s="47"/>
      <c r="H16" s="55"/>
      <c r="I16" s="48"/>
    </row>
    <row r="17" spans="1:4" ht="14.25" customHeight="1">
      <c r="A17" s="2">
        <v>14</v>
      </c>
      <c r="B17" s="163" t="s">
        <v>158</v>
      </c>
      <c r="C17" s="216">
        <v>131.33000000000001</v>
      </c>
      <c r="D17" s="47"/>
    </row>
    <row r="18" spans="1:4" ht="14.25" customHeight="1">
      <c r="A18" s="2">
        <v>15</v>
      </c>
      <c r="B18" s="163" t="s">
        <v>233</v>
      </c>
      <c r="C18" s="216">
        <v>128.62</v>
      </c>
      <c r="D18" s="47"/>
    </row>
    <row r="19" spans="1:4" ht="14.25" customHeight="1">
      <c r="A19" s="2">
        <v>16</v>
      </c>
      <c r="B19" s="163" t="s">
        <v>127</v>
      </c>
      <c r="C19" s="216">
        <v>127.77</v>
      </c>
      <c r="D19" s="47"/>
    </row>
    <row r="20" spans="1:4" ht="14.25" customHeight="1">
      <c r="A20" s="2">
        <v>17</v>
      </c>
      <c r="B20" s="163" t="s">
        <v>260</v>
      </c>
      <c r="C20" s="216">
        <v>126.92</v>
      </c>
      <c r="D20" s="47"/>
    </row>
    <row r="21" spans="1:4" ht="14.25" customHeight="1">
      <c r="A21" s="2">
        <v>18</v>
      </c>
      <c r="B21" s="163" t="s">
        <v>186</v>
      </c>
      <c r="C21" s="216">
        <v>125.2</v>
      </c>
      <c r="D21" s="47"/>
    </row>
    <row r="22" spans="1:4" ht="14.25" customHeight="1">
      <c r="A22" s="2">
        <v>19</v>
      </c>
      <c r="B22" s="163" t="s">
        <v>319</v>
      </c>
      <c r="C22" s="216">
        <v>124.9</v>
      </c>
      <c r="D22" s="47"/>
    </row>
    <row r="23" spans="1:4" ht="14.25" customHeight="1">
      <c r="A23" s="2">
        <v>20</v>
      </c>
      <c r="B23" s="163" t="s">
        <v>312</v>
      </c>
      <c r="C23" s="216">
        <v>124.1</v>
      </c>
      <c r="D23" s="47"/>
    </row>
    <row r="24" spans="1:4" ht="14.25" customHeight="1">
      <c r="A24" s="2">
        <v>21</v>
      </c>
      <c r="B24" s="163" t="s">
        <v>169</v>
      </c>
      <c r="C24" s="216">
        <v>120.32</v>
      </c>
      <c r="D24" s="47"/>
    </row>
    <row r="25" spans="1:4" ht="14.25" customHeight="1">
      <c r="A25" s="2">
        <v>22</v>
      </c>
      <c r="B25" s="163" t="s">
        <v>193</v>
      </c>
      <c r="C25" s="216">
        <v>119.41</v>
      </c>
      <c r="D25" s="47"/>
    </row>
    <row r="26" spans="1:4" ht="14.25" customHeight="1">
      <c r="A26" s="2">
        <v>23</v>
      </c>
      <c r="B26" s="163" t="s">
        <v>154</v>
      </c>
      <c r="C26" s="216">
        <v>117.11</v>
      </c>
      <c r="D26" s="47"/>
    </row>
    <row r="27" spans="1:4" ht="14.25" customHeight="1">
      <c r="A27" s="2">
        <v>24</v>
      </c>
      <c r="B27" s="163" t="s">
        <v>254</v>
      </c>
      <c r="C27" s="216">
        <v>117.01</v>
      </c>
      <c r="D27" s="47"/>
    </row>
    <row r="28" spans="1:4" ht="14.25" customHeight="1">
      <c r="A28" s="2">
        <v>25</v>
      </c>
      <c r="B28" s="163" t="s">
        <v>199</v>
      </c>
      <c r="C28" s="216">
        <v>116.94</v>
      </c>
      <c r="D28" s="47"/>
    </row>
    <row r="29" spans="1:4" ht="14.25" customHeight="1">
      <c r="A29" s="2">
        <v>26</v>
      </c>
      <c r="B29" s="163" t="s">
        <v>213</v>
      </c>
      <c r="C29" s="216">
        <v>112.75</v>
      </c>
      <c r="D29" s="47"/>
    </row>
    <row r="30" spans="1:4" ht="14.25" customHeight="1">
      <c r="A30" s="2">
        <v>27</v>
      </c>
      <c r="B30" s="2" t="s">
        <v>232</v>
      </c>
      <c r="C30" s="12">
        <v>111.6</v>
      </c>
      <c r="D30" s="47"/>
    </row>
    <row r="31" spans="1:4" ht="14.25" customHeight="1">
      <c r="A31" s="2">
        <v>28</v>
      </c>
      <c r="B31" s="163" t="s">
        <v>218</v>
      </c>
      <c r="C31" s="216">
        <v>111.44</v>
      </c>
      <c r="D31" s="47"/>
    </row>
    <row r="32" spans="1:4" ht="14.25" customHeight="1">
      <c r="A32" s="2">
        <v>29</v>
      </c>
      <c r="B32" s="163" t="s">
        <v>220</v>
      </c>
      <c r="C32" s="216">
        <v>111.26</v>
      </c>
      <c r="D32" s="47"/>
    </row>
    <row r="33" spans="1:4" ht="14.25" customHeight="1">
      <c r="A33" s="2">
        <v>30</v>
      </c>
      <c r="B33" s="163" t="s">
        <v>304</v>
      </c>
      <c r="C33" s="216">
        <v>111.09</v>
      </c>
      <c r="D33" s="47"/>
    </row>
    <row r="34" spans="1:4" ht="14.25" customHeight="1">
      <c r="A34" s="2">
        <v>31</v>
      </c>
      <c r="B34" s="163" t="s">
        <v>148</v>
      </c>
      <c r="C34" s="216">
        <v>107.77</v>
      </c>
      <c r="D34" s="47"/>
    </row>
    <row r="35" spans="1:4" ht="14.25" customHeight="1">
      <c r="A35" s="2">
        <v>32</v>
      </c>
      <c r="B35" s="163" t="s">
        <v>207</v>
      </c>
      <c r="C35" s="216">
        <v>106.26</v>
      </c>
      <c r="D35" s="47"/>
    </row>
    <row r="36" spans="1:4" ht="14.25" customHeight="1">
      <c r="A36" s="2">
        <v>33</v>
      </c>
      <c r="B36" s="163" t="s">
        <v>278</v>
      </c>
      <c r="C36" s="216">
        <v>104.63</v>
      </c>
      <c r="D36" s="47"/>
    </row>
    <row r="37" spans="1:4" ht="14.25" customHeight="1">
      <c r="A37" s="2">
        <v>34</v>
      </c>
      <c r="B37" s="163" t="s">
        <v>309</v>
      </c>
      <c r="C37" s="216">
        <v>104.42</v>
      </c>
      <c r="D37" s="47"/>
    </row>
    <row r="38" spans="1:4" ht="14.25" customHeight="1">
      <c r="A38" s="2">
        <v>35</v>
      </c>
      <c r="B38" s="163" t="s">
        <v>282</v>
      </c>
      <c r="C38" s="376">
        <v>102.36</v>
      </c>
      <c r="D38" s="47"/>
    </row>
    <row r="39" spans="1:4" ht="14.25" customHeight="1">
      <c r="A39" s="2">
        <v>36</v>
      </c>
      <c r="B39" s="163" t="s">
        <v>247</v>
      </c>
      <c r="C39" s="376">
        <v>101.64</v>
      </c>
      <c r="D39" s="47"/>
    </row>
    <row r="40" spans="1:4" ht="14.25" customHeight="1">
      <c r="A40" s="2">
        <v>37</v>
      </c>
      <c r="B40" s="163" t="s">
        <v>317</v>
      </c>
      <c r="C40" s="216">
        <v>100.68</v>
      </c>
      <c r="D40" s="47"/>
    </row>
    <row r="41" spans="1:4" ht="14.25" customHeight="1">
      <c r="A41" s="2">
        <v>38</v>
      </c>
      <c r="B41" s="163" t="s">
        <v>313</v>
      </c>
      <c r="C41" s="216">
        <v>98.83</v>
      </c>
      <c r="D41" s="47"/>
    </row>
    <row r="42" spans="1:4" ht="14.25" customHeight="1">
      <c r="A42" s="2">
        <v>39</v>
      </c>
      <c r="B42" s="163" t="s">
        <v>168</v>
      </c>
      <c r="C42" s="216">
        <v>96.97</v>
      </c>
      <c r="D42" s="47"/>
    </row>
    <row r="43" spans="1:4" ht="14.25" customHeight="1">
      <c r="A43" s="2">
        <v>40</v>
      </c>
      <c r="B43" s="163" t="s">
        <v>203</v>
      </c>
      <c r="C43" s="216">
        <v>96.86</v>
      </c>
      <c r="D43" s="47"/>
    </row>
    <row r="44" spans="1:4" ht="14.25" customHeight="1">
      <c r="A44" s="2">
        <v>41</v>
      </c>
      <c r="B44" s="163" t="s">
        <v>234</v>
      </c>
      <c r="C44" s="216">
        <v>94.86</v>
      </c>
      <c r="D44" s="47"/>
    </row>
    <row r="45" spans="1:4" ht="14.25" customHeight="1">
      <c r="A45" s="2">
        <v>42</v>
      </c>
      <c r="B45" s="163" t="s">
        <v>239</v>
      </c>
      <c r="C45" s="216">
        <v>93.37</v>
      </c>
      <c r="D45" s="47"/>
    </row>
    <row r="46" spans="1:4" ht="14.25" customHeight="1">
      <c r="A46" s="2">
        <v>43</v>
      </c>
      <c r="B46" s="163" t="s">
        <v>210</v>
      </c>
      <c r="C46" s="216">
        <v>92.56</v>
      </c>
      <c r="D46" s="47"/>
    </row>
    <row r="47" spans="1:4" ht="14.25" customHeight="1">
      <c r="A47" s="2">
        <v>44</v>
      </c>
      <c r="B47" s="163" t="s">
        <v>280</v>
      </c>
      <c r="C47" s="216">
        <v>89.29</v>
      </c>
      <c r="D47" s="47"/>
    </row>
    <row r="48" spans="1:4" ht="14.25" customHeight="1">
      <c r="A48" s="2">
        <v>45</v>
      </c>
      <c r="B48" s="163" t="s">
        <v>118</v>
      </c>
      <c r="C48" s="216">
        <v>88.73</v>
      </c>
      <c r="D48" s="47"/>
    </row>
    <row r="49" spans="1:4" ht="14.25" customHeight="1">
      <c r="A49" s="2">
        <v>46</v>
      </c>
      <c r="B49" s="163" t="s">
        <v>179</v>
      </c>
      <c r="C49" s="216">
        <v>88.51</v>
      </c>
      <c r="D49" s="47"/>
    </row>
    <row r="50" spans="1:4" ht="14.25" customHeight="1">
      <c r="A50" s="2">
        <v>47</v>
      </c>
      <c r="B50" s="163" t="s">
        <v>160</v>
      </c>
      <c r="C50" s="216">
        <v>83.33</v>
      </c>
      <c r="D50" s="47"/>
    </row>
    <row r="51" spans="1:4" ht="14.25" customHeight="1">
      <c r="A51" s="2">
        <v>48</v>
      </c>
      <c r="B51" s="163" t="s">
        <v>328</v>
      </c>
      <c r="C51" s="216">
        <v>83.14</v>
      </c>
    </row>
    <row r="52" spans="1:4" ht="14.25" customHeight="1">
      <c r="A52" s="2">
        <v>49</v>
      </c>
      <c r="B52" s="163" t="s">
        <v>285</v>
      </c>
      <c r="C52" s="216">
        <v>82.42</v>
      </c>
    </row>
    <row r="53" spans="1:4" ht="14.25" customHeight="1">
      <c r="A53" s="2">
        <v>50</v>
      </c>
      <c r="B53" s="163" t="s">
        <v>315</v>
      </c>
      <c r="C53" s="216">
        <v>81.3</v>
      </c>
    </row>
    <row r="54" spans="1:4" ht="14.25" customHeight="1">
      <c r="A54" s="2">
        <v>51</v>
      </c>
      <c r="B54" s="163" t="s">
        <v>308</v>
      </c>
      <c r="C54" s="216">
        <v>80.5</v>
      </c>
    </row>
    <row r="55" spans="1:4" ht="14.25" customHeight="1">
      <c r="A55" s="2">
        <v>52</v>
      </c>
      <c r="B55" s="163" t="s">
        <v>144</v>
      </c>
      <c r="C55" s="216">
        <v>80.040000000000006</v>
      </c>
    </row>
    <row r="56" spans="1:4" ht="14.25" customHeight="1">
      <c r="A56" s="2">
        <v>53</v>
      </c>
      <c r="B56" s="163" t="s">
        <v>223</v>
      </c>
      <c r="C56" s="216">
        <v>79.09</v>
      </c>
    </row>
    <row r="57" spans="1:4" ht="14.25" customHeight="1">
      <c r="A57" s="2">
        <v>54</v>
      </c>
      <c r="B57" s="163" t="s">
        <v>229</v>
      </c>
      <c r="C57" s="216">
        <v>77.56</v>
      </c>
    </row>
    <row r="58" spans="1:4" ht="14.25" customHeight="1">
      <c r="A58" s="2">
        <v>55</v>
      </c>
      <c r="B58" s="163" t="s">
        <v>182</v>
      </c>
      <c r="C58" s="216">
        <v>77.03</v>
      </c>
    </row>
    <row r="59" spans="1:4" ht="14.25" customHeight="1">
      <c r="A59" s="2">
        <v>56</v>
      </c>
      <c r="B59" s="163" t="s">
        <v>198</v>
      </c>
      <c r="C59" s="216">
        <v>76.989999999999995</v>
      </c>
    </row>
    <row r="60" spans="1:4" ht="14.25" customHeight="1">
      <c r="A60" s="2">
        <v>57</v>
      </c>
      <c r="B60" s="163" t="s">
        <v>202</v>
      </c>
      <c r="C60" s="216">
        <v>76.94</v>
      </c>
    </row>
    <row r="61" spans="1:4" ht="14.25" customHeight="1">
      <c r="A61" s="2">
        <v>58</v>
      </c>
      <c r="B61" s="163" t="s">
        <v>214</v>
      </c>
      <c r="C61" s="216">
        <v>76.650000000000006</v>
      </c>
    </row>
    <row r="62" spans="1:4" ht="14.25" customHeight="1">
      <c r="A62" s="2">
        <v>59</v>
      </c>
      <c r="B62" s="163" t="s">
        <v>314</v>
      </c>
      <c r="C62" s="216">
        <v>71.37</v>
      </c>
    </row>
    <row r="63" spans="1:4" ht="14.25" customHeight="1">
      <c r="A63" s="2">
        <v>60</v>
      </c>
      <c r="B63" s="163" t="s">
        <v>305</v>
      </c>
      <c r="C63" s="216">
        <v>70.05</v>
      </c>
    </row>
    <row r="64" spans="1:4" ht="14.25" customHeight="1">
      <c r="A64" s="2">
        <v>61</v>
      </c>
      <c r="B64" s="163" t="s">
        <v>310</v>
      </c>
      <c r="C64" s="216">
        <v>69.45</v>
      </c>
    </row>
    <row r="65" spans="1:3" ht="14.25" customHeight="1">
      <c r="A65" s="2">
        <v>62</v>
      </c>
      <c r="B65" s="2" t="s">
        <v>320</v>
      </c>
      <c r="C65" s="12">
        <v>67.91</v>
      </c>
    </row>
    <row r="66" spans="1:3" ht="14.25" customHeight="1">
      <c r="A66" s="2">
        <v>63</v>
      </c>
      <c r="B66" s="2" t="s">
        <v>283</v>
      </c>
      <c r="C66" s="12">
        <v>67.150000000000006</v>
      </c>
    </row>
    <row r="67" spans="1:3" ht="14.25" customHeight="1">
      <c r="A67" s="2">
        <v>64</v>
      </c>
      <c r="B67" s="2" t="s">
        <v>226</v>
      </c>
      <c r="C67" s="12">
        <v>65.31</v>
      </c>
    </row>
    <row r="68" spans="1:3" ht="14.25" customHeight="1">
      <c r="A68" s="2">
        <v>65</v>
      </c>
      <c r="B68" s="2" t="s">
        <v>238</v>
      </c>
      <c r="C68" s="12">
        <v>61.03</v>
      </c>
    </row>
    <row r="69" spans="1:3" ht="14.25" customHeight="1">
      <c r="A69" s="2">
        <v>66</v>
      </c>
      <c r="B69" s="2" t="s">
        <v>311</v>
      </c>
      <c r="C69" s="12">
        <v>59.69</v>
      </c>
    </row>
    <row r="70" spans="1:3" ht="14.25" customHeight="1">
      <c r="A70" s="2">
        <v>67</v>
      </c>
      <c r="B70" s="2" t="s">
        <v>173</v>
      </c>
      <c r="C70" s="12">
        <v>54.11</v>
      </c>
    </row>
    <row r="71" spans="1:3" ht="14.25" customHeight="1">
      <c r="A71" s="2">
        <v>68</v>
      </c>
      <c r="B71" s="2" t="s">
        <v>196</v>
      </c>
      <c r="C71" s="12">
        <v>52.56</v>
      </c>
    </row>
    <row r="72" spans="1:3" ht="14.25" customHeight="1">
      <c r="A72" s="2">
        <v>69</v>
      </c>
      <c r="B72" s="2" t="s">
        <v>236</v>
      </c>
      <c r="C72" s="12">
        <v>51.22</v>
      </c>
    </row>
    <row r="73" spans="1:3" ht="14.25" customHeight="1">
      <c r="A73" s="2">
        <v>70</v>
      </c>
      <c r="B73" s="2" t="s">
        <v>258</v>
      </c>
      <c r="C73" s="12">
        <v>47.11</v>
      </c>
    </row>
    <row r="74" spans="1:3" ht="14.25" customHeight="1">
      <c r="A74" s="2">
        <v>71</v>
      </c>
      <c r="B74" s="2" t="s">
        <v>321</v>
      </c>
      <c r="C74" s="12">
        <v>46.97</v>
      </c>
    </row>
    <row r="75" spans="1:3" ht="14.25" customHeight="1">
      <c r="A75" s="2">
        <v>72</v>
      </c>
      <c r="B75" s="2" t="s">
        <v>192</v>
      </c>
      <c r="C75" s="12">
        <v>46.45</v>
      </c>
    </row>
    <row r="76" spans="1:3" ht="14.25" customHeight="1">
      <c r="A76" s="2">
        <v>73</v>
      </c>
      <c r="B76" s="2" t="s">
        <v>244</v>
      </c>
      <c r="C76" s="12">
        <v>44.98</v>
      </c>
    </row>
    <row r="77" spans="1:3" ht="14.25" customHeight="1">
      <c r="A77" s="2">
        <v>74</v>
      </c>
      <c r="B77" s="2" t="s">
        <v>326</v>
      </c>
      <c r="C77" s="12">
        <v>44.42</v>
      </c>
    </row>
    <row r="78" spans="1:3" ht="14.25" customHeight="1">
      <c r="A78" s="2">
        <v>75</v>
      </c>
      <c r="B78" s="2" t="s">
        <v>322</v>
      </c>
      <c r="C78" s="12">
        <v>44.17</v>
      </c>
    </row>
    <row r="79" spans="1:3" ht="14.25" customHeight="1">
      <c r="A79" s="2">
        <v>76</v>
      </c>
      <c r="B79" s="2" t="s">
        <v>327</v>
      </c>
      <c r="C79" s="12">
        <v>43</v>
      </c>
    </row>
    <row r="80" spans="1:3" ht="14.25" customHeight="1">
      <c r="A80" s="2">
        <v>77</v>
      </c>
      <c r="B80" s="2" t="s">
        <v>316</v>
      </c>
      <c r="C80" s="12">
        <v>41.21</v>
      </c>
    </row>
    <row r="81" spans="1:3" ht="14.25" customHeight="1">
      <c r="A81" s="2">
        <v>78</v>
      </c>
      <c r="B81" s="2" t="s">
        <v>307</v>
      </c>
      <c r="C81" s="12">
        <v>38.450000000000003</v>
      </c>
    </row>
    <row r="82" spans="1:3" ht="14.25" customHeight="1">
      <c r="A82" s="2">
        <v>79</v>
      </c>
      <c r="B82" s="2" t="s">
        <v>261</v>
      </c>
      <c r="C82" s="12">
        <v>37.409999999999997</v>
      </c>
    </row>
    <row r="83" spans="1:3" ht="14.25" customHeight="1">
      <c r="A83" s="2">
        <v>80</v>
      </c>
      <c r="B83" s="2" t="s">
        <v>170</v>
      </c>
      <c r="C83" s="12">
        <v>34.659999999999997</v>
      </c>
    </row>
    <row r="84" spans="1:3" ht="14.25" customHeight="1">
      <c r="A84" s="2">
        <v>81</v>
      </c>
      <c r="B84" s="2" t="s">
        <v>318</v>
      </c>
      <c r="C84" s="12">
        <v>33.54</v>
      </c>
    </row>
    <row r="85" spans="1:3" ht="14.25" customHeight="1">
      <c r="A85" s="2">
        <v>82</v>
      </c>
      <c r="B85" s="2" t="s">
        <v>284</v>
      </c>
      <c r="C85" s="12">
        <v>32.76</v>
      </c>
    </row>
    <row r="86" spans="1:3" ht="14.25" customHeight="1">
      <c r="A86" s="2">
        <v>83</v>
      </c>
      <c r="B86" s="2" t="s">
        <v>165</v>
      </c>
      <c r="C86" s="12">
        <v>30.48</v>
      </c>
    </row>
    <row r="87" spans="1:3" ht="14.25" customHeight="1">
      <c r="A87" s="2">
        <v>84</v>
      </c>
      <c r="B87" s="2" t="s">
        <v>123</v>
      </c>
      <c r="C87" s="12">
        <v>29.29</v>
      </c>
    </row>
    <row r="88" spans="1:3" ht="14.25" customHeight="1">
      <c r="A88" s="2">
        <v>85</v>
      </c>
      <c r="B88" s="2" t="s">
        <v>185</v>
      </c>
      <c r="C88" s="12">
        <v>28.58</v>
      </c>
    </row>
    <row r="89" spans="1:3" ht="14.25" customHeight="1">
      <c r="A89" s="2">
        <v>86</v>
      </c>
      <c r="B89" s="2" t="s">
        <v>151</v>
      </c>
      <c r="C89" s="12">
        <v>26.95</v>
      </c>
    </row>
    <row r="90" spans="1:3" ht="14.25" customHeight="1">
      <c r="A90" s="2">
        <v>87</v>
      </c>
      <c r="B90" s="2" t="s">
        <v>256</v>
      </c>
      <c r="C90" s="12">
        <v>18.52</v>
      </c>
    </row>
    <row r="91" spans="1:3" ht="14.25" customHeight="1">
      <c r="A91" s="2">
        <v>88</v>
      </c>
      <c r="B91" s="2" t="s">
        <v>569</v>
      </c>
      <c r="C91" s="12">
        <v>13.47</v>
      </c>
    </row>
    <row r="92" spans="1:3" ht="14.25" customHeight="1">
      <c r="A92" s="2">
        <v>89</v>
      </c>
      <c r="B92" s="2" t="s">
        <v>208</v>
      </c>
      <c r="C92" s="12">
        <v>7.81</v>
      </c>
    </row>
    <row r="93" spans="1:3" ht="14.25" customHeight="1">
      <c r="C93" s="12"/>
    </row>
    <row r="94" spans="1:3" ht="14.25" customHeight="1">
      <c r="B94" s="7" t="s">
        <v>105</v>
      </c>
      <c r="C94" s="107">
        <v>88.73</v>
      </c>
    </row>
    <row r="95" spans="1:3" ht="14.25" customHeight="1">
      <c r="B95" s="7" t="s">
        <v>104</v>
      </c>
      <c r="C95" s="107">
        <v>88.723595505617979</v>
      </c>
    </row>
  </sheetData>
  <sortState xmlns:xlrd2="http://schemas.microsoft.com/office/spreadsheetml/2017/richdata2" ref="J4:K93">
    <sortCondition descending="1" ref="K4:K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7">
    <pageSetUpPr fitToPage="1"/>
  </sheetPr>
  <dimension ref="A1:K95"/>
  <sheetViews>
    <sheetView zoomScaleNormal="100" workbookViewId="0">
      <pane ySplit="1" topLeftCell="A2" activePane="bottomLeft" state="frozen"/>
      <selection pane="bottomLeft" activeCell="B10" sqref="B10:C10"/>
      <selection activeCell="G34" sqref="G34"/>
    </sheetView>
  </sheetViews>
  <sheetFormatPr defaultColWidth="9.140625" defaultRowHeight="14.25" customHeight="1"/>
  <cols>
    <col min="1" max="1" width="7.85546875" style="2" customWidth="1"/>
    <col min="2" max="2" width="22.28515625" customWidth="1"/>
    <col min="3" max="3" width="7.140625" style="56" customWidth="1"/>
    <col min="4" max="4" width="9.42578125" style="56" customWidth="1"/>
    <col min="5" max="5" width="11.5703125" customWidth="1"/>
    <col min="6" max="6" width="21.5703125" bestFit="1" customWidth="1"/>
    <col min="7" max="7" width="8.42578125" style="60" customWidth="1"/>
    <col min="8" max="8" width="8.7109375"/>
    <col min="9" max="9" width="8.85546875" customWidth="1"/>
    <col min="10" max="10" width="25.28515625" bestFit="1" customWidth="1"/>
    <col min="11" max="11" width="25.7109375" style="11" bestFit="1" customWidth="1"/>
    <col min="12" max="187" width="8.85546875" customWidth="1"/>
  </cols>
  <sheetData>
    <row r="1" spans="1:5" ht="16.5" customHeight="1">
      <c r="B1" s="92" t="s">
        <v>606</v>
      </c>
      <c r="C1" s="46"/>
      <c r="D1" s="46"/>
      <c r="E1" s="34"/>
    </row>
    <row r="2" spans="1:5" ht="15">
      <c r="B2" s="93" t="s">
        <v>607</v>
      </c>
      <c r="C2" s="46"/>
      <c r="D2" s="46"/>
      <c r="E2" s="34"/>
    </row>
    <row r="3" spans="1:5" ht="14.25" customHeight="1">
      <c r="B3" s="93"/>
      <c r="C3" s="46"/>
      <c r="D3" s="46"/>
      <c r="E3" s="34"/>
    </row>
    <row r="4" spans="1:5" ht="14.25" customHeight="1">
      <c r="A4" s="2">
        <v>1</v>
      </c>
      <c r="B4" s="163" t="s">
        <v>224</v>
      </c>
      <c r="C4" s="216">
        <v>31.17</v>
      </c>
      <c r="D4" s="47"/>
    </row>
    <row r="5" spans="1:5" ht="14.25" customHeight="1">
      <c r="A5" s="2">
        <v>2</v>
      </c>
      <c r="B5" s="163" t="s">
        <v>186</v>
      </c>
      <c r="C5" s="216">
        <v>29.46</v>
      </c>
      <c r="D5" s="47"/>
    </row>
    <row r="6" spans="1:5" ht="14.25" customHeight="1">
      <c r="A6" s="2">
        <v>3</v>
      </c>
      <c r="B6" s="163" t="s">
        <v>220</v>
      </c>
      <c r="C6" s="216">
        <v>27.98</v>
      </c>
      <c r="D6" s="47"/>
    </row>
    <row r="7" spans="1:5" ht="14.25" customHeight="1">
      <c r="A7" s="2">
        <v>4</v>
      </c>
      <c r="B7" s="163" t="s">
        <v>260</v>
      </c>
      <c r="C7" s="216">
        <v>22.06</v>
      </c>
      <c r="D7" s="47"/>
    </row>
    <row r="8" spans="1:5" ht="14.25" customHeight="1">
      <c r="A8" s="2">
        <v>5</v>
      </c>
      <c r="B8" s="163" t="s">
        <v>198</v>
      </c>
      <c r="C8" s="216">
        <v>20.04</v>
      </c>
      <c r="D8" s="47"/>
    </row>
    <row r="9" spans="1:5" ht="14.25" customHeight="1">
      <c r="A9" s="2">
        <v>6</v>
      </c>
      <c r="B9" s="163" t="s">
        <v>233</v>
      </c>
      <c r="C9" s="216">
        <v>19.88</v>
      </c>
      <c r="D9" s="47"/>
    </row>
    <row r="10" spans="1:5" ht="14.25" customHeight="1">
      <c r="A10" s="2">
        <v>7</v>
      </c>
      <c r="B10" s="163" t="s">
        <v>282</v>
      </c>
      <c r="C10" s="376">
        <v>18.05</v>
      </c>
      <c r="D10" s="47"/>
    </row>
    <row r="11" spans="1:5" ht="14.25" customHeight="1">
      <c r="A11" s="2">
        <v>8</v>
      </c>
      <c r="B11" s="163" t="s">
        <v>154</v>
      </c>
      <c r="C11" s="216">
        <v>17.02</v>
      </c>
      <c r="D11" s="47"/>
    </row>
    <row r="12" spans="1:5" ht="14.25" customHeight="1">
      <c r="A12" s="2">
        <v>9</v>
      </c>
      <c r="B12" s="163" t="s">
        <v>309</v>
      </c>
      <c r="C12" s="216">
        <v>16.059999999999999</v>
      </c>
      <c r="D12" s="47"/>
    </row>
    <row r="13" spans="1:5" ht="14.25" customHeight="1">
      <c r="A13" s="2">
        <v>10</v>
      </c>
      <c r="B13" s="163" t="s">
        <v>323</v>
      </c>
      <c r="C13" s="216">
        <v>16.03</v>
      </c>
      <c r="D13" s="47"/>
    </row>
    <row r="14" spans="1:5" ht="14.25" customHeight="1">
      <c r="A14" s="2">
        <v>11</v>
      </c>
      <c r="B14" s="163" t="s">
        <v>206</v>
      </c>
      <c r="C14" s="216">
        <v>15.52</v>
      </c>
      <c r="D14" s="47"/>
    </row>
    <row r="15" spans="1:5" ht="14.25" customHeight="1">
      <c r="A15" s="2">
        <v>12</v>
      </c>
      <c r="B15" s="163" t="s">
        <v>126</v>
      </c>
      <c r="C15" s="216">
        <v>14.59</v>
      </c>
      <c r="D15" s="47"/>
    </row>
    <row r="16" spans="1:5" ht="14.25" customHeight="1">
      <c r="A16" s="2">
        <v>13</v>
      </c>
      <c r="B16" s="163" t="s">
        <v>317</v>
      </c>
      <c r="C16" s="216">
        <v>14.03</v>
      </c>
      <c r="D16" s="47"/>
    </row>
    <row r="17" spans="1:4" ht="14.25" customHeight="1">
      <c r="A17" s="2">
        <v>14</v>
      </c>
      <c r="B17" s="163" t="s">
        <v>257</v>
      </c>
      <c r="C17" s="216">
        <v>13.94</v>
      </c>
      <c r="D17" s="47"/>
    </row>
    <row r="18" spans="1:4" ht="14.25" customHeight="1">
      <c r="A18" s="2">
        <v>15</v>
      </c>
      <c r="B18" s="163" t="s">
        <v>306</v>
      </c>
      <c r="C18" s="216">
        <v>13.71</v>
      </c>
      <c r="D18" s="47"/>
    </row>
    <row r="19" spans="1:4" ht="14.25" customHeight="1">
      <c r="A19" s="2">
        <v>16</v>
      </c>
      <c r="B19" s="163" t="s">
        <v>256</v>
      </c>
      <c r="C19" s="216">
        <v>12.51</v>
      </c>
      <c r="D19" s="47"/>
    </row>
    <row r="20" spans="1:4" ht="14.25" customHeight="1">
      <c r="A20" s="2">
        <v>17</v>
      </c>
      <c r="B20" s="163" t="s">
        <v>324</v>
      </c>
      <c r="C20" s="216">
        <v>12.39</v>
      </c>
      <c r="D20" s="47"/>
    </row>
    <row r="21" spans="1:4" ht="14.25" customHeight="1">
      <c r="A21" s="2">
        <v>18</v>
      </c>
      <c r="B21" s="163" t="s">
        <v>249</v>
      </c>
      <c r="C21" s="216">
        <v>11.98</v>
      </c>
      <c r="D21" s="47"/>
    </row>
    <row r="22" spans="1:4" ht="14.25" customHeight="1">
      <c r="A22" s="2">
        <v>19</v>
      </c>
      <c r="B22" s="163" t="s">
        <v>239</v>
      </c>
      <c r="C22" s="216">
        <v>11.88</v>
      </c>
      <c r="D22" s="47"/>
    </row>
    <row r="23" spans="1:4" ht="14.25" customHeight="1">
      <c r="A23" s="2">
        <v>20</v>
      </c>
      <c r="B23" s="163" t="s">
        <v>232</v>
      </c>
      <c r="C23" s="216">
        <v>11.75</v>
      </c>
      <c r="D23" s="47"/>
    </row>
    <row r="24" spans="1:4" ht="14.25" customHeight="1">
      <c r="A24" s="2">
        <v>21</v>
      </c>
      <c r="B24" s="163" t="s">
        <v>207</v>
      </c>
      <c r="C24" s="216">
        <v>11.74</v>
      </c>
      <c r="D24" s="47"/>
    </row>
    <row r="25" spans="1:4" ht="14.25" customHeight="1">
      <c r="A25" s="2">
        <v>22</v>
      </c>
      <c r="B25" s="163" t="s">
        <v>313</v>
      </c>
      <c r="C25" s="216">
        <v>11.72</v>
      </c>
      <c r="D25" s="47"/>
    </row>
    <row r="26" spans="1:4" ht="14.25" customHeight="1">
      <c r="A26" s="2">
        <v>23</v>
      </c>
      <c r="B26" s="163" t="s">
        <v>304</v>
      </c>
      <c r="C26" s="216">
        <v>11.54</v>
      </c>
      <c r="D26" s="47"/>
    </row>
    <row r="27" spans="1:4" ht="14.25" customHeight="1">
      <c r="A27" s="2">
        <v>24</v>
      </c>
      <c r="B27" s="163" t="s">
        <v>210</v>
      </c>
      <c r="C27" s="216">
        <v>11.39</v>
      </c>
      <c r="D27" s="47"/>
    </row>
    <row r="28" spans="1:4" ht="14.25" customHeight="1">
      <c r="A28" s="2">
        <v>25</v>
      </c>
      <c r="B28" s="163" t="s">
        <v>127</v>
      </c>
      <c r="C28" s="216">
        <v>11.13</v>
      </c>
      <c r="D28" s="47"/>
    </row>
    <row r="29" spans="1:4" ht="14.25" customHeight="1">
      <c r="A29" s="2">
        <v>26</v>
      </c>
      <c r="B29" s="163" t="s">
        <v>208</v>
      </c>
      <c r="C29" s="216">
        <v>10.65</v>
      </c>
      <c r="D29" s="47"/>
    </row>
    <row r="30" spans="1:4" ht="14.25" customHeight="1">
      <c r="A30" s="2">
        <v>27</v>
      </c>
      <c r="B30" s="163" t="s">
        <v>312</v>
      </c>
      <c r="C30" s="216">
        <v>10.59</v>
      </c>
      <c r="D30" s="47"/>
    </row>
    <row r="31" spans="1:4" ht="14.25" customHeight="1">
      <c r="A31" s="2">
        <v>28</v>
      </c>
      <c r="B31" s="163" t="s">
        <v>238</v>
      </c>
      <c r="C31" s="216">
        <v>10.1</v>
      </c>
      <c r="D31" s="47"/>
    </row>
    <row r="32" spans="1:4" ht="14.25" customHeight="1">
      <c r="A32" s="2">
        <v>29</v>
      </c>
      <c r="B32" s="163" t="s">
        <v>169</v>
      </c>
      <c r="C32" s="216">
        <v>9.8800000000000008</v>
      </c>
      <c r="D32" s="47"/>
    </row>
    <row r="33" spans="1:4" ht="14.25" customHeight="1">
      <c r="A33" s="2">
        <v>30</v>
      </c>
      <c r="B33" s="163" t="s">
        <v>314</v>
      </c>
      <c r="C33" s="216">
        <v>9.59</v>
      </c>
      <c r="D33" s="47"/>
    </row>
    <row r="34" spans="1:4" ht="14.25" customHeight="1">
      <c r="A34" s="2">
        <v>31</v>
      </c>
      <c r="B34" s="163" t="s">
        <v>203</v>
      </c>
      <c r="C34" s="216">
        <v>9.58</v>
      </c>
      <c r="D34" s="47"/>
    </row>
    <row r="35" spans="1:4" ht="14.25" customHeight="1">
      <c r="A35" s="2">
        <v>32</v>
      </c>
      <c r="B35" s="163" t="s">
        <v>190</v>
      </c>
      <c r="C35" s="216">
        <v>9.56</v>
      </c>
      <c r="D35" s="47"/>
    </row>
    <row r="36" spans="1:4" ht="14.25" customHeight="1">
      <c r="A36" s="2">
        <v>33</v>
      </c>
      <c r="B36" s="163" t="s">
        <v>151</v>
      </c>
      <c r="C36" s="216">
        <v>9.5399999999999991</v>
      </c>
      <c r="D36" s="47"/>
    </row>
    <row r="37" spans="1:4" ht="14.25" customHeight="1">
      <c r="A37" s="2">
        <v>34</v>
      </c>
      <c r="B37" s="163" t="s">
        <v>148</v>
      </c>
      <c r="C37" s="216">
        <v>9.34</v>
      </c>
      <c r="D37" s="47"/>
    </row>
    <row r="38" spans="1:4" ht="14.25" customHeight="1">
      <c r="A38" s="2">
        <v>35</v>
      </c>
      <c r="B38" s="163" t="s">
        <v>185</v>
      </c>
      <c r="C38" s="216">
        <v>8.89</v>
      </c>
      <c r="D38" s="47"/>
    </row>
    <row r="39" spans="1:4" ht="14.25" customHeight="1">
      <c r="A39" s="2">
        <v>36</v>
      </c>
      <c r="B39" s="163" t="s">
        <v>118</v>
      </c>
      <c r="C39" s="216">
        <v>8.69</v>
      </c>
      <c r="D39" s="47"/>
    </row>
    <row r="40" spans="1:4" ht="14.25" customHeight="1">
      <c r="A40" s="2">
        <v>37</v>
      </c>
      <c r="B40" s="163" t="s">
        <v>199</v>
      </c>
      <c r="C40" s="216">
        <v>8.51</v>
      </c>
      <c r="D40" s="47"/>
    </row>
    <row r="41" spans="1:4" ht="14.25" customHeight="1">
      <c r="A41" s="2">
        <v>38</v>
      </c>
      <c r="B41" s="163" t="s">
        <v>193</v>
      </c>
      <c r="C41" s="216">
        <v>8.42</v>
      </c>
      <c r="D41" s="47"/>
    </row>
    <row r="42" spans="1:4" ht="14.25" customHeight="1">
      <c r="A42" s="2">
        <v>39</v>
      </c>
      <c r="B42" s="163" t="s">
        <v>168</v>
      </c>
      <c r="C42" s="216">
        <v>8.24</v>
      </c>
      <c r="D42" s="47"/>
    </row>
    <row r="43" spans="1:4" ht="14.25" customHeight="1">
      <c r="A43" s="2">
        <v>40</v>
      </c>
      <c r="B43" s="163" t="s">
        <v>322</v>
      </c>
      <c r="C43" s="216">
        <v>8.2100000000000009</v>
      </c>
      <c r="D43" s="47"/>
    </row>
    <row r="44" spans="1:4" ht="14.25" customHeight="1">
      <c r="A44" s="2">
        <v>41</v>
      </c>
      <c r="B44" s="163" t="s">
        <v>325</v>
      </c>
      <c r="C44" s="216">
        <v>8.11</v>
      </c>
      <c r="D44" s="47"/>
    </row>
    <row r="45" spans="1:4" ht="14.25" customHeight="1">
      <c r="A45" s="2">
        <v>42</v>
      </c>
      <c r="B45" s="163" t="s">
        <v>261</v>
      </c>
      <c r="C45" s="216">
        <v>8.01</v>
      </c>
      <c r="D45" s="47"/>
    </row>
    <row r="46" spans="1:4" ht="14.25" customHeight="1">
      <c r="A46" s="2">
        <v>43</v>
      </c>
      <c r="B46" s="163" t="s">
        <v>219</v>
      </c>
      <c r="C46" s="216">
        <v>7.76</v>
      </c>
      <c r="D46" s="47"/>
    </row>
    <row r="47" spans="1:4" ht="14.25" customHeight="1">
      <c r="A47" s="2">
        <v>44</v>
      </c>
      <c r="B47" s="163" t="s">
        <v>144</v>
      </c>
      <c r="C47" s="216">
        <v>7.7</v>
      </c>
      <c r="D47" s="47"/>
    </row>
    <row r="48" spans="1:4" ht="14.25" customHeight="1">
      <c r="A48" s="2">
        <v>45</v>
      </c>
      <c r="B48" s="163" t="s">
        <v>310</v>
      </c>
      <c r="C48" s="216">
        <v>7.69</v>
      </c>
      <c r="D48" s="47"/>
    </row>
    <row r="49" spans="1:4" ht="14.25" customHeight="1">
      <c r="A49" s="2">
        <v>46</v>
      </c>
      <c r="B49" s="163" t="s">
        <v>236</v>
      </c>
      <c r="C49" s="216">
        <v>7.62</v>
      </c>
      <c r="D49" s="47"/>
    </row>
    <row r="50" spans="1:4" ht="14.25" customHeight="1">
      <c r="A50" s="2">
        <v>47</v>
      </c>
      <c r="B50" s="163" t="s">
        <v>318</v>
      </c>
      <c r="C50" s="216">
        <v>7.59</v>
      </c>
      <c r="D50" s="47"/>
    </row>
    <row r="51" spans="1:4" ht="14.25" customHeight="1">
      <c r="A51" s="2">
        <v>48</v>
      </c>
      <c r="B51" s="2" t="s">
        <v>213</v>
      </c>
      <c r="C51" s="42">
        <v>7.53</v>
      </c>
    </row>
    <row r="52" spans="1:4" ht="14.25" customHeight="1">
      <c r="A52" s="2">
        <v>49</v>
      </c>
      <c r="B52" s="2" t="s">
        <v>160</v>
      </c>
      <c r="C52" s="42">
        <v>7.49</v>
      </c>
    </row>
    <row r="53" spans="1:4" ht="14.25" customHeight="1">
      <c r="A53" s="2">
        <v>50</v>
      </c>
      <c r="B53" s="2" t="s">
        <v>225</v>
      </c>
      <c r="C53" s="42">
        <v>7.34</v>
      </c>
    </row>
    <row r="54" spans="1:4" ht="14.25" customHeight="1">
      <c r="A54" s="2">
        <v>51</v>
      </c>
      <c r="B54" s="2" t="s">
        <v>173</v>
      </c>
      <c r="C54" s="42">
        <v>7.33</v>
      </c>
    </row>
    <row r="55" spans="1:4" ht="14.25" customHeight="1">
      <c r="A55" s="2">
        <v>52</v>
      </c>
      <c r="B55" s="2" t="s">
        <v>158</v>
      </c>
      <c r="C55" s="42">
        <v>7.22</v>
      </c>
    </row>
    <row r="56" spans="1:4" ht="14.25" customHeight="1">
      <c r="A56" s="2">
        <v>53</v>
      </c>
      <c r="B56" s="2" t="s">
        <v>319</v>
      </c>
      <c r="C56" s="42">
        <v>7.2</v>
      </c>
    </row>
    <row r="57" spans="1:4" ht="14.25" customHeight="1">
      <c r="A57" s="2">
        <v>54</v>
      </c>
      <c r="B57" s="2" t="s">
        <v>192</v>
      </c>
      <c r="C57" s="42">
        <v>7.07</v>
      </c>
    </row>
    <row r="58" spans="1:4" ht="14.25" customHeight="1">
      <c r="A58" s="2">
        <v>55</v>
      </c>
      <c r="B58" s="2" t="s">
        <v>226</v>
      </c>
      <c r="C58" s="42">
        <v>6.9</v>
      </c>
    </row>
    <row r="59" spans="1:4" ht="14.25" customHeight="1">
      <c r="A59" s="2">
        <v>56</v>
      </c>
      <c r="B59" s="2" t="s">
        <v>223</v>
      </c>
      <c r="C59" s="42">
        <v>6.66</v>
      </c>
    </row>
    <row r="60" spans="1:4" ht="14.25" customHeight="1">
      <c r="A60" s="2">
        <v>57</v>
      </c>
      <c r="B60" s="2" t="s">
        <v>202</v>
      </c>
      <c r="C60" s="42">
        <v>6.59</v>
      </c>
    </row>
    <row r="61" spans="1:4" ht="14.25" customHeight="1">
      <c r="A61" s="2">
        <v>58</v>
      </c>
      <c r="B61" s="2" t="s">
        <v>234</v>
      </c>
      <c r="C61" s="42">
        <v>6.35</v>
      </c>
    </row>
    <row r="62" spans="1:4" ht="14.25" customHeight="1">
      <c r="A62" s="2">
        <v>59</v>
      </c>
      <c r="B62" s="2" t="s">
        <v>321</v>
      </c>
      <c r="C62" s="42">
        <v>6.28</v>
      </c>
    </row>
    <row r="63" spans="1:4" ht="14.25" customHeight="1">
      <c r="A63" s="2">
        <v>60</v>
      </c>
      <c r="B63" s="2" t="s">
        <v>278</v>
      </c>
      <c r="C63" s="42">
        <v>6.16</v>
      </c>
    </row>
    <row r="64" spans="1:4" ht="14.25" customHeight="1">
      <c r="A64" s="2">
        <v>61</v>
      </c>
      <c r="B64" s="2" t="s">
        <v>315</v>
      </c>
      <c r="C64" s="42">
        <v>5.93</v>
      </c>
    </row>
    <row r="65" spans="1:3" ht="14.25" customHeight="1">
      <c r="A65" s="2">
        <v>62</v>
      </c>
      <c r="B65" s="2" t="s">
        <v>254</v>
      </c>
      <c r="C65" s="42">
        <v>5.84</v>
      </c>
    </row>
    <row r="66" spans="1:3" ht="14.25" customHeight="1">
      <c r="A66" s="2">
        <v>63</v>
      </c>
      <c r="B66" s="2" t="s">
        <v>285</v>
      </c>
      <c r="C66" s="42">
        <v>5.72</v>
      </c>
    </row>
    <row r="67" spans="1:3" ht="14.25" customHeight="1">
      <c r="A67" s="2">
        <v>64</v>
      </c>
      <c r="B67" s="2" t="s">
        <v>311</v>
      </c>
      <c r="C67" s="42">
        <v>5.66</v>
      </c>
    </row>
    <row r="68" spans="1:3" ht="14.25" customHeight="1">
      <c r="A68" s="2">
        <v>65</v>
      </c>
      <c r="B68" s="2" t="s">
        <v>229</v>
      </c>
      <c r="C68" s="42">
        <v>5.36</v>
      </c>
    </row>
    <row r="69" spans="1:3" ht="14.25" customHeight="1">
      <c r="A69" s="2">
        <v>66</v>
      </c>
      <c r="B69" s="2" t="s">
        <v>247</v>
      </c>
      <c r="C69" s="42">
        <v>5.17</v>
      </c>
    </row>
    <row r="70" spans="1:3" ht="14.25" customHeight="1">
      <c r="A70" s="2">
        <v>67</v>
      </c>
      <c r="B70" s="2" t="s">
        <v>327</v>
      </c>
      <c r="C70" s="42">
        <v>4.7699999999999996</v>
      </c>
    </row>
    <row r="71" spans="1:3" ht="14.25" customHeight="1">
      <c r="A71" s="2">
        <v>68</v>
      </c>
      <c r="B71" s="2" t="s">
        <v>165</v>
      </c>
      <c r="C71" s="42">
        <v>4.68</v>
      </c>
    </row>
    <row r="72" spans="1:3" ht="14.25" customHeight="1">
      <c r="A72" s="2">
        <v>69</v>
      </c>
      <c r="B72" s="2" t="s">
        <v>328</v>
      </c>
      <c r="C72" s="42">
        <v>4.63</v>
      </c>
    </row>
    <row r="73" spans="1:3" ht="14.25" customHeight="1">
      <c r="A73" s="2">
        <v>70</v>
      </c>
      <c r="B73" s="2" t="s">
        <v>182</v>
      </c>
      <c r="C73" s="42">
        <v>4.5999999999999996</v>
      </c>
    </row>
    <row r="74" spans="1:3" ht="14.25" customHeight="1">
      <c r="A74" s="2">
        <v>71</v>
      </c>
      <c r="B74" s="2" t="s">
        <v>139</v>
      </c>
      <c r="C74" s="42">
        <v>4.49</v>
      </c>
    </row>
    <row r="75" spans="1:3" ht="14.25" customHeight="1">
      <c r="A75" s="2">
        <v>72</v>
      </c>
      <c r="B75" s="2" t="s">
        <v>179</v>
      </c>
      <c r="C75" s="42">
        <v>4.32</v>
      </c>
    </row>
    <row r="76" spans="1:3" ht="14.25" customHeight="1">
      <c r="A76" s="2">
        <v>73</v>
      </c>
      <c r="B76" s="2" t="s">
        <v>305</v>
      </c>
      <c r="C76" s="42">
        <v>4.3</v>
      </c>
    </row>
    <row r="77" spans="1:3" ht="14.25" customHeight="1">
      <c r="A77" s="2">
        <v>74</v>
      </c>
      <c r="B77" s="2" t="s">
        <v>284</v>
      </c>
      <c r="C77" s="42">
        <v>4.29</v>
      </c>
    </row>
    <row r="78" spans="1:3" ht="14.25" customHeight="1">
      <c r="A78" s="2">
        <v>75</v>
      </c>
      <c r="B78" s="2" t="s">
        <v>218</v>
      </c>
      <c r="C78" s="42">
        <v>4.2300000000000004</v>
      </c>
    </row>
    <row r="79" spans="1:3" ht="14.25" customHeight="1">
      <c r="A79" s="2">
        <v>76</v>
      </c>
      <c r="B79" s="2" t="s">
        <v>326</v>
      </c>
      <c r="C79" s="42">
        <v>4.18</v>
      </c>
    </row>
    <row r="80" spans="1:3" ht="14.25" customHeight="1">
      <c r="A80" s="2">
        <v>77</v>
      </c>
      <c r="B80" s="2" t="s">
        <v>214</v>
      </c>
      <c r="C80" s="42">
        <v>4.03</v>
      </c>
    </row>
    <row r="81" spans="1:3" ht="14.25" customHeight="1">
      <c r="A81" s="2">
        <v>78</v>
      </c>
      <c r="B81" s="2" t="s">
        <v>307</v>
      </c>
      <c r="C81" s="42">
        <v>3.88</v>
      </c>
    </row>
    <row r="82" spans="1:3" ht="14.25" customHeight="1">
      <c r="A82" s="2">
        <v>79</v>
      </c>
      <c r="B82" s="2" t="s">
        <v>258</v>
      </c>
      <c r="C82" s="42">
        <v>3.76</v>
      </c>
    </row>
    <row r="83" spans="1:3" ht="14.25" customHeight="1">
      <c r="A83" s="2">
        <v>80</v>
      </c>
      <c r="B83" s="2" t="s">
        <v>320</v>
      </c>
      <c r="C83" s="42">
        <v>3.55</v>
      </c>
    </row>
    <row r="84" spans="1:3" ht="14.25" customHeight="1">
      <c r="A84" s="2">
        <v>81</v>
      </c>
      <c r="B84" s="2" t="s">
        <v>170</v>
      </c>
      <c r="C84" s="42">
        <v>3.3</v>
      </c>
    </row>
    <row r="85" spans="1:3" ht="14.25" customHeight="1">
      <c r="A85" s="2">
        <v>82</v>
      </c>
      <c r="B85" s="2" t="s">
        <v>283</v>
      </c>
      <c r="C85" s="42">
        <v>3.03</v>
      </c>
    </row>
    <row r="86" spans="1:3" ht="14.25" customHeight="1">
      <c r="A86" s="2">
        <v>83</v>
      </c>
      <c r="B86" s="2" t="s">
        <v>123</v>
      </c>
      <c r="C86" s="42">
        <v>2.84</v>
      </c>
    </row>
    <row r="87" spans="1:3" ht="14.25" customHeight="1">
      <c r="A87" s="2">
        <v>84</v>
      </c>
      <c r="B87" s="2" t="s">
        <v>280</v>
      </c>
      <c r="C87" s="42">
        <v>2.71</v>
      </c>
    </row>
    <row r="88" spans="1:3" ht="14.25" customHeight="1">
      <c r="A88" s="2">
        <v>85</v>
      </c>
      <c r="B88" s="2" t="s">
        <v>196</v>
      </c>
      <c r="C88" s="42">
        <v>2.2400000000000002</v>
      </c>
    </row>
    <row r="89" spans="1:3" ht="14.25" customHeight="1">
      <c r="A89" s="2">
        <v>86</v>
      </c>
      <c r="B89" s="2" t="s">
        <v>244</v>
      </c>
      <c r="C89" s="42">
        <v>2.14</v>
      </c>
    </row>
    <row r="90" spans="1:3" ht="14.25" customHeight="1">
      <c r="A90" s="2">
        <v>87</v>
      </c>
      <c r="B90" s="2" t="s">
        <v>316</v>
      </c>
      <c r="C90" s="42">
        <v>2.1</v>
      </c>
    </row>
    <row r="91" spans="1:3" ht="14.25" customHeight="1">
      <c r="A91" s="2">
        <v>88</v>
      </c>
      <c r="B91" s="2" t="s">
        <v>308</v>
      </c>
      <c r="C91" s="42">
        <v>1.92</v>
      </c>
    </row>
    <row r="92" spans="1:3" ht="14.25" customHeight="1">
      <c r="A92" s="2">
        <v>89</v>
      </c>
      <c r="B92" s="2" t="s">
        <v>569</v>
      </c>
      <c r="C92" s="42">
        <v>0.99</v>
      </c>
    </row>
    <row r="93" spans="1:3" ht="14.25" customHeight="1">
      <c r="B93" s="2"/>
      <c r="C93" s="42"/>
    </row>
    <row r="94" spans="1:3" ht="14.25" customHeight="1">
      <c r="B94" s="7" t="s">
        <v>105</v>
      </c>
      <c r="C94" s="251">
        <v>7.69</v>
      </c>
    </row>
    <row r="95" spans="1:3" ht="14.25" customHeight="1">
      <c r="B95" s="7" t="s">
        <v>104</v>
      </c>
      <c r="C95" s="256">
        <v>9.0631460674157314</v>
      </c>
    </row>
  </sheetData>
  <sortState xmlns:xlrd2="http://schemas.microsoft.com/office/spreadsheetml/2017/richdata2" ref="J4:K93">
    <sortCondition descending="1" ref="K4:K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8">
    <pageSetUpPr fitToPage="1"/>
  </sheetPr>
  <dimension ref="A1:K96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6.42578125" customWidth="1"/>
    <col min="2" max="2" width="20.28515625" customWidth="1"/>
    <col min="3" max="4" width="9.42578125" customWidth="1"/>
    <col min="5" max="5" width="7.42578125" customWidth="1"/>
    <col min="6" max="6" width="21.42578125" customWidth="1"/>
    <col min="7" max="9" width="11.7109375" customWidth="1"/>
    <col min="10" max="10" width="19.140625" style="2" bestFit="1" customWidth="1"/>
    <col min="11" max="11" width="13.42578125" style="20" bestFit="1" customWidth="1"/>
  </cols>
  <sheetData>
    <row r="1" spans="1:10" ht="16.5" customHeight="1">
      <c r="B1" s="9" t="s">
        <v>608</v>
      </c>
    </row>
    <row r="2" spans="1:10" ht="14.25" customHeight="1">
      <c r="B2" s="9"/>
    </row>
    <row r="3" spans="1:10" ht="14.25" customHeight="1">
      <c r="A3" s="2">
        <v>1</v>
      </c>
      <c r="B3" s="200" t="s">
        <v>322</v>
      </c>
      <c r="C3" s="201">
        <v>1770312</v>
      </c>
      <c r="D3" s="47"/>
      <c r="I3" s="139"/>
      <c r="J3" s="215"/>
    </row>
    <row r="4" spans="1:10" ht="14.25" customHeight="1">
      <c r="A4" s="2">
        <v>2</v>
      </c>
      <c r="B4" s="200" t="s">
        <v>218</v>
      </c>
      <c r="C4" s="201">
        <v>1752373</v>
      </c>
      <c r="D4" s="47"/>
      <c r="I4" s="139"/>
      <c r="J4" s="215"/>
    </row>
    <row r="5" spans="1:10" ht="14.25" customHeight="1">
      <c r="A5" s="2">
        <v>3</v>
      </c>
      <c r="B5" s="200" t="s">
        <v>325</v>
      </c>
      <c r="C5" s="201">
        <v>1685934</v>
      </c>
      <c r="D5" s="47"/>
      <c r="I5" s="139"/>
      <c r="J5" s="215"/>
    </row>
    <row r="6" spans="1:10" ht="14.25" customHeight="1">
      <c r="A6" s="2">
        <v>4</v>
      </c>
      <c r="B6" s="200" t="s">
        <v>282</v>
      </c>
      <c r="C6" s="201">
        <v>1643458</v>
      </c>
      <c r="D6" s="47"/>
      <c r="I6" s="139"/>
      <c r="J6" s="215"/>
    </row>
    <row r="7" spans="1:10" ht="14.25" customHeight="1">
      <c r="A7" s="2">
        <v>5</v>
      </c>
      <c r="B7" s="200" t="s">
        <v>317</v>
      </c>
      <c r="C7" s="201">
        <v>1587044</v>
      </c>
      <c r="D7" s="47"/>
      <c r="I7" s="139"/>
      <c r="J7" s="215"/>
    </row>
    <row r="8" spans="1:10" ht="14.25" customHeight="1">
      <c r="A8" s="2">
        <v>6</v>
      </c>
      <c r="B8" s="200" t="s">
        <v>220</v>
      </c>
      <c r="C8" s="201">
        <v>1510505</v>
      </c>
      <c r="D8" s="47"/>
      <c r="I8" s="139"/>
      <c r="J8" s="215"/>
    </row>
    <row r="9" spans="1:10" ht="14.25" customHeight="1">
      <c r="A9" s="2">
        <v>7</v>
      </c>
      <c r="B9" s="200" t="s">
        <v>154</v>
      </c>
      <c r="C9" s="201">
        <v>1491184</v>
      </c>
      <c r="D9" s="47"/>
      <c r="I9" s="139"/>
      <c r="J9" s="215"/>
    </row>
    <row r="10" spans="1:10" ht="14.25" customHeight="1">
      <c r="A10" s="2">
        <v>8</v>
      </c>
      <c r="B10" s="200" t="s">
        <v>260</v>
      </c>
      <c r="C10" s="201">
        <v>1437902</v>
      </c>
      <c r="D10" s="47"/>
      <c r="I10" s="139"/>
      <c r="J10" s="215"/>
    </row>
    <row r="11" spans="1:10" ht="14.25" customHeight="1">
      <c r="A11" s="2">
        <v>9</v>
      </c>
      <c r="B11" s="200" t="s">
        <v>306</v>
      </c>
      <c r="C11" s="201">
        <v>1372224</v>
      </c>
      <c r="D11" s="47"/>
      <c r="I11" s="139"/>
      <c r="J11" s="215"/>
    </row>
    <row r="12" spans="1:10" ht="14.25" customHeight="1">
      <c r="A12" s="2">
        <v>10</v>
      </c>
      <c r="B12" s="200" t="s">
        <v>239</v>
      </c>
      <c r="C12" s="201">
        <v>1292983</v>
      </c>
      <c r="D12" s="47"/>
      <c r="I12" s="139"/>
      <c r="J12" s="215"/>
    </row>
    <row r="13" spans="1:10" ht="14.25" customHeight="1">
      <c r="A13" s="2">
        <v>11</v>
      </c>
      <c r="B13" s="200" t="s">
        <v>224</v>
      </c>
      <c r="C13" s="201">
        <v>1187991</v>
      </c>
      <c r="D13" s="47"/>
      <c r="I13" s="139"/>
      <c r="J13" s="215"/>
    </row>
    <row r="14" spans="1:10" ht="14.25" customHeight="1">
      <c r="A14" s="2">
        <v>12</v>
      </c>
      <c r="B14" s="200" t="s">
        <v>186</v>
      </c>
      <c r="C14" s="201">
        <v>1050153</v>
      </c>
      <c r="D14" s="47"/>
      <c r="I14" s="139"/>
      <c r="J14" s="215"/>
    </row>
    <row r="15" spans="1:10" ht="14.25" customHeight="1">
      <c r="A15" s="2">
        <v>13</v>
      </c>
      <c r="B15" s="200" t="s">
        <v>198</v>
      </c>
      <c r="C15" s="201">
        <v>982744</v>
      </c>
      <c r="D15" s="47"/>
      <c r="I15" s="139"/>
      <c r="J15" s="215"/>
    </row>
    <row r="16" spans="1:10" ht="14.25" customHeight="1">
      <c r="A16" s="2">
        <v>14</v>
      </c>
      <c r="B16" s="200" t="s">
        <v>203</v>
      </c>
      <c r="C16" s="201">
        <v>977278</v>
      </c>
      <c r="D16" s="47"/>
      <c r="I16" s="139"/>
      <c r="J16" s="215"/>
    </row>
    <row r="17" spans="1:10" ht="14.25" customHeight="1">
      <c r="A17" s="2">
        <v>15</v>
      </c>
      <c r="B17" s="200" t="s">
        <v>284</v>
      </c>
      <c r="C17" s="201">
        <v>919059</v>
      </c>
      <c r="D17" s="47"/>
      <c r="I17" s="139"/>
      <c r="J17" s="215"/>
    </row>
    <row r="18" spans="1:10" ht="14.25" customHeight="1">
      <c r="A18" s="2">
        <v>16</v>
      </c>
      <c r="B18" s="200" t="s">
        <v>318</v>
      </c>
      <c r="C18" s="201">
        <v>875657</v>
      </c>
      <c r="D18" s="47"/>
      <c r="I18" s="139"/>
      <c r="J18" s="215"/>
    </row>
    <row r="19" spans="1:10" ht="14.25" customHeight="1">
      <c r="A19" s="2">
        <v>17</v>
      </c>
      <c r="B19" s="200" t="s">
        <v>229</v>
      </c>
      <c r="C19" s="201">
        <v>870199</v>
      </c>
      <c r="D19" s="47"/>
      <c r="I19" s="139"/>
      <c r="J19" s="215"/>
    </row>
    <row r="20" spans="1:10" ht="14.25" customHeight="1">
      <c r="A20" s="2">
        <v>18</v>
      </c>
      <c r="B20" s="200" t="s">
        <v>257</v>
      </c>
      <c r="C20" s="201">
        <v>852256</v>
      </c>
      <c r="D20" s="47"/>
      <c r="I20" s="139"/>
      <c r="J20" s="215"/>
    </row>
    <row r="21" spans="1:10" ht="14.25" customHeight="1">
      <c r="A21" s="2">
        <v>19</v>
      </c>
      <c r="B21" s="200" t="s">
        <v>310</v>
      </c>
      <c r="C21" s="201">
        <v>783407</v>
      </c>
      <c r="D21" s="47"/>
      <c r="I21" s="139"/>
      <c r="J21" s="215"/>
    </row>
    <row r="22" spans="1:10" ht="14.25" customHeight="1">
      <c r="A22" s="2">
        <v>20</v>
      </c>
      <c r="B22" s="200" t="s">
        <v>173</v>
      </c>
      <c r="C22" s="201">
        <v>756556</v>
      </c>
      <c r="D22" s="47"/>
      <c r="I22" s="139"/>
      <c r="J22" s="215"/>
    </row>
    <row r="23" spans="1:10" ht="14.25" customHeight="1">
      <c r="A23" s="2">
        <v>21</v>
      </c>
      <c r="B23" s="200" t="s">
        <v>226</v>
      </c>
      <c r="C23" s="201">
        <v>688257</v>
      </c>
      <c r="D23" s="47"/>
      <c r="I23" s="139"/>
      <c r="J23" s="215"/>
    </row>
    <row r="24" spans="1:10" ht="14.25" customHeight="1">
      <c r="A24" s="2">
        <v>22</v>
      </c>
      <c r="B24" s="200" t="s">
        <v>207</v>
      </c>
      <c r="C24" s="201">
        <v>674916</v>
      </c>
      <c r="D24" s="47"/>
      <c r="I24" s="139"/>
      <c r="J24" s="215"/>
    </row>
    <row r="25" spans="1:10" ht="14.25" customHeight="1">
      <c r="A25" s="2">
        <v>23</v>
      </c>
      <c r="B25" s="200" t="s">
        <v>199</v>
      </c>
      <c r="C25" s="201">
        <v>674292</v>
      </c>
      <c r="D25" s="47"/>
      <c r="I25" s="139"/>
      <c r="J25" s="215"/>
    </row>
    <row r="26" spans="1:10" ht="14.25" customHeight="1">
      <c r="A26" s="2">
        <v>24</v>
      </c>
      <c r="B26" s="200" t="s">
        <v>232</v>
      </c>
      <c r="C26" s="201">
        <v>626151</v>
      </c>
      <c r="D26" s="47"/>
      <c r="I26" s="139"/>
      <c r="J26" s="215"/>
    </row>
    <row r="27" spans="1:10" ht="14.25" customHeight="1">
      <c r="A27" s="2">
        <v>25</v>
      </c>
      <c r="B27" s="200" t="s">
        <v>261</v>
      </c>
      <c r="C27" s="201">
        <v>620085</v>
      </c>
      <c r="D27" s="47"/>
      <c r="I27" s="139"/>
      <c r="J27" s="215"/>
    </row>
    <row r="28" spans="1:10" ht="14.25" customHeight="1">
      <c r="A28" s="2">
        <v>26</v>
      </c>
      <c r="B28" s="200" t="s">
        <v>219</v>
      </c>
      <c r="C28" s="201">
        <v>610479</v>
      </c>
      <c r="D28" s="47"/>
      <c r="I28" s="139"/>
      <c r="J28" s="215"/>
    </row>
    <row r="29" spans="1:10" ht="14.25" customHeight="1">
      <c r="A29" s="2">
        <v>27</v>
      </c>
      <c r="B29" s="200" t="s">
        <v>307</v>
      </c>
      <c r="C29" s="201">
        <v>542822</v>
      </c>
      <c r="D29" s="47"/>
      <c r="I29" s="139"/>
      <c r="J29" s="215"/>
    </row>
    <row r="30" spans="1:10" ht="14.25" customHeight="1">
      <c r="A30" s="2">
        <v>28</v>
      </c>
      <c r="B30" s="200" t="s">
        <v>225</v>
      </c>
      <c r="C30" s="201">
        <v>540739</v>
      </c>
      <c r="D30" s="47"/>
      <c r="I30" s="139"/>
      <c r="J30" s="215"/>
    </row>
    <row r="31" spans="1:10" ht="14.25" customHeight="1">
      <c r="A31" s="2">
        <v>29</v>
      </c>
      <c r="B31" s="200" t="s">
        <v>151</v>
      </c>
      <c r="C31" s="201">
        <v>507381</v>
      </c>
      <c r="D31" s="47"/>
      <c r="I31" s="139"/>
      <c r="J31" s="215"/>
    </row>
    <row r="32" spans="1:10" ht="14.25" customHeight="1">
      <c r="A32" s="2">
        <v>30</v>
      </c>
      <c r="B32" s="200" t="s">
        <v>165</v>
      </c>
      <c r="C32" s="201">
        <v>506968</v>
      </c>
      <c r="D32" s="47"/>
      <c r="I32" s="139"/>
      <c r="J32" s="215"/>
    </row>
    <row r="33" spans="1:10" ht="14.25" customHeight="1">
      <c r="A33" s="2">
        <v>31</v>
      </c>
      <c r="B33" s="200" t="s">
        <v>126</v>
      </c>
      <c r="C33" s="201">
        <v>447408</v>
      </c>
      <c r="D33" s="47"/>
      <c r="H33" s="201"/>
      <c r="I33" s="139"/>
      <c r="J33" s="215"/>
    </row>
    <row r="34" spans="1:10" ht="14.25" customHeight="1">
      <c r="A34" s="2">
        <v>32</v>
      </c>
      <c r="B34" s="200" t="s">
        <v>309</v>
      </c>
      <c r="C34" s="201">
        <v>427690</v>
      </c>
      <c r="D34" s="47"/>
      <c r="H34" s="201"/>
      <c r="I34" s="139"/>
      <c r="J34" s="215"/>
    </row>
    <row r="35" spans="1:10" ht="14.25" customHeight="1">
      <c r="A35" s="2">
        <v>33</v>
      </c>
      <c r="B35" s="200" t="s">
        <v>233</v>
      </c>
      <c r="C35" s="201">
        <v>423947</v>
      </c>
      <c r="D35" s="47"/>
      <c r="H35" s="201"/>
      <c r="I35" s="139"/>
      <c r="J35" s="215"/>
    </row>
    <row r="36" spans="1:10" ht="14.25" customHeight="1">
      <c r="A36" s="2">
        <v>34</v>
      </c>
      <c r="B36" s="200" t="s">
        <v>312</v>
      </c>
      <c r="C36" s="201">
        <v>418026</v>
      </c>
      <c r="D36" s="47"/>
      <c r="H36" s="201"/>
      <c r="I36" s="139"/>
      <c r="J36" s="215"/>
    </row>
    <row r="37" spans="1:10" ht="14.25" customHeight="1">
      <c r="A37" s="2">
        <v>35</v>
      </c>
      <c r="B37" s="200" t="s">
        <v>118</v>
      </c>
      <c r="C37" s="201">
        <v>384110</v>
      </c>
      <c r="D37" s="47"/>
      <c r="H37" s="201"/>
      <c r="I37" s="139"/>
      <c r="J37" s="215"/>
    </row>
    <row r="38" spans="1:10" ht="14.25" customHeight="1">
      <c r="A38" s="2">
        <v>36</v>
      </c>
      <c r="B38" s="200" t="s">
        <v>254</v>
      </c>
      <c r="C38" s="201">
        <v>380489</v>
      </c>
      <c r="D38" s="47"/>
      <c r="H38" s="201"/>
      <c r="I38" s="139"/>
      <c r="J38" s="215"/>
    </row>
    <row r="39" spans="1:10" ht="14.25" customHeight="1">
      <c r="A39" s="2">
        <v>37</v>
      </c>
      <c r="B39" s="200" t="s">
        <v>206</v>
      </c>
      <c r="C39" s="201">
        <v>379356</v>
      </c>
      <c r="D39" s="47"/>
      <c r="H39" s="201"/>
      <c r="I39" s="139"/>
      <c r="J39" s="215"/>
    </row>
    <row r="40" spans="1:10" ht="14.25" customHeight="1">
      <c r="A40" s="2">
        <v>38</v>
      </c>
      <c r="B40" s="200" t="s">
        <v>314</v>
      </c>
      <c r="C40" s="201">
        <v>376447</v>
      </c>
      <c r="D40" s="47"/>
      <c r="H40" s="201"/>
      <c r="I40" s="139"/>
      <c r="J40" s="215"/>
    </row>
    <row r="41" spans="1:10" ht="14.25" customHeight="1">
      <c r="A41" s="2">
        <v>39</v>
      </c>
      <c r="B41" s="200" t="s">
        <v>311</v>
      </c>
      <c r="C41" s="201">
        <v>376304</v>
      </c>
      <c r="D41" s="47"/>
      <c r="H41" s="201"/>
      <c r="I41" s="139"/>
      <c r="J41" s="215"/>
    </row>
    <row r="42" spans="1:10" ht="14.25" customHeight="1">
      <c r="A42" s="2">
        <v>40</v>
      </c>
      <c r="B42" s="200" t="s">
        <v>160</v>
      </c>
      <c r="C42" s="201">
        <v>364686</v>
      </c>
      <c r="D42" s="47"/>
      <c r="H42" s="201"/>
      <c r="I42" s="139"/>
      <c r="J42" s="215"/>
    </row>
    <row r="43" spans="1:10" ht="14.25" customHeight="1">
      <c r="A43" s="2">
        <v>41</v>
      </c>
      <c r="B43" s="200" t="s">
        <v>319</v>
      </c>
      <c r="C43" s="201">
        <v>347787</v>
      </c>
      <c r="D43" s="47"/>
      <c r="H43" s="201"/>
      <c r="I43" s="139"/>
      <c r="J43" s="215"/>
    </row>
    <row r="44" spans="1:10" ht="14.25" customHeight="1">
      <c r="A44" s="2">
        <v>42</v>
      </c>
      <c r="B44" s="200" t="s">
        <v>210</v>
      </c>
      <c r="C44" s="201">
        <v>342103</v>
      </c>
      <c r="D44" s="47"/>
      <c r="H44" s="201"/>
      <c r="I44" s="139"/>
      <c r="J44" s="215"/>
    </row>
    <row r="45" spans="1:10" ht="14.25" customHeight="1">
      <c r="A45" s="2">
        <v>43</v>
      </c>
      <c r="B45" s="200" t="s">
        <v>324</v>
      </c>
      <c r="C45" s="201">
        <v>329402</v>
      </c>
      <c r="D45" s="47"/>
      <c r="H45" s="201"/>
      <c r="I45" s="139"/>
      <c r="J45" s="215"/>
    </row>
    <row r="46" spans="1:10" ht="14.25" customHeight="1">
      <c r="A46" s="2">
        <v>44</v>
      </c>
      <c r="B46" s="200" t="s">
        <v>258</v>
      </c>
      <c r="C46" s="201">
        <v>315193</v>
      </c>
      <c r="D46" s="47"/>
      <c r="H46" s="140"/>
      <c r="I46" s="139"/>
      <c r="J46" s="215"/>
    </row>
    <row r="47" spans="1:10" ht="14.25" customHeight="1">
      <c r="A47" s="2">
        <v>45</v>
      </c>
      <c r="B47" s="200" t="s">
        <v>238</v>
      </c>
      <c r="C47" s="201">
        <v>299317</v>
      </c>
      <c r="D47" s="47"/>
      <c r="H47" s="186"/>
      <c r="I47" s="139"/>
      <c r="J47" s="215"/>
    </row>
    <row r="48" spans="1:10" ht="14.25" customHeight="1">
      <c r="A48" s="2">
        <v>46</v>
      </c>
      <c r="B48" s="200" t="s">
        <v>170</v>
      </c>
      <c r="C48" s="201">
        <v>287899</v>
      </c>
      <c r="D48" s="47"/>
      <c r="H48" s="186"/>
      <c r="I48" s="139"/>
      <c r="J48" s="215"/>
    </row>
    <row r="49" spans="1:10" ht="14.25" customHeight="1">
      <c r="A49" s="2">
        <v>47</v>
      </c>
      <c r="B49" s="200" t="s">
        <v>249</v>
      </c>
      <c r="C49" s="201">
        <v>284990</v>
      </c>
      <c r="D49" s="47"/>
      <c r="H49" s="66"/>
      <c r="I49" s="139"/>
      <c r="J49" s="215"/>
    </row>
    <row r="50" spans="1:10" ht="14.25" customHeight="1">
      <c r="A50" s="2">
        <v>48</v>
      </c>
      <c r="B50" s="2" t="s">
        <v>182</v>
      </c>
      <c r="C50" s="14">
        <v>279438</v>
      </c>
      <c r="I50" s="139"/>
      <c r="J50" s="215"/>
    </row>
    <row r="51" spans="1:10" ht="14.25" customHeight="1">
      <c r="A51" s="2">
        <v>49</v>
      </c>
      <c r="B51" s="2" t="s">
        <v>148</v>
      </c>
      <c r="C51" s="14">
        <v>279027</v>
      </c>
      <c r="I51" s="139"/>
      <c r="J51" s="215"/>
    </row>
    <row r="52" spans="1:10" ht="14.25" customHeight="1">
      <c r="A52" s="2">
        <v>50</v>
      </c>
      <c r="B52" s="2" t="s">
        <v>127</v>
      </c>
      <c r="C52" s="14">
        <v>225647</v>
      </c>
      <c r="I52" s="139"/>
      <c r="J52" s="215"/>
    </row>
    <row r="53" spans="1:10" ht="14.25" customHeight="1">
      <c r="A53" s="2">
        <v>51</v>
      </c>
      <c r="B53" s="2" t="s">
        <v>144</v>
      </c>
      <c r="C53" s="14">
        <v>221197</v>
      </c>
      <c r="I53" s="139"/>
      <c r="J53" s="215"/>
    </row>
    <row r="54" spans="1:10" ht="14.25" customHeight="1">
      <c r="A54" s="2">
        <v>52</v>
      </c>
      <c r="B54" s="2" t="s">
        <v>327</v>
      </c>
      <c r="C54" s="14">
        <v>219632</v>
      </c>
      <c r="I54" s="139"/>
      <c r="J54" s="215"/>
    </row>
    <row r="55" spans="1:10" ht="14.25" customHeight="1">
      <c r="A55" s="2">
        <v>53</v>
      </c>
      <c r="B55" s="2" t="s">
        <v>169</v>
      </c>
      <c r="C55" s="14">
        <v>218918</v>
      </c>
      <c r="I55" s="139"/>
      <c r="J55" s="215"/>
    </row>
    <row r="56" spans="1:10" ht="14.25" customHeight="1">
      <c r="A56" s="2">
        <v>54</v>
      </c>
      <c r="B56" s="2" t="s">
        <v>278</v>
      </c>
      <c r="C56" s="14">
        <v>216857</v>
      </c>
      <c r="I56" s="139"/>
      <c r="J56" s="215"/>
    </row>
    <row r="57" spans="1:10" ht="14.25" customHeight="1">
      <c r="A57" s="2">
        <v>55</v>
      </c>
      <c r="B57" s="2" t="s">
        <v>321</v>
      </c>
      <c r="C57" s="14">
        <v>216594</v>
      </c>
      <c r="I57" s="139"/>
      <c r="J57" s="215"/>
    </row>
    <row r="58" spans="1:10" ht="14.25" customHeight="1">
      <c r="A58" s="2">
        <v>56</v>
      </c>
      <c r="B58" s="2" t="s">
        <v>304</v>
      </c>
      <c r="C58" s="14">
        <v>210146</v>
      </c>
      <c r="I58" s="139"/>
      <c r="J58" s="215"/>
    </row>
    <row r="59" spans="1:10" ht="14.25" customHeight="1">
      <c r="A59" s="2">
        <v>57</v>
      </c>
      <c r="B59" s="2" t="s">
        <v>192</v>
      </c>
      <c r="C59" s="14">
        <v>206443</v>
      </c>
      <c r="I59" s="139"/>
      <c r="J59" s="215"/>
    </row>
    <row r="60" spans="1:10" ht="14.25" customHeight="1">
      <c r="A60" s="2">
        <v>58</v>
      </c>
      <c r="B60" s="2" t="s">
        <v>313</v>
      </c>
      <c r="C60" s="14">
        <v>183561</v>
      </c>
      <c r="I60" s="139"/>
      <c r="J60" s="215"/>
    </row>
    <row r="61" spans="1:10" ht="14.25" customHeight="1">
      <c r="A61" s="2">
        <v>59</v>
      </c>
      <c r="B61" s="2" t="s">
        <v>323</v>
      </c>
      <c r="C61" s="14">
        <v>150349</v>
      </c>
      <c r="I61" s="139"/>
      <c r="J61" s="215"/>
    </row>
    <row r="62" spans="1:10" ht="14.25" customHeight="1">
      <c r="A62" s="2">
        <v>60</v>
      </c>
      <c r="B62" s="2" t="s">
        <v>193</v>
      </c>
      <c r="C62" s="14">
        <v>149453</v>
      </c>
      <c r="I62" s="139"/>
      <c r="J62" s="215"/>
    </row>
    <row r="63" spans="1:10" ht="14.25" customHeight="1">
      <c r="A63" s="2">
        <v>61</v>
      </c>
      <c r="B63" s="2" t="s">
        <v>234</v>
      </c>
      <c r="C63" s="14">
        <v>139547</v>
      </c>
      <c r="I63" s="139"/>
      <c r="J63" s="215"/>
    </row>
    <row r="64" spans="1:10" ht="14.25" customHeight="1">
      <c r="A64" s="2">
        <v>62</v>
      </c>
      <c r="B64" s="2" t="s">
        <v>190</v>
      </c>
      <c r="C64" s="14">
        <v>128592</v>
      </c>
      <c r="I64" s="139"/>
      <c r="J64" s="215"/>
    </row>
    <row r="65" spans="1:10" ht="14.25" customHeight="1">
      <c r="A65" s="2">
        <v>63</v>
      </c>
      <c r="B65" s="2" t="s">
        <v>315</v>
      </c>
      <c r="C65" s="14">
        <v>128456</v>
      </c>
      <c r="I65" s="139"/>
      <c r="J65" s="215"/>
    </row>
    <row r="66" spans="1:10" ht="14.25" customHeight="1">
      <c r="A66" s="2">
        <v>64</v>
      </c>
      <c r="B66" s="2" t="s">
        <v>285</v>
      </c>
      <c r="C66" s="14">
        <v>107163</v>
      </c>
      <c r="I66" s="139"/>
      <c r="J66" s="215"/>
    </row>
    <row r="67" spans="1:10" ht="14.25" customHeight="1">
      <c r="A67" s="2">
        <v>65</v>
      </c>
      <c r="B67" s="2" t="s">
        <v>208</v>
      </c>
      <c r="C67" s="14">
        <v>100787</v>
      </c>
      <c r="I67" s="139"/>
      <c r="J67" s="215"/>
    </row>
    <row r="68" spans="1:10" ht="14.25" customHeight="1">
      <c r="A68" s="2">
        <v>66</v>
      </c>
      <c r="B68" s="2" t="s">
        <v>236</v>
      </c>
      <c r="C68" s="14">
        <v>76731</v>
      </c>
      <c r="I68" s="139"/>
      <c r="J68" s="215"/>
    </row>
    <row r="69" spans="1:10" ht="14.25" customHeight="1">
      <c r="A69" s="2">
        <v>67</v>
      </c>
      <c r="B69" s="2" t="s">
        <v>214</v>
      </c>
      <c r="C69" s="14">
        <v>68433</v>
      </c>
      <c r="I69" s="139"/>
      <c r="J69" s="215"/>
    </row>
    <row r="70" spans="1:10" ht="14.25" customHeight="1">
      <c r="A70" s="2">
        <v>68</v>
      </c>
      <c r="B70" s="2" t="s">
        <v>569</v>
      </c>
      <c r="C70" s="14">
        <v>63105</v>
      </c>
      <c r="I70" s="139"/>
      <c r="J70" s="215"/>
    </row>
    <row r="71" spans="1:10" ht="14.25" customHeight="1">
      <c r="A71" s="2">
        <v>69</v>
      </c>
      <c r="B71" s="2" t="s">
        <v>328</v>
      </c>
      <c r="C71" s="14">
        <v>60781</v>
      </c>
      <c r="I71" s="139"/>
      <c r="J71" s="215"/>
    </row>
    <row r="72" spans="1:10" ht="14.25" customHeight="1">
      <c r="A72" s="2">
        <v>70</v>
      </c>
      <c r="B72" s="2" t="s">
        <v>320</v>
      </c>
      <c r="C72" s="14">
        <v>57790</v>
      </c>
      <c r="I72" s="139"/>
      <c r="J72" s="215"/>
    </row>
    <row r="73" spans="1:10" ht="14.25" customHeight="1">
      <c r="A73" s="2">
        <v>71</v>
      </c>
      <c r="B73" s="2" t="s">
        <v>280</v>
      </c>
      <c r="C73" s="14">
        <v>51665</v>
      </c>
      <c r="I73" s="139"/>
      <c r="J73" s="215"/>
    </row>
    <row r="74" spans="1:10" ht="14.25" customHeight="1">
      <c r="A74" s="2">
        <v>72</v>
      </c>
      <c r="B74" s="2" t="s">
        <v>202</v>
      </c>
      <c r="C74" s="14">
        <v>49923</v>
      </c>
      <c r="I74" s="139"/>
      <c r="J74" s="215"/>
    </row>
    <row r="75" spans="1:10" ht="14.25" customHeight="1">
      <c r="A75" s="2">
        <v>73</v>
      </c>
      <c r="B75" s="2" t="s">
        <v>185</v>
      </c>
      <c r="C75" s="14">
        <v>48429</v>
      </c>
      <c r="I75" s="139"/>
      <c r="J75" s="215"/>
    </row>
    <row r="76" spans="1:10" ht="14.25" customHeight="1">
      <c r="A76" s="2">
        <v>74</v>
      </c>
      <c r="B76" s="2" t="s">
        <v>308</v>
      </c>
      <c r="C76" s="14">
        <v>47474</v>
      </c>
      <c r="I76" s="139"/>
      <c r="J76" s="215"/>
    </row>
    <row r="77" spans="1:10" ht="14.25" customHeight="1">
      <c r="A77" s="2">
        <v>75</v>
      </c>
      <c r="B77" s="2" t="s">
        <v>213</v>
      </c>
      <c r="C77" s="14">
        <v>41916</v>
      </c>
      <c r="I77" s="139"/>
      <c r="J77" s="215"/>
    </row>
    <row r="78" spans="1:10" ht="14.25" customHeight="1">
      <c r="A78" s="2">
        <v>76</v>
      </c>
      <c r="B78" s="2" t="s">
        <v>168</v>
      </c>
      <c r="C78" s="14">
        <v>40558</v>
      </c>
      <c r="I78" s="139"/>
      <c r="J78" s="215"/>
    </row>
    <row r="79" spans="1:10" ht="14.25" customHeight="1">
      <c r="A79" s="2">
        <v>77</v>
      </c>
      <c r="B79" s="2" t="s">
        <v>223</v>
      </c>
      <c r="C79" s="14">
        <v>36474</v>
      </c>
      <c r="I79" s="139"/>
      <c r="J79" s="215"/>
    </row>
    <row r="80" spans="1:10" ht="14.25" customHeight="1">
      <c r="A80" s="2">
        <v>78</v>
      </c>
      <c r="B80" s="200" t="s">
        <v>326</v>
      </c>
      <c r="C80" s="201">
        <v>35096</v>
      </c>
      <c r="I80" s="139"/>
      <c r="J80" s="215"/>
    </row>
    <row r="81" spans="1:10" ht="14.25" customHeight="1">
      <c r="A81" s="2">
        <v>79</v>
      </c>
      <c r="B81" s="200" t="s">
        <v>247</v>
      </c>
      <c r="C81" s="201">
        <v>30532</v>
      </c>
      <c r="I81" s="139"/>
      <c r="J81" s="215"/>
    </row>
    <row r="82" spans="1:10" ht="14.25" customHeight="1">
      <c r="A82" s="2">
        <v>80</v>
      </c>
      <c r="B82" s="200" t="s">
        <v>305</v>
      </c>
      <c r="C82" s="201">
        <v>29428</v>
      </c>
      <c r="I82" s="139"/>
      <c r="J82" s="215"/>
    </row>
    <row r="83" spans="1:10" ht="14.25" customHeight="1">
      <c r="A83" s="2">
        <v>81</v>
      </c>
      <c r="B83" s="200" t="s">
        <v>244</v>
      </c>
      <c r="C83" s="201">
        <v>20654</v>
      </c>
      <c r="I83" s="139"/>
      <c r="J83" s="215"/>
    </row>
    <row r="84" spans="1:10" ht="14.25" customHeight="1">
      <c r="A84" s="2">
        <v>82</v>
      </c>
      <c r="B84" s="200" t="s">
        <v>179</v>
      </c>
      <c r="C84" s="201">
        <v>19931</v>
      </c>
      <c r="I84" s="139"/>
      <c r="J84" s="215"/>
    </row>
    <row r="85" spans="1:10" ht="14.25" customHeight="1">
      <c r="A85" s="2">
        <v>83</v>
      </c>
      <c r="B85" s="200" t="s">
        <v>256</v>
      </c>
      <c r="C85" s="201">
        <v>17226</v>
      </c>
      <c r="I85" s="139"/>
      <c r="J85" s="215"/>
    </row>
    <row r="86" spans="1:10" ht="14.25" customHeight="1">
      <c r="A86" s="2">
        <v>84</v>
      </c>
      <c r="B86" s="200" t="s">
        <v>196</v>
      </c>
      <c r="C86" s="201">
        <v>14336</v>
      </c>
      <c r="I86" s="139"/>
      <c r="J86" s="215"/>
    </row>
    <row r="87" spans="1:10" ht="14.25" customHeight="1">
      <c r="A87" s="2">
        <v>85</v>
      </c>
      <c r="B87" s="200" t="s">
        <v>158</v>
      </c>
      <c r="C87" s="201">
        <v>13403</v>
      </c>
      <c r="I87" s="139"/>
      <c r="J87" s="215"/>
    </row>
    <row r="88" spans="1:10" ht="14.25" customHeight="1">
      <c r="A88" s="2">
        <v>86</v>
      </c>
      <c r="B88" s="200" t="s">
        <v>316</v>
      </c>
      <c r="C88" s="201">
        <v>13392</v>
      </c>
      <c r="I88" s="139"/>
      <c r="J88" s="215"/>
    </row>
    <row r="89" spans="1:10" ht="14.25" customHeight="1">
      <c r="A89" s="2">
        <v>87</v>
      </c>
      <c r="B89" s="200" t="s">
        <v>123</v>
      </c>
      <c r="C89" s="201">
        <v>13335</v>
      </c>
      <c r="I89" s="139"/>
      <c r="J89" s="215"/>
    </row>
    <row r="90" spans="1:10" ht="14.25" customHeight="1">
      <c r="A90" s="2">
        <v>88</v>
      </c>
      <c r="B90" s="200" t="s">
        <v>283</v>
      </c>
      <c r="C90" s="201">
        <v>13199</v>
      </c>
      <c r="I90" s="139"/>
      <c r="J90" s="215"/>
    </row>
    <row r="91" spans="1:10" ht="14.25" customHeight="1">
      <c r="A91" s="2">
        <v>89</v>
      </c>
      <c r="B91" s="200" t="s">
        <v>139</v>
      </c>
      <c r="C91" s="201">
        <v>7687</v>
      </c>
      <c r="I91" s="139"/>
      <c r="J91" s="215"/>
    </row>
    <row r="92" spans="1:10" ht="14.25" customHeight="1">
      <c r="A92" s="2"/>
      <c r="B92" s="200"/>
      <c r="C92" s="201"/>
      <c r="I92" s="139"/>
      <c r="J92" s="215"/>
    </row>
    <row r="93" spans="1:10" ht="14.25" customHeight="1">
      <c r="A93" s="2"/>
      <c r="C93" s="140"/>
    </row>
    <row r="94" spans="1:10" ht="14.25" customHeight="1">
      <c r="A94" s="2"/>
      <c r="B94" s="7" t="s">
        <v>105</v>
      </c>
      <c r="C94" s="255">
        <v>299317</v>
      </c>
    </row>
    <row r="95" spans="1:10" ht="14.25" customHeight="1">
      <c r="A95" s="2"/>
      <c r="B95" s="7" t="s">
        <v>104</v>
      </c>
      <c r="C95" s="255">
        <v>463255.82022471912</v>
      </c>
    </row>
    <row r="96" spans="1:10" ht="14.25" customHeight="1">
      <c r="A96" s="2"/>
      <c r="B96" s="7" t="s">
        <v>329</v>
      </c>
      <c r="C96" s="66">
        <v>41229768</v>
      </c>
    </row>
  </sheetData>
  <sortState xmlns:xlrd2="http://schemas.microsoft.com/office/spreadsheetml/2017/richdata2" ref="J2:K91">
    <sortCondition descending="1" ref="K2:K91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69">
    <pageSetUpPr fitToPage="1"/>
  </sheetPr>
  <dimension ref="A1:I96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7.5703125" customWidth="1"/>
    <col min="2" max="2" width="20.140625" customWidth="1"/>
    <col min="3" max="3" width="7.140625" style="57" customWidth="1"/>
    <col min="4" max="4" width="9.42578125" style="46" customWidth="1"/>
    <col min="5" max="5" width="11" style="46" customWidth="1"/>
    <col min="6" max="6" width="21.5703125" bestFit="1" customWidth="1"/>
    <col min="7" max="7" width="7.28515625" style="2" customWidth="1"/>
    <col min="8" max="8" width="17.42578125" style="2" bestFit="1" customWidth="1"/>
    <col min="9" max="9" width="7.85546875" style="45" bestFit="1" customWidth="1"/>
    <col min="11" max="11" width="21.5703125" bestFit="1" customWidth="1"/>
  </cols>
  <sheetData>
    <row r="1" spans="1:9" ht="16.5" customHeight="1">
      <c r="B1" s="9" t="s">
        <v>609</v>
      </c>
    </row>
    <row r="2" spans="1:9" ht="14.25" customHeight="1">
      <c r="H2" s="163"/>
      <c r="I2" s="163"/>
    </row>
    <row r="3" spans="1:9" ht="14.25" customHeight="1">
      <c r="A3" s="2">
        <v>1</v>
      </c>
      <c r="B3" s="163" t="s">
        <v>199</v>
      </c>
      <c r="C3" s="217">
        <v>11.91</v>
      </c>
      <c r="D3" s="47"/>
    </row>
    <row r="4" spans="1:9" ht="14.25" customHeight="1">
      <c r="A4" s="2">
        <v>2</v>
      </c>
      <c r="B4" s="163" t="s">
        <v>210</v>
      </c>
      <c r="C4" s="217">
        <v>11.69</v>
      </c>
      <c r="D4" s="47"/>
    </row>
    <row r="5" spans="1:9" ht="14.25" customHeight="1">
      <c r="A5" s="2">
        <v>3</v>
      </c>
      <c r="B5" s="163" t="s">
        <v>261</v>
      </c>
      <c r="C5" s="217">
        <v>11.24</v>
      </c>
      <c r="D5" s="47"/>
    </row>
    <row r="6" spans="1:9" ht="14.25" customHeight="1">
      <c r="A6" s="2">
        <v>4</v>
      </c>
      <c r="B6" s="163" t="s">
        <v>257</v>
      </c>
      <c r="C6" s="217">
        <v>10.7</v>
      </c>
      <c r="D6" s="47"/>
    </row>
    <row r="7" spans="1:9" ht="14.25" customHeight="1">
      <c r="A7" s="2">
        <v>5</v>
      </c>
      <c r="B7" s="163" t="s">
        <v>282</v>
      </c>
      <c r="C7" s="217">
        <v>8.61</v>
      </c>
      <c r="D7" s="47"/>
    </row>
    <row r="8" spans="1:9" ht="14.25" customHeight="1">
      <c r="A8" s="2">
        <v>6</v>
      </c>
      <c r="B8" s="163" t="s">
        <v>219</v>
      </c>
      <c r="C8" s="217">
        <v>8.3699999999999992</v>
      </c>
      <c r="D8" s="47"/>
    </row>
    <row r="9" spans="1:9" ht="14.25" customHeight="1">
      <c r="A9" s="2">
        <v>7</v>
      </c>
      <c r="B9" s="163" t="s">
        <v>322</v>
      </c>
      <c r="C9" s="217">
        <v>7.72</v>
      </c>
      <c r="D9" s="47"/>
    </row>
    <row r="10" spans="1:9" ht="14.25" customHeight="1">
      <c r="A10" s="2">
        <v>8</v>
      </c>
      <c r="B10" s="163" t="s">
        <v>232</v>
      </c>
      <c r="C10" s="217">
        <v>7.68</v>
      </c>
      <c r="D10" s="47"/>
    </row>
    <row r="11" spans="1:9" ht="14.25" customHeight="1">
      <c r="A11" s="2">
        <v>9</v>
      </c>
      <c r="B11" s="163" t="s">
        <v>226</v>
      </c>
      <c r="C11" s="217">
        <v>7.58</v>
      </c>
      <c r="D11" s="47"/>
    </row>
    <row r="12" spans="1:9" ht="14.25" customHeight="1">
      <c r="A12" s="2">
        <v>10</v>
      </c>
      <c r="B12" s="163" t="s">
        <v>317</v>
      </c>
      <c r="C12" s="217">
        <v>7.36</v>
      </c>
      <c r="D12" s="47"/>
    </row>
    <row r="13" spans="1:9" ht="14.25" customHeight="1">
      <c r="A13" s="2">
        <v>11</v>
      </c>
      <c r="B13" s="163" t="s">
        <v>278</v>
      </c>
      <c r="C13" s="217">
        <v>7.31</v>
      </c>
      <c r="D13" s="47"/>
    </row>
    <row r="14" spans="1:9" ht="14.25" customHeight="1">
      <c r="A14" s="2">
        <v>12</v>
      </c>
      <c r="B14" s="163" t="s">
        <v>190</v>
      </c>
      <c r="C14" s="217">
        <v>7.11</v>
      </c>
      <c r="D14" s="47"/>
    </row>
    <row r="15" spans="1:9" ht="14.25" customHeight="1">
      <c r="A15" s="2">
        <v>13</v>
      </c>
      <c r="B15" s="163" t="s">
        <v>325</v>
      </c>
      <c r="C15" s="217">
        <v>7.11</v>
      </c>
      <c r="D15" s="47"/>
    </row>
    <row r="16" spans="1:9" ht="14.25" customHeight="1">
      <c r="A16" s="2">
        <v>14</v>
      </c>
      <c r="B16" s="163" t="s">
        <v>307</v>
      </c>
      <c r="C16" s="217">
        <v>6.88</v>
      </c>
      <c r="D16" s="47"/>
    </row>
    <row r="17" spans="1:4" ht="14.25" customHeight="1">
      <c r="A17" s="2">
        <v>15</v>
      </c>
      <c r="B17" s="163" t="s">
        <v>207</v>
      </c>
      <c r="C17" s="217">
        <v>6.85</v>
      </c>
      <c r="D17" s="47"/>
    </row>
    <row r="18" spans="1:4" ht="14.25" customHeight="1">
      <c r="A18" s="2">
        <v>16</v>
      </c>
      <c r="B18" s="163" t="s">
        <v>318</v>
      </c>
      <c r="C18" s="217">
        <v>6.82</v>
      </c>
      <c r="D18" s="47"/>
    </row>
    <row r="19" spans="1:4" ht="14.25" customHeight="1">
      <c r="A19" s="2">
        <v>17</v>
      </c>
      <c r="B19" s="163" t="s">
        <v>186</v>
      </c>
      <c r="C19" s="217">
        <v>6.78</v>
      </c>
      <c r="D19" s="47"/>
    </row>
    <row r="20" spans="1:4" ht="14.25" customHeight="1">
      <c r="A20" s="2">
        <v>18</v>
      </c>
      <c r="B20" s="163" t="s">
        <v>284</v>
      </c>
      <c r="C20" s="217">
        <v>6.61</v>
      </c>
      <c r="D20" s="47"/>
    </row>
    <row r="21" spans="1:4" ht="14.25" customHeight="1">
      <c r="A21" s="2">
        <v>19</v>
      </c>
      <c r="B21" s="163" t="s">
        <v>218</v>
      </c>
      <c r="C21" s="217">
        <v>6.6</v>
      </c>
      <c r="D21" s="47"/>
    </row>
    <row r="22" spans="1:4" ht="14.25" customHeight="1">
      <c r="A22" s="2">
        <v>20</v>
      </c>
      <c r="B22" s="163" t="s">
        <v>118</v>
      </c>
      <c r="C22" s="217">
        <v>6.59</v>
      </c>
      <c r="D22" s="47"/>
    </row>
    <row r="23" spans="1:4" ht="14.25" customHeight="1">
      <c r="A23" s="2">
        <v>21</v>
      </c>
      <c r="B23" s="163" t="s">
        <v>192</v>
      </c>
      <c r="C23" s="217">
        <v>6.51</v>
      </c>
      <c r="D23" s="47"/>
    </row>
    <row r="24" spans="1:4" ht="14.25" customHeight="1">
      <c r="A24" s="2">
        <v>22</v>
      </c>
      <c r="B24" s="163" t="s">
        <v>260</v>
      </c>
      <c r="C24" s="217">
        <v>6.48</v>
      </c>
      <c r="D24" s="47"/>
    </row>
    <row r="25" spans="1:4" ht="14.25" customHeight="1">
      <c r="A25" s="2">
        <v>23</v>
      </c>
      <c r="B25" s="163" t="s">
        <v>193</v>
      </c>
      <c r="C25" s="217">
        <v>6.45</v>
      </c>
      <c r="D25" s="47"/>
    </row>
    <row r="26" spans="1:4" ht="14.25" customHeight="1">
      <c r="A26" s="2">
        <v>24</v>
      </c>
      <c r="B26" s="163" t="s">
        <v>238</v>
      </c>
      <c r="C26" s="217">
        <v>6.17</v>
      </c>
      <c r="D26" s="47"/>
    </row>
    <row r="27" spans="1:4" ht="14.25" customHeight="1">
      <c r="A27" s="2">
        <v>25</v>
      </c>
      <c r="B27" s="163" t="s">
        <v>127</v>
      </c>
      <c r="C27" s="217">
        <v>6.17</v>
      </c>
      <c r="D27" s="47"/>
    </row>
    <row r="28" spans="1:4" ht="14.25" customHeight="1">
      <c r="A28" s="2">
        <v>26</v>
      </c>
      <c r="B28" s="163" t="s">
        <v>229</v>
      </c>
      <c r="C28" s="217">
        <v>6.02</v>
      </c>
      <c r="D28" s="47"/>
    </row>
    <row r="29" spans="1:4" ht="14.25" customHeight="1">
      <c r="A29" s="2">
        <v>27</v>
      </c>
      <c r="B29" s="163" t="s">
        <v>123</v>
      </c>
      <c r="C29" s="217">
        <v>6.01</v>
      </c>
      <c r="D29" s="47"/>
    </row>
    <row r="30" spans="1:4" ht="14.25" customHeight="1">
      <c r="A30" s="2">
        <v>28</v>
      </c>
      <c r="B30" s="163" t="s">
        <v>258</v>
      </c>
      <c r="C30" s="217">
        <v>5.89</v>
      </c>
      <c r="D30" s="47"/>
    </row>
    <row r="31" spans="1:4" ht="14.25" customHeight="1">
      <c r="A31" s="2">
        <v>29</v>
      </c>
      <c r="B31" s="163" t="s">
        <v>280</v>
      </c>
      <c r="C31" s="217">
        <v>5.75</v>
      </c>
      <c r="D31" s="47"/>
    </row>
    <row r="32" spans="1:4" ht="14.25" customHeight="1">
      <c r="A32" s="2">
        <v>30</v>
      </c>
      <c r="B32" s="163" t="s">
        <v>220</v>
      </c>
      <c r="C32" s="217">
        <v>5.58</v>
      </c>
      <c r="D32" s="47"/>
    </row>
    <row r="33" spans="1:4" ht="14.25" customHeight="1">
      <c r="A33" s="2">
        <v>31</v>
      </c>
      <c r="B33" s="163" t="s">
        <v>151</v>
      </c>
      <c r="C33" s="217">
        <v>5.5</v>
      </c>
      <c r="D33" s="47"/>
    </row>
    <row r="34" spans="1:4" ht="14.25" customHeight="1">
      <c r="A34" s="2">
        <v>32</v>
      </c>
      <c r="B34" s="163" t="s">
        <v>234</v>
      </c>
      <c r="C34" s="217">
        <v>5.44</v>
      </c>
      <c r="D34" s="47"/>
    </row>
    <row r="35" spans="1:4" ht="14.25" customHeight="1">
      <c r="A35" s="2">
        <v>33</v>
      </c>
      <c r="B35" s="163" t="s">
        <v>314</v>
      </c>
      <c r="C35" s="217">
        <v>5.43</v>
      </c>
      <c r="D35" s="47"/>
    </row>
    <row r="36" spans="1:4" ht="14.25" customHeight="1">
      <c r="A36" s="2">
        <v>34</v>
      </c>
      <c r="B36" s="163" t="s">
        <v>239</v>
      </c>
      <c r="C36" s="217">
        <v>5.42</v>
      </c>
      <c r="D36" s="47"/>
    </row>
    <row r="37" spans="1:4" ht="14.25" customHeight="1">
      <c r="A37" s="2">
        <v>35</v>
      </c>
      <c r="B37" s="163" t="s">
        <v>169</v>
      </c>
      <c r="C37" s="217">
        <v>5.32</v>
      </c>
      <c r="D37" s="47"/>
    </row>
    <row r="38" spans="1:4" ht="14.25" customHeight="1">
      <c r="A38" s="2">
        <v>36</v>
      </c>
      <c r="B38" s="163" t="s">
        <v>254</v>
      </c>
      <c r="C38" s="217">
        <v>5.22</v>
      </c>
      <c r="D38" s="47"/>
    </row>
    <row r="39" spans="1:4" ht="14.25" customHeight="1">
      <c r="A39" s="2">
        <v>37</v>
      </c>
      <c r="B39" s="163" t="s">
        <v>327</v>
      </c>
      <c r="C39" s="217">
        <v>5.19</v>
      </c>
      <c r="D39" s="47"/>
    </row>
    <row r="40" spans="1:4" ht="14.25" customHeight="1">
      <c r="A40" s="2">
        <v>38</v>
      </c>
      <c r="B40" s="163" t="s">
        <v>144</v>
      </c>
      <c r="C40" s="217">
        <v>5.0999999999999996</v>
      </c>
      <c r="D40" s="47"/>
    </row>
    <row r="41" spans="1:4" ht="14.25" customHeight="1">
      <c r="A41" s="2">
        <v>39</v>
      </c>
      <c r="B41" s="163" t="s">
        <v>168</v>
      </c>
      <c r="C41" s="217">
        <v>4.82</v>
      </c>
      <c r="D41" s="47"/>
    </row>
    <row r="42" spans="1:4" ht="14.25" customHeight="1">
      <c r="A42" s="2">
        <v>40</v>
      </c>
      <c r="B42" s="163" t="s">
        <v>319</v>
      </c>
      <c r="C42" s="217">
        <v>4.79</v>
      </c>
      <c r="D42" s="47"/>
    </row>
    <row r="43" spans="1:4" ht="14.25" customHeight="1">
      <c r="A43" s="2">
        <v>41</v>
      </c>
      <c r="B43" s="163" t="s">
        <v>312</v>
      </c>
      <c r="C43" s="217">
        <v>4.74</v>
      </c>
      <c r="D43" s="47"/>
    </row>
    <row r="44" spans="1:4" ht="14.25" customHeight="1">
      <c r="A44" s="2">
        <v>42</v>
      </c>
      <c r="B44" s="163" t="s">
        <v>173</v>
      </c>
      <c r="C44" s="217">
        <v>4.68</v>
      </c>
      <c r="D44" s="47"/>
    </row>
    <row r="45" spans="1:4" ht="14.25" customHeight="1">
      <c r="A45" s="2">
        <v>43</v>
      </c>
      <c r="B45" s="163" t="s">
        <v>304</v>
      </c>
      <c r="C45" s="217">
        <v>4.68</v>
      </c>
      <c r="D45" s="47"/>
    </row>
    <row r="46" spans="1:4" ht="14.25" customHeight="1">
      <c r="A46" s="2">
        <v>44</v>
      </c>
      <c r="B46" s="163" t="s">
        <v>569</v>
      </c>
      <c r="C46" s="217">
        <v>4.6500000000000004</v>
      </c>
      <c r="D46" s="47"/>
    </row>
    <row r="47" spans="1:4" ht="14.25" customHeight="1">
      <c r="A47" s="2">
        <v>45</v>
      </c>
      <c r="B47" s="163" t="s">
        <v>323</v>
      </c>
      <c r="C47" s="217">
        <v>4.49</v>
      </c>
      <c r="D47" s="47"/>
    </row>
    <row r="48" spans="1:4" ht="14.25" customHeight="1">
      <c r="A48" s="2">
        <v>46</v>
      </c>
      <c r="B48" s="163" t="s">
        <v>160</v>
      </c>
      <c r="C48" s="217">
        <v>4.49</v>
      </c>
      <c r="D48" s="47"/>
    </row>
    <row r="49" spans="1:4" ht="14.25" customHeight="1">
      <c r="A49" s="2">
        <v>47</v>
      </c>
      <c r="B49" s="163" t="s">
        <v>198</v>
      </c>
      <c r="C49" s="217">
        <v>4.43</v>
      </c>
      <c r="D49" s="47"/>
    </row>
    <row r="50" spans="1:4" ht="14.25" customHeight="1">
      <c r="A50" s="2">
        <v>48</v>
      </c>
      <c r="B50" s="163" t="s">
        <v>320</v>
      </c>
      <c r="C50" s="216">
        <v>4.3899999999999997</v>
      </c>
    </row>
    <row r="51" spans="1:4" ht="14.25" customHeight="1">
      <c r="A51" s="2">
        <v>49</v>
      </c>
      <c r="B51" s="163" t="s">
        <v>224</v>
      </c>
      <c r="C51" s="216">
        <v>4.32</v>
      </c>
    </row>
    <row r="52" spans="1:4" ht="14.25" customHeight="1">
      <c r="A52" s="2">
        <v>50</v>
      </c>
      <c r="B52" s="163" t="s">
        <v>154</v>
      </c>
      <c r="C52" s="216">
        <v>4.2</v>
      </c>
    </row>
    <row r="53" spans="1:4" ht="14.25" customHeight="1">
      <c r="A53" s="2">
        <v>51</v>
      </c>
      <c r="B53" s="163" t="s">
        <v>249</v>
      </c>
      <c r="C53" s="216">
        <v>4.13</v>
      </c>
    </row>
    <row r="54" spans="1:4" ht="14.25" customHeight="1">
      <c r="A54" s="2">
        <v>52</v>
      </c>
      <c r="B54" s="163" t="s">
        <v>182</v>
      </c>
      <c r="C54" s="216">
        <v>4.07</v>
      </c>
    </row>
    <row r="55" spans="1:4" ht="14.25" customHeight="1">
      <c r="A55" s="2">
        <v>53</v>
      </c>
      <c r="B55" s="163" t="s">
        <v>315</v>
      </c>
      <c r="C55" s="216">
        <v>3.88</v>
      </c>
    </row>
    <row r="56" spans="1:4" ht="14.25" customHeight="1">
      <c r="A56" s="2">
        <v>54</v>
      </c>
      <c r="B56" s="163" t="s">
        <v>206</v>
      </c>
      <c r="C56" s="216">
        <v>3.86</v>
      </c>
    </row>
    <row r="57" spans="1:4" ht="14.25" customHeight="1">
      <c r="A57" s="2">
        <v>55</v>
      </c>
      <c r="B57" s="163" t="s">
        <v>208</v>
      </c>
      <c r="C57" s="216">
        <v>3.84</v>
      </c>
    </row>
    <row r="58" spans="1:4" ht="14.25" customHeight="1">
      <c r="A58" s="2">
        <v>56</v>
      </c>
      <c r="B58" s="163" t="s">
        <v>203</v>
      </c>
      <c r="C58" s="216">
        <v>3.83</v>
      </c>
    </row>
    <row r="59" spans="1:4" ht="14.25" customHeight="1">
      <c r="A59" s="2">
        <v>57</v>
      </c>
      <c r="B59" s="163" t="s">
        <v>233</v>
      </c>
      <c r="C59" s="216">
        <v>3.83</v>
      </c>
    </row>
    <row r="60" spans="1:4" ht="14.25" customHeight="1">
      <c r="A60" s="2">
        <v>58</v>
      </c>
      <c r="B60" s="163" t="s">
        <v>311</v>
      </c>
      <c r="C60" s="216">
        <v>3.75</v>
      </c>
    </row>
    <row r="61" spans="1:4" ht="14.25" customHeight="1">
      <c r="A61" s="2">
        <v>59</v>
      </c>
      <c r="B61" s="163" t="s">
        <v>316</v>
      </c>
      <c r="C61" s="216">
        <v>3.71</v>
      </c>
    </row>
    <row r="62" spans="1:4" ht="14.25" customHeight="1">
      <c r="A62" s="2">
        <v>60</v>
      </c>
      <c r="B62" s="163" t="s">
        <v>328</v>
      </c>
      <c r="C62" s="216">
        <v>3.44</v>
      </c>
    </row>
    <row r="63" spans="1:4" ht="14.25" customHeight="1">
      <c r="A63" s="2">
        <v>61</v>
      </c>
      <c r="B63" s="163" t="s">
        <v>236</v>
      </c>
      <c r="C63" s="216">
        <v>3.44</v>
      </c>
    </row>
    <row r="64" spans="1:4" ht="14.25" customHeight="1">
      <c r="A64" s="2">
        <v>62</v>
      </c>
      <c r="B64" s="2" t="s">
        <v>247</v>
      </c>
      <c r="C64" s="12">
        <v>3.44</v>
      </c>
    </row>
    <row r="65" spans="1:3" ht="14.25" customHeight="1">
      <c r="A65" s="2">
        <v>63</v>
      </c>
      <c r="B65" s="2" t="s">
        <v>324</v>
      </c>
      <c r="C65" s="12">
        <v>3.39</v>
      </c>
    </row>
    <row r="66" spans="1:3" ht="14.25" customHeight="1">
      <c r="A66" s="2">
        <v>64</v>
      </c>
      <c r="B66" s="2" t="s">
        <v>158</v>
      </c>
      <c r="C66" s="12">
        <v>3.34</v>
      </c>
    </row>
    <row r="67" spans="1:3" ht="14.25" customHeight="1">
      <c r="A67" s="2">
        <v>65</v>
      </c>
      <c r="B67" s="2" t="s">
        <v>139</v>
      </c>
      <c r="C67" s="12">
        <v>3.27</v>
      </c>
    </row>
    <row r="68" spans="1:3" ht="14.25" customHeight="1">
      <c r="A68" s="2">
        <v>66</v>
      </c>
      <c r="B68" s="2" t="s">
        <v>214</v>
      </c>
      <c r="C68" s="12">
        <v>3.26</v>
      </c>
    </row>
    <row r="69" spans="1:3" ht="14.25" customHeight="1">
      <c r="A69" s="2">
        <v>67</v>
      </c>
      <c r="B69" s="2" t="s">
        <v>321</v>
      </c>
      <c r="C69" s="12">
        <v>3.24</v>
      </c>
    </row>
    <row r="70" spans="1:3" ht="14.25" customHeight="1">
      <c r="A70" s="2">
        <v>68</v>
      </c>
      <c r="B70" s="2" t="s">
        <v>306</v>
      </c>
      <c r="C70" s="12">
        <v>3.13</v>
      </c>
    </row>
    <row r="71" spans="1:3" ht="14.25" customHeight="1">
      <c r="A71" s="2">
        <v>69</v>
      </c>
      <c r="B71" s="2" t="s">
        <v>244</v>
      </c>
      <c r="C71" s="12">
        <v>2.92</v>
      </c>
    </row>
    <row r="72" spans="1:3" ht="14.25" customHeight="1">
      <c r="A72" s="2">
        <v>70</v>
      </c>
      <c r="B72" s="2" t="s">
        <v>308</v>
      </c>
      <c r="C72" s="12">
        <v>2.71</v>
      </c>
    </row>
    <row r="73" spans="1:3" ht="14.25" customHeight="1">
      <c r="A73" s="2">
        <v>71</v>
      </c>
      <c r="B73" s="2" t="s">
        <v>313</v>
      </c>
      <c r="C73" s="12">
        <v>2.65</v>
      </c>
    </row>
    <row r="74" spans="1:3" ht="14.25" customHeight="1">
      <c r="A74" s="2">
        <v>72</v>
      </c>
      <c r="B74" s="2" t="s">
        <v>223</v>
      </c>
      <c r="C74" s="12">
        <v>2.56</v>
      </c>
    </row>
    <row r="75" spans="1:3" ht="14.25" customHeight="1">
      <c r="A75" s="2">
        <v>73</v>
      </c>
      <c r="B75" s="2" t="s">
        <v>185</v>
      </c>
      <c r="C75" s="12">
        <v>2.5099999999999998</v>
      </c>
    </row>
    <row r="76" spans="1:3" ht="14.25" customHeight="1">
      <c r="A76" s="2">
        <v>74</v>
      </c>
      <c r="B76" s="2" t="s">
        <v>213</v>
      </c>
      <c r="C76" s="12">
        <v>2.4900000000000002</v>
      </c>
    </row>
    <row r="77" spans="1:3" ht="14.25" customHeight="1">
      <c r="A77" s="2">
        <v>75</v>
      </c>
      <c r="B77" s="2" t="s">
        <v>326</v>
      </c>
      <c r="C77" s="12">
        <v>2.44</v>
      </c>
    </row>
    <row r="78" spans="1:3" ht="14.25" customHeight="1">
      <c r="A78" s="2">
        <v>76</v>
      </c>
      <c r="B78" s="2" t="s">
        <v>202</v>
      </c>
      <c r="C78" s="12">
        <v>2.41</v>
      </c>
    </row>
    <row r="79" spans="1:3" ht="14.25" customHeight="1">
      <c r="A79" s="2">
        <v>77</v>
      </c>
      <c r="B79" s="2" t="s">
        <v>126</v>
      </c>
      <c r="C79" s="12">
        <v>2.41</v>
      </c>
    </row>
    <row r="80" spans="1:3" ht="14.25" customHeight="1">
      <c r="A80" s="2">
        <v>78</v>
      </c>
      <c r="B80" s="163" t="s">
        <v>225</v>
      </c>
      <c r="C80" s="216">
        <v>2.36</v>
      </c>
    </row>
    <row r="81" spans="1:3" ht="14.25" customHeight="1">
      <c r="A81" s="2">
        <v>79</v>
      </c>
      <c r="B81" s="163" t="s">
        <v>283</v>
      </c>
      <c r="C81" s="216">
        <v>2.36</v>
      </c>
    </row>
    <row r="82" spans="1:3" ht="14.25" customHeight="1">
      <c r="A82" s="2">
        <v>80</v>
      </c>
      <c r="B82" s="163" t="s">
        <v>196</v>
      </c>
      <c r="C82" s="216">
        <v>2.35</v>
      </c>
    </row>
    <row r="83" spans="1:3" ht="14.25" customHeight="1">
      <c r="A83" s="2">
        <v>81</v>
      </c>
      <c r="B83" s="163" t="s">
        <v>309</v>
      </c>
      <c r="C83" s="216">
        <v>2.27</v>
      </c>
    </row>
    <row r="84" spans="1:3" ht="14.25" customHeight="1">
      <c r="A84" s="2">
        <v>82</v>
      </c>
      <c r="B84" s="163" t="s">
        <v>256</v>
      </c>
      <c r="C84" s="216">
        <v>2.21</v>
      </c>
    </row>
    <row r="85" spans="1:3" ht="14.25" customHeight="1">
      <c r="A85" s="2">
        <v>83</v>
      </c>
      <c r="B85" s="163" t="s">
        <v>310</v>
      </c>
      <c r="C85" s="216">
        <v>2.0299999999999998</v>
      </c>
    </row>
    <row r="86" spans="1:3" ht="14.25" customHeight="1">
      <c r="A86" s="2">
        <v>84</v>
      </c>
      <c r="B86" s="163" t="s">
        <v>165</v>
      </c>
      <c r="C86" s="216">
        <v>2.0099999999999998</v>
      </c>
    </row>
    <row r="87" spans="1:3" ht="14.25" customHeight="1">
      <c r="A87" s="2">
        <v>85</v>
      </c>
      <c r="B87" s="163" t="s">
        <v>148</v>
      </c>
      <c r="C87" s="216">
        <v>1.98</v>
      </c>
    </row>
    <row r="88" spans="1:3" ht="14.25" customHeight="1">
      <c r="A88" s="2">
        <v>86</v>
      </c>
      <c r="B88" s="163" t="s">
        <v>285</v>
      </c>
      <c r="C88" s="216">
        <v>1.79</v>
      </c>
    </row>
    <row r="89" spans="1:3" ht="14.25" customHeight="1">
      <c r="A89" s="2">
        <v>87</v>
      </c>
      <c r="B89" s="163" t="s">
        <v>305</v>
      </c>
      <c r="C89" s="216">
        <v>1.49</v>
      </c>
    </row>
    <row r="90" spans="1:3" ht="14.25" customHeight="1">
      <c r="A90" s="2">
        <v>88</v>
      </c>
      <c r="B90" s="163" t="s">
        <v>179</v>
      </c>
      <c r="C90" s="216">
        <v>1.49</v>
      </c>
    </row>
    <row r="91" spans="1:3" ht="14.25" customHeight="1">
      <c r="A91" s="2">
        <v>89</v>
      </c>
      <c r="B91" s="163" t="s">
        <v>170</v>
      </c>
      <c r="C91" s="216">
        <v>1.36</v>
      </c>
    </row>
    <row r="92" spans="1:3" ht="14.25" customHeight="1">
      <c r="A92" s="2"/>
      <c r="B92" s="163"/>
      <c r="C92" s="216"/>
    </row>
    <row r="93" spans="1:3" ht="14.25" customHeight="1">
      <c r="A93" s="2"/>
      <c r="C93" s="140"/>
    </row>
    <row r="94" spans="1:3" ht="14.25" customHeight="1">
      <c r="A94" s="2"/>
      <c r="C94" s="140"/>
    </row>
    <row r="95" spans="1:3" ht="14.25" customHeight="1">
      <c r="A95" s="2"/>
      <c r="B95" s="7" t="s">
        <v>105</v>
      </c>
      <c r="C95" s="251">
        <v>4.49</v>
      </c>
    </row>
    <row r="96" spans="1:3" ht="14.25" customHeight="1">
      <c r="A96" s="2"/>
      <c r="B96" s="7" t="s">
        <v>104</v>
      </c>
      <c r="C96" s="256">
        <v>4.8483146067415746</v>
      </c>
    </row>
  </sheetData>
  <sortState xmlns:xlrd2="http://schemas.microsoft.com/office/spreadsheetml/2017/richdata2" ref="H3:I92">
    <sortCondition descending="1" ref="I3:I9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0">
    <pageSetUpPr fitToPage="1"/>
  </sheetPr>
  <dimension ref="A1:I97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6.140625" style="2" customWidth="1"/>
    <col min="2" max="2" width="23.42578125" customWidth="1"/>
    <col min="3" max="3" width="7.7109375" style="60" customWidth="1"/>
    <col min="4" max="4" width="15" customWidth="1"/>
    <col min="5" max="5" width="24.5703125" style="2" customWidth="1"/>
    <col min="6" max="6" width="8.42578125" style="60" customWidth="1"/>
    <col min="8" max="8" width="25.28515625" style="57" customWidth="1"/>
    <col min="9" max="9" width="15.42578125" style="11" customWidth="1"/>
    <col min="10" max="10" width="16.28515625" bestFit="1" customWidth="1"/>
    <col min="11" max="11" width="17.42578125" customWidth="1"/>
    <col min="12" max="12" width="8.7109375" customWidth="1"/>
  </cols>
  <sheetData>
    <row r="1" spans="1:3" ht="15.75" customHeight="1">
      <c r="B1" s="9" t="s">
        <v>610</v>
      </c>
    </row>
    <row r="2" spans="1:3" ht="14.25" customHeight="1">
      <c r="B2" s="3" t="s">
        <v>611</v>
      </c>
    </row>
    <row r="3" spans="1:3" ht="14.25" customHeight="1">
      <c r="B3" s="3"/>
    </row>
    <row r="4" spans="1:3" ht="14.25" customHeight="1">
      <c r="A4" s="2">
        <v>1</v>
      </c>
      <c r="B4" s="163" t="s">
        <v>220</v>
      </c>
      <c r="C4" s="216">
        <v>11.38114075</v>
      </c>
    </row>
    <row r="5" spans="1:3" ht="14.25" customHeight="1">
      <c r="A5" s="2">
        <v>2</v>
      </c>
      <c r="B5" s="163" t="s">
        <v>317</v>
      </c>
      <c r="C5" s="216">
        <v>8.4858679729999995</v>
      </c>
    </row>
    <row r="6" spans="1:3" ht="14.25" customHeight="1">
      <c r="A6" s="2">
        <v>3</v>
      </c>
      <c r="B6" s="163" t="s">
        <v>282</v>
      </c>
      <c r="C6" s="216">
        <v>6.4379651830000002</v>
      </c>
    </row>
    <row r="7" spans="1:3" ht="14.25" customHeight="1">
      <c r="A7" s="2">
        <v>4</v>
      </c>
      <c r="B7" s="163" t="s">
        <v>186</v>
      </c>
      <c r="C7" s="216">
        <v>6.2174548859999996</v>
      </c>
    </row>
    <row r="8" spans="1:3" ht="14.25" customHeight="1">
      <c r="A8" s="2">
        <v>5</v>
      </c>
      <c r="B8" s="163" t="s">
        <v>226</v>
      </c>
      <c r="C8" s="216">
        <v>5.7701439480000003</v>
      </c>
    </row>
    <row r="9" spans="1:3" ht="14.25" customHeight="1">
      <c r="A9" s="2">
        <v>6</v>
      </c>
      <c r="B9" s="163" t="s">
        <v>154</v>
      </c>
      <c r="C9" s="216">
        <v>5.5874281520000002</v>
      </c>
    </row>
    <row r="10" spans="1:3" ht="14.25" customHeight="1">
      <c r="A10" s="2">
        <v>7</v>
      </c>
      <c r="B10" s="163" t="s">
        <v>318</v>
      </c>
      <c r="C10" s="216">
        <v>5.2723107310000001</v>
      </c>
    </row>
    <row r="11" spans="1:3" ht="14.25" customHeight="1">
      <c r="A11" s="2">
        <v>8</v>
      </c>
      <c r="B11" s="163" t="s">
        <v>306</v>
      </c>
      <c r="C11" s="216">
        <v>5.064921547</v>
      </c>
    </row>
    <row r="12" spans="1:3" ht="14.25" customHeight="1">
      <c r="A12" s="2">
        <v>9</v>
      </c>
      <c r="B12" s="163" t="s">
        <v>198</v>
      </c>
      <c r="C12" s="216">
        <v>5.0523047180000002</v>
      </c>
    </row>
    <row r="13" spans="1:3" ht="14.25" customHeight="1">
      <c r="A13" s="2">
        <v>10</v>
      </c>
      <c r="B13" s="163" t="s">
        <v>229</v>
      </c>
      <c r="C13" s="216">
        <v>4.9611126309999998</v>
      </c>
    </row>
    <row r="14" spans="1:3" ht="14.25" customHeight="1">
      <c r="A14" s="2">
        <v>11</v>
      </c>
      <c r="B14" s="163" t="s">
        <v>309</v>
      </c>
      <c r="C14" s="216">
        <v>4.9405662670000003</v>
      </c>
    </row>
    <row r="15" spans="1:3" ht="14.25" customHeight="1">
      <c r="A15" s="2">
        <v>12</v>
      </c>
      <c r="B15" s="163" t="s">
        <v>239</v>
      </c>
      <c r="C15" s="216">
        <v>4.8007566949999996</v>
      </c>
    </row>
    <row r="16" spans="1:3" ht="14.25" customHeight="1">
      <c r="A16" s="2">
        <v>13</v>
      </c>
      <c r="B16" s="163" t="s">
        <v>118</v>
      </c>
      <c r="C16" s="216">
        <v>4.7876702939999998</v>
      </c>
    </row>
    <row r="17" spans="1:3" ht="14.25" customHeight="1">
      <c r="A17" s="2">
        <v>14</v>
      </c>
      <c r="B17" s="163" t="s">
        <v>210</v>
      </c>
      <c r="C17" s="216">
        <v>4.6594707240000002</v>
      </c>
    </row>
    <row r="18" spans="1:3" ht="14.25" customHeight="1">
      <c r="A18" s="2">
        <v>15</v>
      </c>
      <c r="B18" s="163" t="s">
        <v>257</v>
      </c>
      <c r="C18" s="216">
        <v>4.5981397160000004</v>
      </c>
    </row>
    <row r="19" spans="1:3" ht="14.25" customHeight="1">
      <c r="A19" s="2">
        <v>16</v>
      </c>
      <c r="B19" s="163" t="s">
        <v>207</v>
      </c>
      <c r="C19" s="216">
        <v>4.5127978820000001</v>
      </c>
    </row>
    <row r="20" spans="1:3" ht="14.25" customHeight="1">
      <c r="A20" s="2">
        <v>17</v>
      </c>
      <c r="B20" s="163" t="s">
        <v>224</v>
      </c>
      <c r="C20" s="216">
        <v>4.4374880939999999</v>
      </c>
    </row>
    <row r="21" spans="1:3" ht="14.25" customHeight="1">
      <c r="A21" s="2">
        <v>18</v>
      </c>
      <c r="B21" s="163" t="s">
        <v>307</v>
      </c>
      <c r="C21" s="216">
        <v>4.4125053850000002</v>
      </c>
    </row>
    <row r="22" spans="1:3" ht="14.25" customHeight="1">
      <c r="A22" s="2">
        <v>19</v>
      </c>
      <c r="B22" s="163" t="s">
        <v>238</v>
      </c>
      <c r="C22" s="216">
        <v>4.3446018520000003</v>
      </c>
    </row>
    <row r="23" spans="1:3" ht="14.25" customHeight="1">
      <c r="A23" s="2">
        <v>20</v>
      </c>
      <c r="B23" s="163" t="s">
        <v>325</v>
      </c>
      <c r="C23" s="216">
        <v>4.3068178619999999</v>
      </c>
    </row>
    <row r="24" spans="1:3" ht="14.25" customHeight="1">
      <c r="A24" s="2">
        <v>21</v>
      </c>
      <c r="B24" s="163" t="s">
        <v>232</v>
      </c>
      <c r="C24" s="216">
        <v>4.2990998779999998</v>
      </c>
    </row>
    <row r="25" spans="1:3" ht="14.25" customHeight="1">
      <c r="A25" s="2">
        <v>22</v>
      </c>
      <c r="B25" s="163" t="s">
        <v>322</v>
      </c>
      <c r="C25" s="216">
        <v>4.263572388</v>
      </c>
    </row>
    <row r="26" spans="1:3" ht="14.25" customHeight="1">
      <c r="A26" s="2">
        <v>23</v>
      </c>
      <c r="B26" s="163" t="s">
        <v>127</v>
      </c>
      <c r="C26" s="216">
        <v>4.0330837009999998</v>
      </c>
    </row>
    <row r="27" spans="1:3" ht="14.25" customHeight="1">
      <c r="A27" s="2">
        <v>24</v>
      </c>
      <c r="B27" s="163" t="s">
        <v>233</v>
      </c>
      <c r="C27" s="216">
        <v>3.9797514220000001</v>
      </c>
    </row>
    <row r="28" spans="1:3" ht="14.25" customHeight="1">
      <c r="A28" s="2">
        <v>25</v>
      </c>
      <c r="B28" s="163" t="s">
        <v>284</v>
      </c>
      <c r="C28" s="216">
        <v>3.9789893410000001</v>
      </c>
    </row>
    <row r="29" spans="1:3" ht="14.25" customHeight="1">
      <c r="A29" s="2">
        <v>26</v>
      </c>
      <c r="B29" s="163" t="s">
        <v>258</v>
      </c>
      <c r="C29" s="216">
        <v>3.889926939</v>
      </c>
    </row>
    <row r="30" spans="1:3" ht="14.25" customHeight="1">
      <c r="A30" s="2">
        <v>27</v>
      </c>
      <c r="B30" s="163" t="s">
        <v>249</v>
      </c>
      <c r="C30" s="216">
        <v>3.7275034009999999</v>
      </c>
    </row>
    <row r="31" spans="1:3" ht="14.25" customHeight="1">
      <c r="A31" s="2">
        <v>28</v>
      </c>
      <c r="B31" s="163" t="s">
        <v>199</v>
      </c>
      <c r="C31" s="216">
        <v>3.6430690100000001</v>
      </c>
    </row>
    <row r="32" spans="1:3" ht="14.25" customHeight="1">
      <c r="A32" s="2">
        <v>29</v>
      </c>
      <c r="B32" s="163" t="s">
        <v>192</v>
      </c>
      <c r="C32" s="216">
        <v>3.5866328460000001</v>
      </c>
    </row>
    <row r="33" spans="1:3" ht="14.25" customHeight="1">
      <c r="A33" s="2">
        <v>30</v>
      </c>
      <c r="B33" s="163" t="s">
        <v>260</v>
      </c>
      <c r="C33" s="216">
        <v>3.5642008879999998</v>
      </c>
    </row>
    <row r="34" spans="1:3" ht="14.25" customHeight="1">
      <c r="A34" s="2">
        <v>31</v>
      </c>
      <c r="B34" s="163" t="s">
        <v>151</v>
      </c>
      <c r="C34" s="216">
        <v>3.5564504260000001</v>
      </c>
    </row>
    <row r="35" spans="1:3" ht="14.25" customHeight="1">
      <c r="A35" s="2">
        <v>32</v>
      </c>
      <c r="B35" s="163" t="s">
        <v>218</v>
      </c>
      <c r="C35" s="216">
        <v>3.5397756199999999</v>
      </c>
    </row>
    <row r="36" spans="1:3" ht="14.25" customHeight="1">
      <c r="A36" s="2">
        <v>33</v>
      </c>
      <c r="B36" s="163" t="s">
        <v>219</v>
      </c>
      <c r="C36" s="216">
        <v>3.522102603</v>
      </c>
    </row>
    <row r="37" spans="1:3" ht="14.25" customHeight="1">
      <c r="A37" s="2">
        <v>34</v>
      </c>
      <c r="B37" s="163" t="s">
        <v>173</v>
      </c>
      <c r="C37" s="216">
        <v>3.491211474</v>
      </c>
    </row>
    <row r="38" spans="1:3" ht="14.25" customHeight="1">
      <c r="A38" s="2">
        <v>35</v>
      </c>
      <c r="B38" s="163" t="s">
        <v>206</v>
      </c>
      <c r="C38" s="216">
        <v>3.473383508</v>
      </c>
    </row>
    <row r="39" spans="1:3" ht="14.25" customHeight="1">
      <c r="A39" s="2">
        <v>36</v>
      </c>
      <c r="B39" s="163" t="s">
        <v>182</v>
      </c>
      <c r="C39" s="216">
        <v>3.4240237219999998</v>
      </c>
    </row>
    <row r="40" spans="1:3" ht="14.25" customHeight="1">
      <c r="A40" s="2">
        <v>37</v>
      </c>
      <c r="B40" s="163" t="s">
        <v>254</v>
      </c>
      <c r="C40" s="216">
        <v>3.3992566979999999</v>
      </c>
    </row>
    <row r="41" spans="1:3" ht="14.25" customHeight="1">
      <c r="A41" s="2">
        <v>38</v>
      </c>
      <c r="B41" s="163" t="s">
        <v>321</v>
      </c>
      <c r="C41" s="216">
        <v>3.3648806100000002</v>
      </c>
    </row>
    <row r="42" spans="1:3" ht="14.25" customHeight="1">
      <c r="A42" s="2">
        <v>39</v>
      </c>
      <c r="B42" s="163" t="s">
        <v>203</v>
      </c>
      <c r="C42" s="216">
        <v>3.2942251169999999</v>
      </c>
    </row>
    <row r="43" spans="1:3" ht="14.25" customHeight="1">
      <c r="A43" s="2">
        <v>40</v>
      </c>
      <c r="B43" s="163" t="s">
        <v>144</v>
      </c>
      <c r="C43" s="216">
        <v>3.2904468640000002</v>
      </c>
    </row>
    <row r="44" spans="1:3" ht="14.25" customHeight="1">
      <c r="A44" s="2">
        <v>41</v>
      </c>
      <c r="B44" s="163" t="s">
        <v>304</v>
      </c>
      <c r="C44" s="216">
        <v>3.1719672160000001</v>
      </c>
    </row>
    <row r="45" spans="1:3" ht="14.25" customHeight="1">
      <c r="A45" s="2">
        <v>42</v>
      </c>
      <c r="B45" s="163" t="s">
        <v>126</v>
      </c>
      <c r="C45" s="216">
        <v>3.1573866279999998</v>
      </c>
    </row>
    <row r="46" spans="1:3" ht="14.25" customHeight="1">
      <c r="A46" s="2">
        <v>43</v>
      </c>
      <c r="B46" s="163" t="s">
        <v>323</v>
      </c>
      <c r="C46" s="216">
        <v>3.155211853</v>
      </c>
    </row>
    <row r="47" spans="1:3" ht="14.25" customHeight="1">
      <c r="A47" s="2">
        <v>44</v>
      </c>
      <c r="B47" s="163" t="s">
        <v>261</v>
      </c>
      <c r="C47" s="216">
        <v>3.146106466</v>
      </c>
    </row>
    <row r="48" spans="1:3" ht="14.25" customHeight="1">
      <c r="A48" s="2">
        <v>45</v>
      </c>
      <c r="B48" s="163" t="s">
        <v>314</v>
      </c>
      <c r="C48" s="216">
        <v>2.9410381409999999</v>
      </c>
    </row>
    <row r="49" spans="1:3" ht="14.25" customHeight="1">
      <c r="A49" s="2">
        <v>46</v>
      </c>
      <c r="B49" s="163" t="s">
        <v>313</v>
      </c>
      <c r="C49" s="216">
        <v>2.9202488149999999</v>
      </c>
    </row>
    <row r="50" spans="1:3" ht="14.25" customHeight="1">
      <c r="A50" s="2">
        <v>47</v>
      </c>
      <c r="B50" s="163" t="s">
        <v>315</v>
      </c>
      <c r="C50" s="216">
        <v>2.9007971459999999</v>
      </c>
    </row>
    <row r="51" spans="1:3" ht="14.25" customHeight="1">
      <c r="A51" s="2">
        <v>48</v>
      </c>
      <c r="B51" s="2" t="s">
        <v>225</v>
      </c>
      <c r="C51" s="42">
        <v>2.7239749940000002</v>
      </c>
    </row>
    <row r="52" spans="1:3" ht="14.25" customHeight="1">
      <c r="A52" s="2">
        <v>49</v>
      </c>
      <c r="B52" s="2" t="s">
        <v>160</v>
      </c>
      <c r="C52" s="42">
        <v>2.6606792399999999</v>
      </c>
    </row>
    <row r="53" spans="1:3" ht="14.25" customHeight="1">
      <c r="A53" s="2">
        <v>50</v>
      </c>
      <c r="B53" s="2" t="s">
        <v>278</v>
      </c>
      <c r="C53" s="42">
        <v>2.6410546830000001</v>
      </c>
    </row>
    <row r="54" spans="1:3" ht="14.25" customHeight="1">
      <c r="A54" s="2">
        <v>51</v>
      </c>
      <c r="B54" s="2" t="s">
        <v>234</v>
      </c>
      <c r="C54" s="42">
        <v>2.5671842229999999</v>
      </c>
    </row>
    <row r="55" spans="1:3" ht="14.25" customHeight="1">
      <c r="A55" s="2">
        <v>52</v>
      </c>
      <c r="B55" s="2" t="s">
        <v>312</v>
      </c>
      <c r="C55" s="42">
        <v>2.5581734059999999</v>
      </c>
    </row>
    <row r="56" spans="1:3" ht="14.25" customHeight="1">
      <c r="A56" s="2">
        <v>53</v>
      </c>
      <c r="B56" s="2" t="s">
        <v>169</v>
      </c>
      <c r="C56" s="42">
        <v>2.5310780190000002</v>
      </c>
    </row>
    <row r="57" spans="1:3" ht="14.25" customHeight="1">
      <c r="A57" s="2">
        <v>54</v>
      </c>
      <c r="B57" s="2" t="s">
        <v>193</v>
      </c>
      <c r="C57" s="42">
        <v>2.2855635419999998</v>
      </c>
    </row>
    <row r="58" spans="1:3" ht="14.25" customHeight="1">
      <c r="A58" s="2">
        <v>55</v>
      </c>
      <c r="B58" s="2" t="s">
        <v>311</v>
      </c>
      <c r="C58" s="42">
        <v>2.2192839160000002</v>
      </c>
    </row>
    <row r="59" spans="1:3" ht="14.25" customHeight="1">
      <c r="A59" s="2">
        <v>56</v>
      </c>
      <c r="B59" s="2" t="s">
        <v>319</v>
      </c>
      <c r="C59" s="42">
        <v>2.21462548</v>
      </c>
    </row>
    <row r="60" spans="1:3" ht="14.25" customHeight="1">
      <c r="A60" s="2">
        <v>57</v>
      </c>
      <c r="B60" s="2" t="s">
        <v>310</v>
      </c>
      <c r="C60" s="42">
        <v>2.1777638779999999</v>
      </c>
    </row>
    <row r="61" spans="1:3" ht="14.25" customHeight="1">
      <c r="A61" s="2">
        <v>58</v>
      </c>
      <c r="B61" s="2" t="s">
        <v>569</v>
      </c>
      <c r="C61" s="42">
        <v>2.1724387219999999</v>
      </c>
    </row>
    <row r="62" spans="1:3" ht="14.25" customHeight="1">
      <c r="A62" s="2">
        <v>59</v>
      </c>
      <c r="B62" s="2" t="s">
        <v>285</v>
      </c>
      <c r="C62" s="42">
        <v>2.1196052060000001</v>
      </c>
    </row>
    <row r="63" spans="1:3" ht="14.25" customHeight="1">
      <c r="A63" s="2">
        <v>60</v>
      </c>
      <c r="B63" s="2" t="s">
        <v>148</v>
      </c>
      <c r="C63" s="42">
        <v>2.0573874449999998</v>
      </c>
    </row>
    <row r="64" spans="1:3" ht="14.25" customHeight="1">
      <c r="A64" s="2">
        <v>61</v>
      </c>
      <c r="B64" s="2" t="s">
        <v>208</v>
      </c>
      <c r="C64" s="42">
        <v>2.0482248460000001</v>
      </c>
    </row>
    <row r="65" spans="1:3" ht="14.25" customHeight="1">
      <c r="A65" s="2">
        <v>62</v>
      </c>
      <c r="B65" s="2" t="s">
        <v>165</v>
      </c>
      <c r="C65" s="42">
        <v>1.77483082</v>
      </c>
    </row>
    <row r="66" spans="1:3" ht="14.25" customHeight="1">
      <c r="A66" s="2">
        <v>63</v>
      </c>
      <c r="B66" s="2" t="s">
        <v>327</v>
      </c>
      <c r="C66" s="42">
        <v>1.7296173500000001</v>
      </c>
    </row>
    <row r="67" spans="1:3" ht="14.25" customHeight="1">
      <c r="A67" s="2">
        <v>64</v>
      </c>
      <c r="B67" s="2" t="s">
        <v>324</v>
      </c>
      <c r="C67" s="42">
        <v>1.6197018270000001</v>
      </c>
    </row>
    <row r="68" spans="1:3" ht="14.25" customHeight="1">
      <c r="A68" s="2">
        <v>65</v>
      </c>
      <c r="B68" s="2" t="s">
        <v>168</v>
      </c>
      <c r="C68" s="42">
        <v>1.535241123</v>
      </c>
    </row>
    <row r="69" spans="1:3" ht="14.25" customHeight="1">
      <c r="A69" s="2">
        <v>66</v>
      </c>
      <c r="B69" s="2" t="s">
        <v>214</v>
      </c>
      <c r="C69" s="42">
        <v>1.5232721199999999</v>
      </c>
    </row>
    <row r="70" spans="1:3" ht="14.25" customHeight="1">
      <c r="A70" s="2">
        <v>67</v>
      </c>
      <c r="B70" s="2" t="s">
        <v>190</v>
      </c>
      <c r="C70" s="42">
        <v>1.5024536150000001</v>
      </c>
    </row>
    <row r="71" spans="1:3" ht="14.25" customHeight="1">
      <c r="A71" s="2">
        <v>68</v>
      </c>
      <c r="B71" s="2" t="s">
        <v>170</v>
      </c>
      <c r="C71" s="42">
        <v>1.4966443650000001</v>
      </c>
    </row>
    <row r="72" spans="1:3" ht="14.25" customHeight="1">
      <c r="A72" s="2">
        <v>69</v>
      </c>
      <c r="B72" s="2" t="s">
        <v>328</v>
      </c>
      <c r="C72" s="42">
        <v>1.344861157</v>
      </c>
    </row>
    <row r="73" spans="1:3" ht="14.25" customHeight="1">
      <c r="A73" s="2">
        <v>70</v>
      </c>
      <c r="B73" s="2" t="s">
        <v>236</v>
      </c>
      <c r="C73" s="42">
        <v>1.3232448649999999</v>
      </c>
    </row>
    <row r="74" spans="1:3" ht="14.25" customHeight="1">
      <c r="A74" s="2">
        <v>71</v>
      </c>
      <c r="B74" s="2" t="s">
        <v>280</v>
      </c>
      <c r="C74" s="42">
        <v>1.2959989970000001</v>
      </c>
    </row>
    <row r="75" spans="1:3" ht="14.25" customHeight="1">
      <c r="A75" s="2">
        <v>72</v>
      </c>
      <c r="B75" s="2" t="s">
        <v>185</v>
      </c>
      <c r="C75" s="42">
        <v>1.2145508350000001</v>
      </c>
    </row>
    <row r="76" spans="1:3" ht="14.25" customHeight="1">
      <c r="A76" s="2">
        <v>73</v>
      </c>
      <c r="B76" s="2" t="s">
        <v>213</v>
      </c>
      <c r="C76" s="42">
        <v>1.1183862959999999</v>
      </c>
    </row>
    <row r="77" spans="1:3" ht="14.25" customHeight="1">
      <c r="A77" s="2">
        <v>74</v>
      </c>
      <c r="B77" s="2" t="s">
        <v>202</v>
      </c>
      <c r="C77" s="42">
        <v>1.087765552</v>
      </c>
    </row>
    <row r="78" spans="1:3" ht="14.25" customHeight="1">
      <c r="A78" s="2">
        <v>75</v>
      </c>
      <c r="B78" s="2" t="s">
        <v>123</v>
      </c>
      <c r="C78" s="42">
        <v>0.99329608899999999</v>
      </c>
    </row>
    <row r="79" spans="1:3" ht="14.25" customHeight="1">
      <c r="A79" s="2">
        <v>76</v>
      </c>
      <c r="B79" s="2" t="s">
        <v>223</v>
      </c>
      <c r="C79" s="42">
        <v>0.96435936799999999</v>
      </c>
    </row>
    <row r="80" spans="1:3" ht="14.25" customHeight="1">
      <c r="A80" s="2">
        <v>77</v>
      </c>
      <c r="B80" s="2" t="s">
        <v>316</v>
      </c>
      <c r="C80" s="42">
        <v>0.85479032399999999</v>
      </c>
    </row>
    <row r="81" spans="1:3" ht="14.25" customHeight="1">
      <c r="A81" s="2">
        <v>78</v>
      </c>
      <c r="B81" s="2" t="s">
        <v>283</v>
      </c>
      <c r="C81" s="42">
        <v>0.82272642299999998</v>
      </c>
    </row>
    <row r="82" spans="1:3" ht="14.25" customHeight="1">
      <c r="A82" s="2">
        <v>79</v>
      </c>
      <c r="B82" s="2" t="s">
        <v>326</v>
      </c>
      <c r="C82" s="42">
        <v>0.77885532899999999</v>
      </c>
    </row>
    <row r="83" spans="1:3" ht="14.25" customHeight="1">
      <c r="A83" s="2">
        <v>80</v>
      </c>
      <c r="B83" s="2" t="s">
        <v>256</v>
      </c>
      <c r="C83" s="42">
        <v>0.76211122399999998</v>
      </c>
    </row>
    <row r="84" spans="1:3" ht="14.25" customHeight="1">
      <c r="A84" s="2">
        <v>81</v>
      </c>
      <c r="B84" s="2" t="s">
        <v>247</v>
      </c>
      <c r="C84" s="42">
        <v>0.76001294399999997</v>
      </c>
    </row>
    <row r="85" spans="1:3" ht="14.25" customHeight="1">
      <c r="A85" s="2">
        <v>82</v>
      </c>
      <c r="B85" s="2" t="s">
        <v>305</v>
      </c>
      <c r="C85" s="42">
        <v>0.71630601500000002</v>
      </c>
    </row>
    <row r="86" spans="1:3" ht="14.25" customHeight="1">
      <c r="A86" s="2">
        <v>83</v>
      </c>
      <c r="B86" s="2" t="s">
        <v>179</v>
      </c>
      <c r="C86" s="42">
        <v>0.69075344800000005</v>
      </c>
    </row>
    <row r="87" spans="1:3" ht="14.25" customHeight="1">
      <c r="A87" s="2">
        <v>84</v>
      </c>
      <c r="B87" s="2" t="s">
        <v>244</v>
      </c>
      <c r="C87" s="42">
        <v>0.53373646500000005</v>
      </c>
    </row>
    <row r="88" spans="1:3" ht="14.25" customHeight="1">
      <c r="A88" s="2">
        <v>85</v>
      </c>
      <c r="B88" s="2" t="s">
        <v>320</v>
      </c>
      <c r="C88" s="42">
        <v>0.464143154</v>
      </c>
    </row>
    <row r="89" spans="1:3" ht="14.25" customHeight="1">
      <c r="A89" s="2">
        <v>86</v>
      </c>
      <c r="B89" s="2" t="s">
        <v>158</v>
      </c>
      <c r="C89" s="42">
        <v>0.43722068200000003</v>
      </c>
    </row>
    <row r="90" spans="1:3" ht="14.25" customHeight="1">
      <c r="A90" s="2">
        <v>87</v>
      </c>
      <c r="B90" s="2" t="s">
        <v>196</v>
      </c>
      <c r="C90" s="42">
        <v>0.42955594200000002</v>
      </c>
    </row>
    <row r="91" spans="1:3" ht="14.25" customHeight="1">
      <c r="A91" s="2">
        <v>88</v>
      </c>
      <c r="B91" s="2" t="s">
        <v>308</v>
      </c>
      <c r="C91" s="42">
        <v>0.40187248199999998</v>
      </c>
    </row>
    <row r="92" spans="1:3" ht="14.25" customHeight="1">
      <c r="A92" s="2">
        <v>89</v>
      </c>
      <c r="B92" s="2" t="s">
        <v>139</v>
      </c>
      <c r="C92" s="42">
        <v>0.26017938699999998</v>
      </c>
    </row>
    <row r="93" spans="1:3" ht="14.25" customHeight="1">
      <c r="B93" s="2"/>
      <c r="C93" s="42"/>
    </row>
    <row r="94" spans="1:3" ht="14.25" customHeight="1">
      <c r="B94" s="2"/>
      <c r="C94" s="219"/>
    </row>
    <row r="95" spans="1:3" ht="14.25" customHeight="1">
      <c r="B95" s="2"/>
      <c r="C95" s="250"/>
    </row>
    <row r="96" spans="1:3" ht="14.25" customHeight="1">
      <c r="B96" s="7" t="s">
        <v>105</v>
      </c>
      <c r="C96" s="251">
        <v>2.9410381409999999</v>
      </c>
    </row>
    <row r="97" spans="2:3" ht="14.25" customHeight="1">
      <c r="B97" s="7" t="s">
        <v>104</v>
      </c>
      <c r="C97" s="256">
        <v>2.9905543124606733</v>
      </c>
    </row>
  </sheetData>
  <sortState xmlns:xlrd2="http://schemas.microsoft.com/office/spreadsheetml/2017/richdata2" ref="H4:I93">
    <sortCondition descending="1" ref="I4:I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1">
    <pageSetUpPr fitToPage="1"/>
  </sheetPr>
  <dimension ref="A1:I97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6.85546875" customWidth="1"/>
    <col min="2" max="2" width="20" style="46" customWidth="1"/>
    <col min="3" max="3" width="10.140625" style="70" customWidth="1"/>
    <col min="4" max="4" width="9.42578125" customWidth="1"/>
    <col min="5" max="5" width="8.85546875" customWidth="1"/>
    <col min="6" max="6" width="22.140625" customWidth="1"/>
    <col min="7" max="7" width="11.7109375" style="14" customWidth="1"/>
    <col min="8" max="8" width="25.28515625" style="2" bestFit="1" customWidth="1"/>
    <col min="9" max="9" width="20.5703125" style="2" bestFit="1" customWidth="1"/>
    <col min="10" max="10" width="6" bestFit="1" customWidth="1"/>
    <col min="11" max="11" width="8.85546875" customWidth="1"/>
  </cols>
  <sheetData>
    <row r="1" spans="1:4" ht="16.5" customHeight="1">
      <c r="B1" s="75" t="s">
        <v>612</v>
      </c>
    </row>
    <row r="3" spans="1:4" ht="14.25" customHeight="1">
      <c r="A3" s="2">
        <v>1</v>
      </c>
      <c r="B3" s="194" t="s">
        <v>349</v>
      </c>
      <c r="C3" s="217">
        <v>51304.88</v>
      </c>
      <c r="D3" s="47"/>
    </row>
    <row r="4" spans="1:4" ht="14.25" customHeight="1">
      <c r="A4" s="2">
        <v>2</v>
      </c>
      <c r="B4" s="194" t="s">
        <v>317</v>
      </c>
      <c r="C4" s="217">
        <v>38708.39</v>
      </c>
      <c r="D4" s="47"/>
    </row>
    <row r="5" spans="1:4" ht="14.25" customHeight="1">
      <c r="A5" s="2">
        <v>3</v>
      </c>
      <c r="B5" s="194" t="s">
        <v>226</v>
      </c>
      <c r="C5" s="217">
        <v>31716.91</v>
      </c>
      <c r="D5" s="47"/>
    </row>
    <row r="6" spans="1:4" ht="14.25" customHeight="1">
      <c r="A6" s="2">
        <v>4</v>
      </c>
      <c r="B6" s="194" t="s">
        <v>232</v>
      </c>
      <c r="C6" s="217">
        <v>27223.96</v>
      </c>
      <c r="D6" s="47"/>
    </row>
    <row r="7" spans="1:4" ht="14.25" customHeight="1">
      <c r="A7" s="2">
        <v>5</v>
      </c>
      <c r="B7" s="194" t="s">
        <v>322</v>
      </c>
      <c r="C7" s="217">
        <v>25656.7</v>
      </c>
      <c r="D7" s="47"/>
    </row>
    <row r="8" spans="1:4" ht="14.25" customHeight="1">
      <c r="A8" s="2">
        <v>6</v>
      </c>
      <c r="B8" s="194" t="s">
        <v>199</v>
      </c>
      <c r="C8" s="217">
        <v>25541.360000000001</v>
      </c>
      <c r="D8" s="47"/>
    </row>
    <row r="9" spans="1:4" ht="14.25" customHeight="1">
      <c r="A9" s="2">
        <v>7</v>
      </c>
      <c r="B9" s="194" t="s">
        <v>282</v>
      </c>
      <c r="C9" s="217">
        <v>24900.880000000001</v>
      </c>
      <c r="D9" s="47"/>
    </row>
    <row r="10" spans="1:4" ht="14.25" customHeight="1">
      <c r="A10" s="2">
        <v>8</v>
      </c>
      <c r="B10" s="194" t="s">
        <v>186</v>
      </c>
      <c r="C10" s="217">
        <v>24814.58</v>
      </c>
      <c r="D10" s="47"/>
    </row>
    <row r="11" spans="1:4" ht="14.25" customHeight="1">
      <c r="A11" s="2">
        <v>9</v>
      </c>
      <c r="B11" s="194" t="s">
        <v>198</v>
      </c>
      <c r="C11" s="217">
        <v>24568.6</v>
      </c>
      <c r="D11" s="47"/>
    </row>
    <row r="12" spans="1:4" ht="14.25" customHeight="1">
      <c r="A12" s="2">
        <v>10</v>
      </c>
      <c r="B12" s="194" t="s">
        <v>154</v>
      </c>
      <c r="C12" s="217">
        <v>23299.75</v>
      </c>
      <c r="D12" s="47"/>
    </row>
    <row r="13" spans="1:4" ht="14.25" customHeight="1">
      <c r="A13" s="2">
        <v>11</v>
      </c>
      <c r="B13" s="194" t="s">
        <v>258</v>
      </c>
      <c r="C13" s="217">
        <v>22840.07</v>
      </c>
      <c r="D13" s="47"/>
    </row>
    <row r="14" spans="1:4" ht="14.25" customHeight="1">
      <c r="A14" s="2">
        <v>12</v>
      </c>
      <c r="B14" s="194" t="s">
        <v>257</v>
      </c>
      <c r="C14" s="217">
        <v>22427.79</v>
      </c>
      <c r="D14" s="47"/>
    </row>
    <row r="15" spans="1:4" ht="14.25" customHeight="1">
      <c r="A15" s="2">
        <v>13</v>
      </c>
      <c r="B15" s="194" t="s">
        <v>260</v>
      </c>
      <c r="C15" s="217">
        <v>21461.22</v>
      </c>
      <c r="D15" s="47"/>
    </row>
    <row r="16" spans="1:4" ht="14.25" customHeight="1">
      <c r="A16" s="2">
        <v>14</v>
      </c>
      <c r="B16" s="194" t="s">
        <v>238</v>
      </c>
      <c r="C16" s="217">
        <v>21379.79</v>
      </c>
      <c r="D16" s="47"/>
    </row>
    <row r="17" spans="1:4" ht="14.25" customHeight="1">
      <c r="A17" s="2">
        <v>15</v>
      </c>
      <c r="B17" s="194" t="s">
        <v>318</v>
      </c>
      <c r="C17" s="217">
        <v>21357.49</v>
      </c>
      <c r="D17" s="47"/>
    </row>
    <row r="18" spans="1:4" ht="14.25" customHeight="1">
      <c r="A18" s="2">
        <v>16</v>
      </c>
      <c r="B18" s="194" t="s">
        <v>278</v>
      </c>
      <c r="C18" s="217">
        <v>20851.63</v>
      </c>
      <c r="D18" s="47"/>
    </row>
    <row r="19" spans="1:4" ht="14.25" customHeight="1">
      <c r="A19" s="2">
        <v>17</v>
      </c>
      <c r="B19" s="194" t="s">
        <v>219</v>
      </c>
      <c r="C19" s="217">
        <v>20694.2</v>
      </c>
      <c r="D19" s="47"/>
    </row>
    <row r="20" spans="1:4" ht="14.25" customHeight="1">
      <c r="A20" s="2">
        <v>18</v>
      </c>
      <c r="B20" s="194" t="s">
        <v>192</v>
      </c>
      <c r="C20" s="217">
        <v>20644.3</v>
      </c>
      <c r="D20" s="47"/>
    </row>
    <row r="21" spans="1:4" ht="14.25" customHeight="1">
      <c r="A21" s="2">
        <v>19</v>
      </c>
      <c r="B21" s="194" t="s">
        <v>203</v>
      </c>
      <c r="C21" s="217">
        <v>20359.96</v>
      </c>
      <c r="D21" s="47"/>
    </row>
    <row r="22" spans="1:4" ht="14.25" customHeight="1">
      <c r="A22" s="2">
        <v>20</v>
      </c>
      <c r="B22" s="194" t="s">
        <v>160</v>
      </c>
      <c r="C22" s="217">
        <v>20260.330000000002</v>
      </c>
      <c r="D22" s="47"/>
    </row>
    <row r="23" spans="1:4" ht="14.25" customHeight="1">
      <c r="A23" s="2">
        <v>21</v>
      </c>
      <c r="B23" s="194" t="s">
        <v>133</v>
      </c>
      <c r="C23" s="217">
        <v>20179.759999999998</v>
      </c>
      <c r="D23" s="47"/>
    </row>
    <row r="24" spans="1:4" ht="14.25" customHeight="1">
      <c r="A24" s="2">
        <v>22</v>
      </c>
      <c r="B24" s="194" t="s">
        <v>207</v>
      </c>
      <c r="C24" s="217">
        <v>19850.47</v>
      </c>
      <c r="D24" s="47"/>
    </row>
    <row r="25" spans="1:4" ht="14.25" customHeight="1">
      <c r="A25" s="2">
        <v>23</v>
      </c>
      <c r="B25" s="194" t="s">
        <v>220</v>
      </c>
      <c r="C25" s="217">
        <v>19365.45</v>
      </c>
      <c r="D25" s="47"/>
    </row>
    <row r="26" spans="1:4" ht="14.25" customHeight="1">
      <c r="A26" s="2">
        <v>24</v>
      </c>
      <c r="B26" s="194" t="s">
        <v>229</v>
      </c>
      <c r="C26" s="217">
        <v>18917.37</v>
      </c>
      <c r="D26" s="47"/>
    </row>
    <row r="27" spans="1:4" ht="14.25" customHeight="1">
      <c r="A27" s="2">
        <v>25</v>
      </c>
      <c r="B27" s="194" t="s">
        <v>261</v>
      </c>
      <c r="C27" s="217">
        <v>18237.79</v>
      </c>
      <c r="D27" s="47"/>
    </row>
    <row r="28" spans="1:4" ht="14.25" customHeight="1">
      <c r="A28" s="2">
        <v>26</v>
      </c>
      <c r="B28" s="194" t="s">
        <v>239</v>
      </c>
      <c r="C28" s="217">
        <v>18211.03</v>
      </c>
      <c r="D28" s="47"/>
    </row>
    <row r="29" spans="1:4" ht="14.25" customHeight="1">
      <c r="A29" s="2">
        <v>27</v>
      </c>
      <c r="B29" s="194" t="s">
        <v>284</v>
      </c>
      <c r="C29" s="217">
        <v>18020.759999999998</v>
      </c>
      <c r="D29" s="47"/>
    </row>
    <row r="30" spans="1:4" ht="14.25" customHeight="1">
      <c r="A30" s="2">
        <v>28</v>
      </c>
      <c r="B30" s="194" t="s">
        <v>127</v>
      </c>
      <c r="C30" s="217">
        <v>17357.46</v>
      </c>
      <c r="D30" s="47"/>
    </row>
    <row r="31" spans="1:4" ht="14.25" customHeight="1">
      <c r="A31" s="2">
        <v>29</v>
      </c>
      <c r="B31" s="194" t="s">
        <v>357</v>
      </c>
      <c r="C31" s="217">
        <v>17108.25</v>
      </c>
      <c r="D31" s="47"/>
    </row>
    <row r="32" spans="1:4" ht="14.25" customHeight="1">
      <c r="A32" s="2">
        <v>30</v>
      </c>
      <c r="B32" s="194" t="s">
        <v>233</v>
      </c>
      <c r="C32" s="217">
        <v>16897.05</v>
      </c>
      <c r="D32" s="47"/>
    </row>
    <row r="33" spans="1:4" ht="14.25" customHeight="1">
      <c r="A33" s="2">
        <v>31</v>
      </c>
      <c r="B33" s="194" t="s">
        <v>118</v>
      </c>
      <c r="C33" s="217">
        <v>16846.93</v>
      </c>
      <c r="D33" s="47"/>
    </row>
    <row r="34" spans="1:4" ht="14.25" customHeight="1">
      <c r="A34" s="2">
        <v>32</v>
      </c>
      <c r="B34" s="194" t="s">
        <v>169</v>
      </c>
      <c r="C34" s="217">
        <v>16839.849999999999</v>
      </c>
      <c r="D34" s="47"/>
    </row>
    <row r="35" spans="1:4" ht="14.25" customHeight="1">
      <c r="A35" s="2">
        <v>33</v>
      </c>
      <c r="B35" s="194" t="s">
        <v>193</v>
      </c>
      <c r="C35" s="217">
        <v>16605.89</v>
      </c>
      <c r="D35" s="47"/>
    </row>
    <row r="36" spans="1:4" ht="14.25" customHeight="1">
      <c r="A36" s="2">
        <v>34</v>
      </c>
      <c r="B36" s="194" t="s">
        <v>218</v>
      </c>
      <c r="C36" s="217">
        <v>16531.82</v>
      </c>
      <c r="D36" s="47"/>
    </row>
    <row r="37" spans="1:4" ht="14.25" customHeight="1">
      <c r="A37" s="2">
        <v>35</v>
      </c>
      <c r="B37" s="194" t="s">
        <v>182</v>
      </c>
      <c r="C37" s="217">
        <v>16437.53</v>
      </c>
      <c r="D37" s="47"/>
    </row>
    <row r="38" spans="1:4" ht="14.25" customHeight="1">
      <c r="A38" s="2">
        <v>36</v>
      </c>
      <c r="B38" s="194" t="s">
        <v>348</v>
      </c>
      <c r="C38" s="217">
        <v>16367.26</v>
      </c>
      <c r="D38" s="47"/>
    </row>
    <row r="39" spans="1:4" ht="14.25" customHeight="1">
      <c r="A39" s="2">
        <v>37</v>
      </c>
      <c r="B39" s="194" t="s">
        <v>210</v>
      </c>
      <c r="C39" s="217">
        <v>16290.62</v>
      </c>
      <c r="D39" s="47"/>
    </row>
    <row r="40" spans="1:4" ht="14.25" customHeight="1">
      <c r="A40" s="2">
        <v>38</v>
      </c>
      <c r="B40" s="194" t="s">
        <v>351</v>
      </c>
      <c r="C40" s="217">
        <v>16210.9</v>
      </c>
      <c r="D40" s="47"/>
    </row>
    <row r="41" spans="1:4" ht="14.25" customHeight="1">
      <c r="A41" s="2">
        <v>39</v>
      </c>
      <c r="B41" s="194" t="s">
        <v>190</v>
      </c>
      <c r="C41" s="217">
        <v>16074</v>
      </c>
      <c r="D41" s="47"/>
    </row>
    <row r="42" spans="1:4" ht="14.25" customHeight="1">
      <c r="A42" s="2">
        <v>40</v>
      </c>
      <c r="B42" s="194" t="s">
        <v>137</v>
      </c>
      <c r="C42" s="217">
        <v>15965.35</v>
      </c>
      <c r="D42" s="47"/>
    </row>
    <row r="43" spans="1:4" ht="14.25" customHeight="1">
      <c r="A43" s="2">
        <v>41</v>
      </c>
      <c r="B43" s="194" t="s">
        <v>124</v>
      </c>
      <c r="C43" s="242">
        <v>15800.45</v>
      </c>
      <c r="D43" s="47"/>
    </row>
    <row r="44" spans="1:4" ht="14.25" customHeight="1">
      <c r="A44" s="2">
        <v>42</v>
      </c>
      <c r="B44" s="194" t="s">
        <v>236</v>
      </c>
      <c r="C44" s="217">
        <v>15659.39</v>
      </c>
      <c r="D44" s="47"/>
    </row>
    <row r="45" spans="1:4" ht="14.25" customHeight="1">
      <c r="A45" s="2">
        <v>43</v>
      </c>
      <c r="B45" s="194" t="s">
        <v>312</v>
      </c>
      <c r="C45" s="217">
        <v>15482.44</v>
      </c>
      <c r="D45" s="47"/>
    </row>
    <row r="46" spans="1:4" ht="14.25" customHeight="1">
      <c r="A46" s="2">
        <v>44</v>
      </c>
      <c r="B46" s="194" t="s">
        <v>247</v>
      </c>
      <c r="C46" s="217">
        <v>15266</v>
      </c>
      <c r="D46" s="47"/>
    </row>
    <row r="47" spans="1:4" ht="14.25" customHeight="1">
      <c r="A47" s="2">
        <v>45</v>
      </c>
      <c r="B47" s="194" t="s">
        <v>206</v>
      </c>
      <c r="C47" s="217">
        <v>15174.24</v>
      </c>
      <c r="D47" s="47"/>
    </row>
    <row r="48" spans="1:4" ht="14.25" customHeight="1">
      <c r="A48" s="2">
        <v>46</v>
      </c>
      <c r="B48" s="194" t="s">
        <v>151</v>
      </c>
      <c r="C48" s="217">
        <v>14922.97</v>
      </c>
      <c r="D48" s="47"/>
    </row>
    <row r="49" spans="1:4" ht="14.25" customHeight="1">
      <c r="A49" s="2">
        <v>47</v>
      </c>
      <c r="B49" s="194" t="s">
        <v>224</v>
      </c>
      <c r="C49" s="217">
        <v>14849.89</v>
      </c>
      <c r="D49" s="47"/>
    </row>
    <row r="50" spans="1:4" ht="14.25" customHeight="1">
      <c r="A50" s="2">
        <v>48</v>
      </c>
      <c r="B50" s="194" t="s">
        <v>319</v>
      </c>
      <c r="C50" s="217">
        <v>14491.13</v>
      </c>
    </row>
    <row r="51" spans="1:4" ht="14.25" customHeight="1">
      <c r="A51" s="2">
        <v>49</v>
      </c>
      <c r="B51" s="2" t="s">
        <v>228</v>
      </c>
      <c r="C51" s="57">
        <v>14439.6</v>
      </c>
    </row>
    <row r="52" spans="1:4" ht="14.25" customHeight="1">
      <c r="A52" s="2">
        <v>50</v>
      </c>
      <c r="B52" s="2" t="s">
        <v>327</v>
      </c>
      <c r="C52" s="57">
        <v>14402.1</v>
      </c>
    </row>
    <row r="53" spans="1:4" ht="14.25" customHeight="1">
      <c r="A53" s="2">
        <v>51</v>
      </c>
      <c r="B53" s="2" t="s">
        <v>234</v>
      </c>
      <c r="C53" s="57">
        <v>13954.7</v>
      </c>
    </row>
    <row r="54" spans="1:4" ht="14.25" customHeight="1">
      <c r="A54" s="2">
        <v>52</v>
      </c>
      <c r="B54" s="2" t="s">
        <v>249</v>
      </c>
      <c r="C54" s="57">
        <v>13834.47</v>
      </c>
    </row>
    <row r="55" spans="1:4" ht="14.25" customHeight="1">
      <c r="A55" s="2">
        <v>53</v>
      </c>
      <c r="B55" s="2" t="s">
        <v>173</v>
      </c>
      <c r="C55" s="57">
        <v>13755.56</v>
      </c>
    </row>
    <row r="56" spans="1:4" ht="14.25" customHeight="1">
      <c r="A56" s="2">
        <v>54</v>
      </c>
      <c r="B56" s="2" t="s">
        <v>168</v>
      </c>
      <c r="C56" s="57">
        <v>12916.56</v>
      </c>
    </row>
    <row r="57" spans="1:4" ht="14.25" customHeight="1">
      <c r="A57" s="2">
        <v>55</v>
      </c>
      <c r="B57" s="2" t="s">
        <v>347</v>
      </c>
      <c r="C57" s="57">
        <v>12543.47</v>
      </c>
    </row>
    <row r="58" spans="1:4" ht="14.25" customHeight="1">
      <c r="A58" s="2">
        <v>56</v>
      </c>
      <c r="B58" s="2" t="s">
        <v>225</v>
      </c>
      <c r="C58" s="57">
        <v>12289.52</v>
      </c>
    </row>
    <row r="59" spans="1:4" ht="14.25" customHeight="1">
      <c r="A59" s="2">
        <v>57</v>
      </c>
      <c r="B59" s="2" t="s">
        <v>254</v>
      </c>
      <c r="C59" s="57">
        <v>12273.84</v>
      </c>
    </row>
    <row r="60" spans="1:4" ht="14.25" customHeight="1">
      <c r="A60" s="2">
        <v>58</v>
      </c>
      <c r="B60" s="2" t="s">
        <v>286</v>
      </c>
      <c r="C60" s="57">
        <v>12156.2</v>
      </c>
    </row>
    <row r="61" spans="1:4" ht="14.25" customHeight="1">
      <c r="A61" s="2">
        <v>59</v>
      </c>
      <c r="B61" s="2" t="s">
        <v>148</v>
      </c>
      <c r="C61" s="57">
        <v>11626.13</v>
      </c>
    </row>
    <row r="62" spans="1:4" ht="14.25" customHeight="1">
      <c r="A62" s="2">
        <v>60</v>
      </c>
      <c r="B62" s="2" t="s">
        <v>144</v>
      </c>
      <c r="C62" s="57">
        <v>11484.79</v>
      </c>
    </row>
    <row r="63" spans="1:4" ht="14.25" customHeight="1">
      <c r="A63" s="2">
        <v>61</v>
      </c>
      <c r="B63" s="2" t="s">
        <v>208</v>
      </c>
      <c r="C63" s="57">
        <v>11198.56</v>
      </c>
    </row>
    <row r="64" spans="1:4" ht="14.25" customHeight="1">
      <c r="A64" s="2">
        <v>62</v>
      </c>
      <c r="B64" s="2" t="s">
        <v>126</v>
      </c>
      <c r="C64" s="57">
        <v>11185.2</v>
      </c>
    </row>
    <row r="65" spans="1:3" ht="14.25" customHeight="1">
      <c r="A65" s="2">
        <v>63</v>
      </c>
      <c r="B65" s="2" t="s">
        <v>176</v>
      </c>
      <c r="C65" s="57">
        <v>10704.67</v>
      </c>
    </row>
    <row r="66" spans="1:3" ht="14.25" customHeight="1">
      <c r="A66" s="2">
        <v>64</v>
      </c>
      <c r="B66" s="2" t="s">
        <v>280</v>
      </c>
      <c r="C66" s="57">
        <v>10333</v>
      </c>
    </row>
    <row r="67" spans="1:3" ht="14.25" customHeight="1">
      <c r="A67" s="2">
        <v>65</v>
      </c>
      <c r="B67" s="2" t="s">
        <v>155</v>
      </c>
      <c r="C67" s="57">
        <v>10197.83</v>
      </c>
    </row>
    <row r="68" spans="1:3" ht="14.25" customHeight="1">
      <c r="A68" s="2">
        <v>66</v>
      </c>
      <c r="B68" s="2" t="s">
        <v>323</v>
      </c>
      <c r="C68" s="57">
        <v>10023.27</v>
      </c>
    </row>
    <row r="69" spans="1:3" ht="14.25" customHeight="1">
      <c r="A69" s="2">
        <v>67</v>
      </c>
      <c r="B69" s="2" t="s">
        <v>285</v>
      </c>
      <c r="C69" s="57">
        <v>9326.6299999999992</v>
      </c>
    </row>
    <row r="70" spans="1:3" ht="14.25" customHeight="1">
      <c r="A70" s="2">
        <v>68</v>
      </c>
      <c r="B70" s="2" t="s">
        <v>149</v>
      </c>
      <c r="C70" s="57">
        <v>9099.7900000000009</v>
      </c>
    </row>
    <row r="71" spans="1:3" ht="14.25" customHeight="1">
      <c r="A71" s="2">
        <v>69</v>
      </c>
      <c r="B71" s="2" t="s">
        <v>142</v>
      </c>
      <c r="C71" s="57">
        <v>8631.64</v>
      </c>
    </row>
    <row r="72" spans="1:3" ht="14.25" customHeight="1">
      <c r="A72" s="2">
        <v>70</v>
      </c>
      <c r="B72" s="2" t="s">
        <v>165</v>
      </c>
      <c r="C72" s="57">
        <v>8047.11</v>
      </c>
    </row>
    <row r="73" spans="1:3" ht="14.25" customHeight="1">
      <c r="A73" s="2">
        <v>71</v>
      </c>
      <c r="B73" s="2" t="s">
        <v>152</v>
      </c>
      <c r="C73" s="57">
        <v>7756.5</v>
      </c>
    </row>
    <row r="74" spans="1:3" ht="14.25" customHeight="1">
      <c r="A74" s="2">
        <v>72</v>
      </c>
      <c r="B74" s="2" t="s">
        <v>320</v>
      </c>
      <c r="C74" s="57">
        <v>7223.75</v>
      </c>
    </row>
    <row r="75" spans="1:3" ht="14.25" customHeight="1">
      <c r="A75" s="2">
        <v>73</v>
      </c>
      <c r="B75" s="2" t="s">
        <v>316</v>
      </c>
      <c r="C75" s="57">
        <v>6696</v>
      </c>
    </row>
    <row r="76" spans="1:3" ht="14.25" customHeight="1">
      <c r="A76" s="2">
        <v>74</v>
      </c>
      <c r="B76" s="2" t="s">
        <v>283</v>
      </c>
      <c r="C76" s="57">
        <v>6534.16</v>
      </c>
    </row>
    <row r="77" spans="1:3" ht="14.25" customHeight="1">
      <c r="A77" s="2">
        <v>75</v>
      </c>
      <c r="B77" s="2" t="s">
        <v>350</v>
      </c>
      <c r="C77" s="57">
        <v>6334.65</v>
      </c>
    </row>
    <row r="78" spans="1:3" ht="14.25" customHeight="1">
      <c r="A78" s="2">
        <v>76</v>
      </c>
      <c r="B78" s="2" t="s">
        <v>202</v>
      </c>
      <c r="C78" s="57">
        <v>6240.38</v>
      </c>
    </row>
    <row r="79" spans="1:3" ht="14.25" customHeight="1">
      <c r="A79" s="2">
        <v>77</v>
      </c>
      <c r="B79" s="2" t="s">
        <v>170</v>
      </c>
      <c r="C79" s="57">
        <v>5997.9</v>
      </c>
    </row>
    <row r="80" spans="1:3" ht="14.25" customHeight="1">
      <c r="A80" s="2">
        <v>78</v>
      </c>
      <c r="B80" s="2" t="s">
        <v>213</v>
      </c>
      <c r="C80" s="57">
        <v>5988</v>
      </c>
    </row>
    <row r="81" spans="1:3" ht="14.25" customHeight="1">
      <c r="A81" s="2">
        <v>79</v>
      </c>
      <c r="B81" s="194" t="s">
        <v>244</v>
      </c>
      <c r="C81" s="217">
        <v>5737.22</v>
      </c>
    </row>
    <row r="82" spans="1:3" ht="14.25" customHeight="1">
      <c r="A82" s="2">
        <v>80</v>
      </c>
      <c r="B82" s="194" t="s">
        <v>196</v>
      </c>
      <c r="C82" s="217">
        <v>5513.85</v>
      </c>
    </row>
    <row r="83" spans="1:3" ht="14.25" customHeight="1">
      <c r="A83" s="2">
        <v>81</v>
      </c>
      <c r="B83" s="194" t="s">
        <v>179</v>
      </c>
      <c r="C83" s="217">
        <v>5386.76</v>
      </c>
    </row>
    <row r="84" spans="1:3" ht="14.25" customHeight="1">
      <c r="A84" s="2">
        <v>82</v>
      </c>
      <c r="B84" s="194" t="s">
        <v>185</v>
      </c>
      <c r="C84" s="217">
        <v>5381</v>
      </c>
    </row>
    <row r="85" spans="1:3" ht="14.25" customHeight="1">
      <c r="A85" s="2">
        <v>83</v>
      </c>
      <c r="B85" s="194" t="s">
        <v>305</v>
      </c>
      <c r="C85" s="217">
        <v>4904.67</v>
      </c>
    </row>
    <row r="86" spans="1:3" ht="14.25" customHeight="1">
      <c r="A86" s="2">
        <v>84</v>
      </c>
      <c r="B86" s="194" t="s">
        <v>223</v>
      </c>
      <c r="C86" s="217">
        <v>4514.1099999999997</v>
      </c>
    </row>
    <row r="87" spans="1:3" ht="14.25" customHeight="1">
      <c r="A87" s="2">
        <v>85</v>
      </c>
      <c r="B87" s="194" t="s">
        <v>123</v>
      </c>
      <c r="C87" s="217">
        <v>4445</v>
      </c>
    </row>
    <row r="88" spans="1:3" ht="14.25" customHeight="1">
      <c r="A88" s="2">
        <v>86</v>
      </c>
      <c r="B88" s="194" t="s">
        <v>158</v>
      </c>
      <c r="C88" s="217">
        <v>3237.44</v>
      </c>
    </row>
    <row r="89" spans="1:3" ht="14.25" customHeight="1">
      <c r="A89" s="2">
        <v>87</v>
      </c>
      <c r="B89" s="194" t="s">
        <v>139</v>
      </c>
      <c r="C89" s="217">
        <v>3074.8</v>
      </c>
    </row>
    <row r="90" spans="1:3" ht="14.25" customHeight="1">
      <c r="A90" s="2">
        <v>88</v>
      </c>
      <c r="B90" s="194" t="s">
        <v>326</v>
      </c>
      <c r="C90" s="217">
        <v>2506.86</v>
      </c>
    </row>
    <row r="91" spans="1:3" ht="14.25" customHeight="1">
      <c r="A91" s="2">
        <v>89</v>
      </c>
      <c r="B91" s="194" t="s">
        <v>256</v>
      </c>
      <c r="C91" s="217">
        <v>2153.25</v>
      </c>
    </row>
    <row r="92" spans="1:3" ht="14.25" customHeight="1">
      <c r="A92" s="2"/>
      <c r="B92" s="194"/>
      <c r="C92" s="217"/>
    </row>
    <row r="93" spans="1:3" ht="14.25" customHeight="1">
      <c r="A93" s="2"/>
      <c r="B93"/>
      <c r="C93" s="257"/>
    </row>
    <row r="94" spans="1:3" ht="14.25" customHeight="1">
      <c r="A94" s="2"/>
      <c r="B94"/>
      <c r="C94" s="257"/>
    </row>
    <row r="95" spans="1:3" ht="14.25" customHeight="1">
      <c r="A95" s="2"/>
      <c r="B95" s="7"/>
      <c r="C95" s="289"/>
    </row>
    <row r="96" spans="1:3" ht="14.25" customHeight="1">
      <c r="A96" s="2"/>
      <c r="B96" s="7" t="s">
        <v>105</v>
      </c>
      <c r="C96" s="58">
        <f>MEDIAN(C3:C91)</f>
        <v>15174.24</v>
      </c>
    </row>
    <row r="97" spans="2:3" ht="14.25" customHeight="1">
      <c r="B97" s="58" t="s">
        <v>104</v>
      </c>
      <c r="C97" s="349">
        <f>AVERAGE(C3:C91)</f>
        <v>14989.053707865163</v>
      </c>
    </row>
  </sheetData>
  <sortState xmlns:xlrd2="http://schemas.microsoft.com/office/spreadsheetml/2017/richdata2" ref="H3:I92">
    <sortCondition descending="1" ref="I3:I9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2">
    <pageSetUpPr fitToPage="1"/>
  </sheetPr>
  <dimension ref="A1:I99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6.140625" customWidth="1"/>
    <col min="2" max="2" width="19.42578125" customWidth="1"/>
    <col min="3" max="4" width="8.5703125" style="45" customWidth="1"/>
    <col min="5" max="5" width="10.140625" style="39" customWidth="1"/>
    <col min="6" max="6" width="24.7109375" customWidth="1"/>
    <col min="7" max="7" width="8.140625" bestFit="1" customWidth="1"/>
    <col min="8" max="8" width="25.28515625" bestFit="1" customWidth="1"/>
    <col min="9" max="9" width="9.85546875" style="11" customWidth="1"/>
  </cols>
  <sheetData>
    <row r="1" spans="1:4" ht="16.5" customHeight="1">
      <c r="A1" s="34"/>
      <c r="B1" s="9" t="s">
        <v>613</v>
      </c>
    </row>
    <row r="2" spans="1:4" ht="14.25" customHeight="1">
      <c r="A2" s="26"/>
      <c r="B2" s="3" t="s">
        <v>614</v>
      </c>
    </row>
    <row r="3" spans="1:4" ht="14.25" customHeight="1">
      <c r="A3" s="26"/>
      <c r="B3" s="3"/>
    </row>
    <row r="4" spans="1:4" ht="14.25" customHeight="1">
      <c r="A4" s="2">
        <v>1</v>
      </c>
      <c r="B4" s="210" t="s">
        <v>218</v>
      </c>
      <c r="C4" s="217">
        <v>106</v>
      </c>
      <c r="D4" s="47"/>
    </row>
    <row r="5" spans="1:4" ht="14.25" customHeight="1">
      <c r="A5" s="2">
        <v>2</v>
      </c>
      <c r="B5" s="210" t="s">
        <v>351</v>
      </c>
      <c r="C5" s="242">
        <v>104</v>
      </c>
      <c r="D5" s="47"/>
    </row>
    <row r="6" spans="1:4" ht="14.25" customHeight="1">
      <c r="A6" s="2">
        <v>3</v>
      </c>
      <c r="B6" s="210" t="s">
        <v>152</v>
      </c>
      <c r="C6" s="217">
        <v>101</v>
      </c>
      <c r="D6" s="47"/>
    </row>
    <row r="7" spans="1:4" ht="14.25" customHeight="1">
      <c r="A7" s="2">
        <v>4</v>
      </c>
      <c r="B7" s="210" t="s">
        <v>224</v>
      </c>
      <c r="C7" s="217">
        <v>80</v>
      </c>
      <c r="D7" s="47"/>
    </row>
    <row r="8" spans="1:4" ht="14.25" customHeight="1">
      <c r="A8" s="2">
        <v>5</v>
      </c>
      <c r="B8" s="210" t="s">
        <v>220</v>
      </c>
      <c r="C8" s="217">
        <v>78</v>
      </c>
      <c r="D8" s="47"/>
    </row>
    <row r="9" spans="1:4" ht="14.25" customHeight="1">
      <c r="A9" s="2">
        <v>6</v>
      </c>
      <c r="B9" s="210" t="s">
        <v>239</v>
      </c>
      <c r="C9" s="217">
        <v>71</v>
      </c>
      <c r="D9" s="47"/>
    </row>
    <row r="10" spans="1:4" ht="14.25" customHeight="1">
      <c r="A10" s="2">
        <v>7</v>
      </c>
      <c r="B10" s="210" t="s">
        <v>322</v>
      </c>
      <c r="C10" s="217">
        <v>69</v>
      </c>
      <c r="D10" s="47"/>
    </row>
    <row r="11" spans="1:4" ht="14.25" customHeight="1">
      <c r="A11" s="2">
        <v>8</v>
      </c>
      <c r="B11" s="210" t="s">
        <v>133</v>
      </c>
      <c r="C11" s="217">
        <v>68</v>
      </c>
      <c r="D11" s="47"/>
    </row>
    <row r="12" spans="1:4" ht="14.25" customHeight="1">
      <c r="A12" s="2">
        <v>9</v>
      </c>
      <c r="B12" s="210" t="s">
        <v>260</v>
      </c>
      <c r="C12" s="217">
        <v>67</v>
      </c>
      <c r="D12" s="47"/>
    </row>
    <row r="13" spans="1:4" ht="14.25" customHeight="1">
      <c r="A13" s="2">
        <v>10</v>
      </c>
      <c r="B13" s="210" t="s">
        <v>282</v>
      </c>
      <c r="C13" s="217">
        <v>66</v>
      </c>
      <c r="D13" s="47"/>
    </row>
    <row r="14" spans="1:4" ht="14.25" customHeight="1">
      <c r="A14" s="2">
        <v>11</v>
      </c>
      <c r="B14" s="210" t="s">
        <v>154</v>
      </c>
      <c r="C14" s="217">
        <v>64</v>
      </c>
      <c r="D14" s="47"/>
    </row>
    <row r="15" spans="1:4" ht="14.25" customHeight="1">
      <c r="A15" s="2">
        <v>12</v>
      </c>
      <c r="B15" s="210" t="s">
        <v>165</v>
      </c>
      <c r="C15" s="217">
        <v>63</v>
      </c>
      <c r="D15" s="47"/>
    </row>
    <row r="16" spans="1:4" ht="14.25" customHeight="1">
      <c r="A16" s="2">
        <v>13</v>
      </c>
      <c r="B16" s="210" t="s">
        <v>173</v>
      </c>
      <c r="C16" s="217">
        <v>55</v>
      </c>
      <c r="D16" s="47"/>
    </row>
    <row r="17" spans="1:4" ht="14.25" customHeight="1">
      <c r="A17" s="2">
        <v>14</v>
      </c>
      <c r="B17" s="210" t="s">
        <v>350</v>
      </c>
      <c r="C17" s="217">
        <v>52</v>
      </c>
      <c r="D17" s="47"/>
    </row>
    <row r="18" spans="1:4" ht="14.25" customHeight="1">
      <c r="A18" s="2">
        <v>15</v>
      </c>
      <c r="B18" s="210" t="s">
        <v>284</v>
      </c>
      <c r="C18" s="217">
        <v>51</v>
      </c>
      <c r="D18" s="47"/>
    </row>
    <row r="19" spans="1:4" ht="14.25" customHeight="1">
      <c r="A19" s="2">
        <v>16</v>
      </c>
      <c r="B19" s="210" t="s">
        <v>170</v>
      </c>
      <c r="C19" s="217">
        <v>48</v>
      </c>
      <c r="D19" s="47"/>
    </row>
    <row r="20" spans="1:4" ht="14.25" customHeight="1">
      <c r="A20" s="2">
        <v>17</v>
      </c>
      <c r="B20" s="210" t="s">
        <v>203</v>
      </c>
      <c r="C20" s="217">
        <v>48</v>
      </c>
      <c r="D20" s="47"/>
    </row>
    <row r="21" spans="1:4" ht="14.25" customHeight="1">
      <c r="A21" s="2">
        <v>18</v>
      </c>
      <c r="B21" s="210" t="s">
        <v>149</v>
      </c>
      <c r="C21" s="217">
        <v>47</v>
      </c>
      <c r="D21" s="47"/>
    </row>
    <row r="22" spans="1:4" ht="14.25" customHeight="1">
      <c r="A22" s="2">
        <v>19</v>
      </c>
      <c r="B22" s="210" t="s">
        <v>229</v>
      </c>
      <c r="C22" s="217">
        <v>46</v>
      </c>
      <c r="D22" s="47"/>
    </row>
    <row r="23" spans="1:4" ht="14.25" customHeight="1">
      <c r="A23" s="2">
        <v>20</v>
      </c>
      <c r="B23" s="210" t="s">
        <v>225</v>
      </c>
      <c r="C23" s="217">
        <v>44</v>
      </c>
      <c r="D23" s="47"/>
    </row>
    <row r="24" spans="1:4" ht="14.25" customHeight="1">
      <c r="A24" s="2">
        <v>21</v>
      </c>
      <c r="B24" s="210" t="s">
        <v>186</v>
      </c>
      <c r="C24" s="217">
        <v>42.32</v>
      </c>
      <c r="D24" s="47"/>
    </row>
    <row r="25" spans="1:4" ht="14.25" customHeight="1">
      <c r="A25" s="2">
        <v>22</v>
      </c>
      <c r="B25" s="210" t="s">
        <v>317</v>
      </c>
      <c r="C25" s="217">
        <v>41</v>
      </c>
      <c r="D25" s="47"/>
    </row>
    <row r="26" spans="1:4" ht="14.25" customHeight="1">
      <c r="A26" s="2">
        <v>23</v>
      </c>
      <c r="B26" s="210" t="s">
        <v>318</v>
      </c>
      <c r="C26" s="217">
        <v>41</v>
      </c>
      <c r="D26" s="47"/>
    </row>
    <row r="27" spans="1:4" ht="14.25" customHeight="1">
      <c r="A27" s="2">
        <v>24</v>
      </c>
      <c r="B27" s="210" t="s">
        <v>126</v>
      </c>
      <c r="C27" s="217">
        <v>40</v>
      </c>
      <c r="D27" s="47"/>
    </row>
    <row r="28" spans="1:4" ht="14.25" customHeight="1">
      <c r="A28" s="2">
        <v>25</v>
      </c>
      <c r="B28" s="210" t="s">
        <v>198</v>
      </c>
      <c r="C28" s="217">
        <v>40</v>
      </c>
      <c r="D28" s="47"/>
    </row>
    <row r="29" spans="1:4" ht="14.25" customHeight="1">
      <c r="A29" s="2">
        <v>26</v>
      </c>
      <c r="B29" s="210" t="s">
        <v>257</v>
      </c>
      <c r="C29" s="217">
        <v>38</v>
      </c>
      <c r="D29" s="47"/>
    </row>
    <row r="30" spans="1:4" ht="14.25" customHeight="1">
      <c r="A30" s="2">
        <v>27</v>
      </c>
      <c r="B30" s="210" t="s">
        <v>137</v>
      </c>
      <c r="C30" s="217">
        <v>34</v>
      </c>
      <c r="D30" s="47"/>
    </row>
    <row r="31" spans="1:4" ht="14.25" customHeight="1">
      <c r="A31" s="2">
        <v>28</v>
      </c>
      <c r="B31" s="210" t="s">
        <v>151</v>
      </c>
      <c r="C31" s="217">
        <v>34</v>
      </c>
      <c r="D31" s="47"/>
    </row>
    <row r="32" spans="1:4" ht="14.25" customHeight="1">
      <c r="A32" s="2">
        <v>29</v>
      </c>
      <c r="B32" s="210" t="s">
        <v>207</v>
      </c>
      <c r="C32" s="217">
        <v>34</v>
      </c>
      <c r="D32" s="47"/>
    </row>
    <row r="33" spans="1:4" ht="14.25" customHeight="1">
      <c r="A33" s="2">
        <v>30</v>
      </c>
      <c r="B33" s="210" t="s">
        <v>261</v>
      </c>
      <c r="C33" s="217">
        <v>34</v>
      </c>
      <c r="D33" s="47"/>
    </row>
    <row r="34" spans="1:4" ht="14.25" customHeight="1">
      <c r="A34" s="2">
        <v>31</v>
      </c>
      <c r="B34" s="210" t="s">
        <v>254</v>
      </c>
      <c r="C34" s="217">
        <v>31</v>
      </c>
      <c r="D34" s="47"/>
    </row>
    <row r="35" spans="1:4" ht="14.25" customHeight="1">
      <c r="A35" s="2">
        <v>32</v>
      </c>
      <c r="B35" s="210" t="s">
        <v>347</v>
      </c>
      <c r="C35" s="217">
        <v>30</v>
      </c>
      <c r="D35" s="47"/>
    </row>
    <row r="36" spans="1:4" ht="14.25" customHeight="1">
      <c r="A36" s="2">
        <v>33</v>
      </c>
      <c r="B36" s="210" t="s">
        <v>219</v>
      </c>
      <c r="C36" s="217">
        <v>29.5</v>
      </c>
      <c r="D36" s="47"/>
    </row>
    <row r="37" spans="1:4" ht="14.25" customHeight="1">
      <c r="A37" s="2">
        <v>34</v>
      </c>
      <c r="B37" s="210" t="s">
        <v>312</v>
      </c>
      <c r="C37" s="217">
        <v>27</v>
      </c>
      <c r="D37" s="47"/>
    </row>
    <row r="38" spans="1:4" ht="14.25" customHeight="1">
      <c r="A38" s="2">
        <v>35</v>
      </c>
      <c r="B38" s="210" t="s">
        <v>199</v>
      </c>
      <c r="C38" s="217">
        <v>26.4</v>
      </c>
      <c r="D38" s="47"/>
    </row>
    <row r="39" spans="1:4" ht="14.25" customHeight="1">
      <c r="A39" s="2">
        <v>36</v>
      </c>
      <c r="B39" s="210" t="s">
        <v>233</v>
      </c>
      <c r="C39" s="217">
        <v>25.09</v>
      </c>
      <c r="D39" s="47"/>
    </row>
    <row r="40" spans="1:4" ht="14.25" customHeight="1">
      <c r="A40" s="2">
        <v>37</v>
      </c>
      <c r="B40" s="210" t="s">
        <v>206</v>
      </c>
      <c r="C40" s="217">
        <v>25</v>
      </c>
      <c r="D40" s="47"/>
    </row>
    <row r="41" spans="1:4" ht="14.25" customHeight="1">
      <c r="A41" s="2">
        <v>38</v>
      </c>
      <c r="B41" s="210" t="s">
        <v>148</v>
      </c>
      <c r="C41" s="217">
        <v>24</v>
      </c>
      <c r="D41" s="47"/>
    </row>
    <row r="42" spans="1:4" ht="14.25" customHeight="1">
      <c r="A42" s="2">
        <v>39</v>
      </c>
      <c r="B42" s="210" t="s">
        <v>319</v>
      </c>
      <c r="C42" s="217">
        <v>24</v>
      </c>
      <c r="D42" s="47"/>
    </row>
    <row r="43" spans="1:4" ht="14.25" customHeight="1">
      <c r="A43" s="2">
        <v>40</v>
      </c>
      <c r="B43" s="210" t="s">
        <v>348</v>
      </c>
      <c r="C43" s="217">
        <v>23</v>
      </c>
      <c r="D43" s="47"/>
    </row>
    <row r="44" spans="1:4" ht="14.25" customHeight="1">
      <c r="A44" s="2">
        <v>41</v>
      </c>
      <c r="B44" s="210" t="s">
        <v>232</v>
      </c>
      <c r="C44" s="217">
        <v>23</v>
      </c>
      <c r="D44" s="47"/>
    </row>
    <row r="45" spans="1:4" ht="14.25" customHeight="1">
      <c r="A45" s="2">
        <v>42</v>
      </c>
      <c r="B45" s="210" t="s">
        <v>118</v>
      </c>
      <c r="C45" s="217">
        <v>22.8</v>
      </c>
      <c r="D45" s="47"/>
    </row>
    <row r="46" spans="1:4" ht="14.25" customHeight="1">
      <c r="A46" s="2">
        <v>43</v>
      </c>
      <c r="B46" s="210" t="s">
        <v>226</v>
      </c>
      <c r="C46" s="217">
        <v>21.7</v>
      </c>
      <c r="D46" s="47"/>
    </row>
    <row r="47" spans="1:4" ht="14.25" customHeight="1">
      <c r="A47" s="2">
        <v>44</v>
      </c>
      <c r="B47" s="210" t="s">
        <v>210</v>
      </c>
      <c r="C47" s="217">
        <v>21</v>
      </c>
      <c r="D47" s="47"/>
    </row>
    <row r="48" spans="1:4" ht="14.25" customHeight="1">
      <c r="A48" s="2">
        <v>45</v>
      </c>
      <c r="B48" s="210" t="s">
        <v>249</v>
      </c>
      <c r="C48" s="217">
        <v>20.6</v>
      </c>
      <c r="D48" s="47"/>
    </row>
    <row r="49" spans="1:4" ht="14.25" customHeight="1">
      <c r="A49" s="2">
        <v>46</v>
      </c>
      <c r="B49" s="210" t="s">
        <v>144</v>
      </c>
      <c r="C49" s="217">
        <v>19.260000000000002</v>
      </c>
      <c r="D49" s="47"/>
    </row>
    <row r="50" spans="1:4" ht="14.25" customHeight="1">
      <c r="A50" s="2">
        <v>47</v>
      </c>
      <c r="B50" s="210" t="s">
        <v>155</v>
      </c>
      <c r="C50" s="217">
        <v>18</v>
      </c>
      <c r="D50" s="47"/>
    </row>
    <row r="51" spans="1:4" ht="14.25" customHeight="1">
      <c r="A51" s="2">
        <v>48</v>
      </c>
      <c r="B51" s="2" t="s">
        <v>160</v>
      </c>
      <c r="C51" s="57">
        <v>18</v>
      </c>
    </row>
    <row r="52" spans="1:4" ht="14.25" customHeight="1">
      <c r="A52" s="2">
        <v>49</v>
      </c>
      <c r="B52" s="2" t="s">
        <v>182</v>
      </c>
      <c r="C52" s="57">
        <v>17</v>
      </c>
    </row>
    <row r="53" spans="1:4" ht="14.25" customHeight="1">
      <c r="A53" s="2">
        <v>50</v>
      </c>
      <c r="B53" s="2" t="s">
        <v>327</v>
      </c>
      <c r="C53" s="57">
        <v>15.25</v>
      </c>
    </row>
    <row r="54" spans="1:4" ht="14.25" customHeight="1">
      <c r="A54" s="2">
        <v>51</v>
      </c>
      <c r="B54" s="2" t="s">
        <v>228</v>
      </c>
      <c r="C54" s="57">
        <v>15</v>
      </c>
    </row>
    <row r="55" spans="1:4" ht="14.25" customHeight="1">
      <c r="A55" s="2">
        <v>52</v>
      </c>
      <c r="B55" s="2" t="s">
        <v>323</v>
      </c>
      <c r="C55" s="57">
        <v>15</v>
      </c>
    </row>
    <row r="56" spans="1:4" ht="14.25" customHeight="1">
      <c r="A56" s="2">
        <v>53</v>
      </c>
      <c r="B56" s="2" t="s">
        <v>238</v>
      </c>
      <c r="C56" s="57">
        <v>14</v>
      </c>
    </row>
    <row r="57" spans="1:4" ht="14.25" customHeight="1">
      <c r="A57" s="2">
        <v>54</v>
      </c>
      <c r="B57" s="2" t="s">
        <v>326</v>
      </c>
      <c r="C57" s="57">
        <v>14</v>
      </c>
    </row>
    <row r="58" spans="1:4" ht="14.25" customHeight="1">
      <c r="A58" s="2">
        <v>55</v>
      </c>
      <c r="B58" s="2" t="s">
        <v>258</v>
      </c>
      <c r="C58" s="57">
        <v>13.8</v>
      </c>
    </row>
    <row r="59" spans="1:4" ht="14.25" customHeight="1">
      <c r="A59" s="2">
        <v>56</v>
      </c>
      <c r="B59" s="2" t="s">
        <v>124</v>
      </c>
      <c r="C59" s="57">
        <v>13.3</v>
      </c>
    </row>
    <row r="60" spans="1:4" ht="14.25" customHeight="1">
      <c r="A60" s="2">
        <v>57</v>
      </c>
      <c r="B60" s="2" t="s">
        <v>127</v>
      </c>
      <c r="C60" s="57">
        <v>13</v>
      </c>
    </row>
    <row r="61" spans="1:4" ht="14.25" customHeight="1">
      <c r="A61" s="2">
        <v>58</v>
      </c>
      <c r="B61" s="2" t="s">
        <v>169</v>
      </c>
      <c r="C61" s="57">
        <v>13</v>
      </c>
    </row>
    <row r="62" spans="1:4" ht="14.25" customHeight="1">
      <c r="A62" s="2">
        <v>59</v>
      </c>
      <c r="B62" s="2" t="s">
        <v>176</v>
      </c>
      <c r="C62" s="57">
        <v>12</v>
      </c>
    </row>
    <row r="63" spans="1:4" ht="14.25" customHeight="1">
      <c r="A63" s="2">
        <v>60</v>
      </c>
      <c r="B63" s="2" t="s">
        <v>285</v>
      </c>
      <c r="C63" s="57">
        <v>11.49</v>
      </c>
    </row>
    <row r="64" spans="1:4" ht="14.25" customHeight="1">
      <c r="A64" s="2">
        <v>61</v>
      </c>
      <c r="B64" s="2" t="s">
        <v>278</v>
      </c>
      <c r="C64" s="57">
        <v>10.4</v>
      </c>
    </row>
    <row r="65" spans="1:3" ht="14.25" customHeight="1">
      <c r="A65" s="2">
        <v>62</v>
      </c>
      <c r="B65" s="2" t="s">
        <v>192</v>
      </c>
      <c r="C65" s="57">
        <v>10</v>
      </c>
    </row>
    <row r="66" spans="1:3" ht="14.25" customHeight="1">
      <c r="A66" s="2">
        <v>63</v>
      </c>
      <c r="B66" s="2" t="s">
        <v>234</v>
      </c>
      <c r="C66" s="57">
        <v>10</v>
      </c>
    </row>
    <row r="67" spans="1:3" ht="14.25" customHeight="1">
      <c r="A67" s="2">
        <v>64</v>
      </c>
      <c r="B67" s="2" t="s">
        <v>185</v>
      </c>
      <c r="C67" s="57">
        <v>9</v>
      </c>
    </row>
    <row r="68" spans="1:3" ht="14.25" customHeight="1">
      <c r="A68" s="2">
        <v>65</v>
      </c>
      <c r="B68" s="2" t="s">
        <v>193</v>
      </c>
      <c r="C68" s="57">
        <v>9</v>
      </c>
    </row>
    <row r="69" spans="1:3" ht="14.25" customHeight="1">
      <c r="A69" s="2">
        <v>66</v>
      </c>
      <c r="B69" s="2" t="s">
        <v>208</v>
      </c>
      <c r="C69" s="57">
        <v>9</v>
      </c>
    </row>
    <row r="70" spans="1:3" ht="14.25" customHeight="1">
      <c r="A70" s="2">
        <v>67</v>
      </c>
      <c r="B70" s="2" t="s">
        <v>223</v>
      </c>
      <c r="C70" s="57">
        <v>8.08</v>
      </c>
    </row>
    <row r="71" spans="1:3" ht="14.25" customHeight="1">
      <c r="A71" s="2">
        <v>68</v>
      </c>
      <c r="B71" s="2" t="s">
        <v>190</v>
      </c>
      <c r="C71" s="57">
        <v>8</v>
      </c>
    </row>
    <row r="72" spans="1:3" ht="14.25" customHeight="1">
      <c r="A72" s="2">
        <v>69</v>
      </c>
      <c r="B72" s="2" t="s">
        <v>202</v>
      </c>
      <c r="C72" s="57">
        <v>8</v>
      </c>
    </row>
    <row r="73" spans="1:3" ht="14.25" customHeight="1">
      <c r="A73" s="2">
        <v>70</v>
      </c>
      <c r="B73" s="2" t="s">
        <v>320</v>
      </c>
      <c r="C73" s="57">
        <v>8</v>
      </c>
    </row>
    <row r="74" spans="1:3" ht="14.25" customHeight="1">
      <c r="A74" s="2">
        <v>71</v>
      </c>
      <c r="B74" s="2" t="s">
        <v>256</v>
      </c>
      <c r="C74" s="57">
        <v>8</v>
      </c>
    </row>
    <row r="75" spans="1:3" ht="14.25" customHeight="1">
      <c r="A75" s="2">
        <v>72</v>
      </c>
      <c r="B75" s="2" t="s">
        <v>213</v>
      </c>
      <c r="C75" s="57">
        <v>7</v>
      </c>
    </row>
    <row r="76" spans="1:3" ht="14.25" customHeight="1">
      <c r="A76" s="2">
        <v>73</v>
      </c>
      <c r="B76" s="2" t="s">
        <v>305</v>
      </c>
      <c r="C76" s="57">
        <v>6</v>
      </c>
    </row>
    <row r="77" spans="1:3" ht="14.25" customHeight="1">
      <c r="A77" s="2">
        <v>74</v>
      </c>
      <c r="B77" s="2" t="s">
        <v>142</v>
      </c>
      <c r="C77" s="57">
        <v>5.5</v>
      </c>
    </row>
    <row r="78" spans="1:3" ht="14.25" customHeight="1">
      <c r="A78" s="2">
        <v>75</v>
      </c>
      <c r="B78" s="2" t="s">
        <v>280</v>
      </c>
      <c r="C78" s="57">
        <v>5</v>
      </c>
    </row>
    <row r="79" spans="1:3" ht="14.25" customHeight="1">
      <c r="A79" s="2">
        <v>76</v>
      </c>
      <c r="B79" s="2" t="s">
        <v>286</v>
      </c>
      <c r="C79" s="57">
        <v>5</v>
      </c>
    </row>
    <row r="80" spans="1:3" ht="14.25" customHeight="1">
      <c r="A80" s="2">
        <v>77</v>
      </c>
      <c r="B80" s="210" t="s">
        <v>236</v>
      </c>
      <c r="C80" s="217">
        <v>4.9000000000000004</v>
      </c>
    </row>
    <row r="81" spans="1:3" ht="14.25" customHeight="1">
      <c r="A81" s="2">
        <v>78</v>
      </c>
      <c r="B81" s="210" t="s">
        <v>158</v>
      </c>
      <c r="C81" s="217">
        <v>4.1399999999999997</v>
      </c>
    </row>
    <row r="82" spans="1:3" ht="14.25" customHeight="1">
      <c r="A82" s="2">
        <v>79</v>
      </c>
      <c r="B82" s="210" t="s">
        <v>357</v>
      </c>
      <c r="C82" s="217">
        <v>4</v>
      </c>
    </row>
    <row r="83" spans="1:3" ht="14.25" customHeight="1">
      <c r="A83" s="2">
        <v>80</v>
      </c>
      <c r="B83" s="210" t="s">
        <v>179</v>
      </c>
      <c r="C83" s="217">
        <v>3.7</v>
      </c>
    </row>
    <row r="84" spans="1:3" ht="14.25" customHeight="1">
      <c r="A84" s="2">
        <v>81</v>
      </c>
      <c r="B84" s="210" t="s">
        <v>244</v>
      </c>
      <c r="C84" s="217">
        <v>3.6</v>
      </c>
    </row>
    <row r="85" spans="1:3" ht="14.25" customHeight="1">
      <c r="A85" s="2">
        <v>82</v>
      </c>
      <c r="B85" s="210" t="s">
        <v>168</v>
      </c>
      <c r="C85" s="217">
        <v>3.14</v>
      </c>
    </row>
    <row r="86" spans="1:3" ht="14.25" customHeight="1">
      <c r="A86" s="2">
        <v>83</v>
      </c>
      <c r="B86" s="210" t="s">
        <v>123</v>
      </c>
      <c r="C86" s="217">
        <v>3</v>
      </c>
    </row>
    <row r="87" spans="1:3" ht="14.25" customHeight="1">
      <c r="A87" s="2">
        <v>84</v>
      </c>
      <c r="B87" s="210" t="s">
        <v>196</v>
      </c>
      <c r="C87" s="217">
        <v>2.6</v>
      </c>
    </row>
    <row r="88" spans="1:3" ht="14.25" customHeight="1">
      <c r="A88" s="2">
        <v>85</v>
      </c>
      <c r="B88" s="210" t="s">
        <v>139</v>
      </c>
      <c r="C88" s="217">
        <v>2.5</v>
      </c>
    </row>
    <row r="89" spans="1:3" ht="14.25" customHeight="1">
      <c r="A89" s="2">
        <v>86</v>
      </c>
      <c r="B89" s="210" t="s">
        <v>283</v>
      </c>
      <c r="C89" s="217">
        <v>2.02</v>
      </c>
    </row>
    <row r="90" spans="1:3" ht="14.25" customHeight="1">
      <c r="A90" s="2">
        <v>87</v>
      </c>
      <c r="B90" s="210" t="s">
        <v>316</v>
      </c>
      <c r="C90" s="217">
        <v>2</v>
      </c>
    </row>
    <row r="91" spans="1:3" ht="14.25" customHeight="1">
      <c r="A91" s="2">
        <v>88</v>
      </c>
      <c r="B91" s="210" t="s">
        <v>247</v>
      </c>
      <c r="C91" s="217">
        <v>2</v>
      </c>
    </row>
    <row r="92" spans="1:3" ht="14.25" customHeight="1">
      <c r="A92" s="2">
        <v>89</v>
      </c>
      <c r="B92" s="210" t="s">
        <v>349</v>
      </c>
      <c r="C92" s="217">
        <v>1.23</v>
      </c>
    </row>
    <row r="93" spans="1:3" ht="14.25" customHeight="1">
      <c r="A93" s="2"/>
      <c r="B93" s="210"/>
      <c r="C93" s="217"/>
    </row>
    <row r="94" spans="1:3" ht="14.25" customHeight="1">
      <c r="A94" s="2"/>
      <c r="C94" s="257"/>
    </row>
    <row r="95" spans="1:3" ht="14.25" customHeight="1">
      <c r="A95" s="2"/>
      <c r="B95" s="7" t="s">
        <v>105</v>
      </c>
      <c r="C95" s="350">
        <f>MEDIAN(C4:C92)</f>
        <v>20.6</v>
      </c>
    </row>
    <row r="96" spans="1:3" ht="14.25" customHeight="1">
      <c r="A96" s="2"/>
      <c r="B96" s="7" t="s">
        <v>104</v>
      </c>
      <c r="C96" s="350">
        <f>AVERAGE(C4:C92)</f>
        <v>27.72269662921348</v>
      </c>
    </row>
    <row r="97" spans="1:3" ht="14.25" customHeight="1">
      <c r="A97" s="2"/>
      <c r="B97" s="7" t="s">
        <v>329</v>
      </c>
      <c r="C97" s="344">
        <f>SUM(C4:C92)</f>
        <v>2467.3199999999997</v>
      </c>
    </row>
    <row r="98" spans="1:3" ht="14.25" customHeight="1">
      <c r="C98" s="258"/>
    </row>
    <row r="99" spans="1:3" ht="14.25" customHeight="1">
      <c r="C99" s="258"/>
    </row>
  </sheetData>
  <sortState xmlns:xlrd2="http://schemas.microsoft.com/office/spreadsheetml/2017/richdata2" ref="H4:I93">
    <sortCondition descending="1" ref="I4:I93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3">
    <pageSetUpPr fitToPage="1"/>
  </sheetPr>
  <dimension ref="A1:H96"/>
  <sheetViews>
    <sheetView zoomScaleNormal="100" workbookViewId="0">
      <pane ySplit="1" topLeftCell="A2" activePane="bottomLeft" state="frozen"/>
      <selection pane="bottomLeft"/>
      <selection activeCell="G34" sqref="G34"/>
    </sheetView>
  </sheetViews>
  <sheetFormatPr defaultColWidth="8.85546875" defaultRowHeight="14.25" customHeight="1"/>
  <cols>
    <col min="1" max="1" width="6.85546875" style="2" customWidth="1"/>
    <col min="2" max="2" width="20.140625" customWidth="1"/>
    <col min="3" max="3" width="10.5703125" style="39" customWidth="1"/>
    <col min="4" max="4" width="14.28515625" customWidth="1"/>
    <col min="5" max="5" width="24.42578125" customWidth="1"/>
    <col min="6" max="6" width="11.28515625" style="65" customWidth="1"/>
    <col min="7" max="7" width="21.5703125" style="65" bestFit="1" customWidth="1"/>
    <col min="8" max="8" width="14.5703125" style="2" bestFit="1" customWidth="1"/>
  </cols>
  <sheetData>
    <row r="1" spans="1:3" ht="17.25" customHeight="1">
      <c r="B1" s="9" t="s">
        <v>615</v>
      </c>
    </row>
    <row r="3" spans="1:3" ht="14.25" customHeight="1">
      <c r="A3" s="2">
        <v>1</v>
      </c>
      <c r="B3" s="210" t="s">
        <v>349</v>
      </c>
      <c r="C3" s="211">
        <v>11026.02</v>
      </c>
    </row>
    <row r="4" spans="1:3" ht="14.25" customHeight="1">
      <c r="A4" s="2">
        <v>2</v>
      </c>
      <c r="B4" s="210" t="s">
        <v>133</v>
      </c>
      <c r="C4" s="211">
        <v>6453.57</v>
      </c>
    </row>
    <row r="5" spans="1:3" ht="14.25" customHeight="1">
      <c r="A5" s="2">
        <v>3</v>
      </c>
      <c r="B5" s="210" t="s">
        <v>148</v>
      </c>
      <c r="C5" s="211">
        <v>5880.54</v>
      </c>
    </row>
    <row r="6" spans="1:3" ht="14.25" customHeight="1">
      <c r="A6" s="2">
        <v>4</v>
      </c>
      <c r="B6" s="210" t="s">
        <v>198</v>
      </c>
      <c r="C6" s="211">
        <v>5546.48</v>
      </c>
    </row>
    <row r="7" spans="1:3" ht="14.25" customHeight="1">
      <c r="A7" s="2">
        <v>5</v>
      </c>
      <c r="B7" s="210" t="s">
        <v>154</v>
      </c>
      <c r="C7" s="211">
        <v>5543.8</v>
      </c>
    </row>
    <row r="8" spans="1:3" ht="14.25" customHeight="1">
      <c r="A8" s="2">
        <v>6</v>
      </c>
      <c r="B8" s="210" t="s">
        <v>203</v>
      </c>
      <c r="C8" s="211">
        <v>5310.52</v>
      </c>
    </row>
    <row r="9" spans="1:3" ht="14.25" customHeight="1">
      <c r="A9" s="2">
        <v>7</v>
      </c>
      <c r="B9" s="210" t="s">
        <v>317</v>
      </c>
      <c r="C9" s="211">
        <v>5258.83</v>
      </c>
    </row>
    <row r="10" spans="1:3" ht="14.25" customHeight="1">
      <c r="A10" s="2">
        <v>8</v>
      </c>
      <c r="B10" s="210" t="s">
        <v>357</v>
      </c>
      <c r="C10" s="211">
        <v>5246.5</v>
      </c>
    </row>
    <row r="11" spans="1:3" ht="14.25" customHeight="1">
      <c r="A11" s="2">
        <v>9</v>
      </c>
      <c r="B11" s="210" t="s">
        <v>285</v>
      </c>
      <c r="C11" s="211">
        <v>5202.96</v>
      </c>
    </row>
    <row r="12" spans="1:3" ht="14.25" customHeight="1">
      <c r="A12" s="2">
        <v>10</v>
      </c>
      <c r="B12" s="210" t="s">
        <v>225</v>
      </c>
      <c r="C12" s="211">
        <v>5196.84</v>
      </c>
    </row>
    <row r="13" spans="1:3" ht="14.25" customHeight="1">
      <c r="A13" s="2">
        <v>11</v>
      </c>
      <c r="B13" s="210" t="s">
        <v>126</v>
      </c>
      <c r="C13" s="211">
        <v>4647</v>
      </c>
    </row>
    <row r="14" spans="1:3" ht="14.25" customHeight="1">
      <c r="A14" s="2">
        <v>12</v>
      </c>
      <c r="B14" s="210" t="s">
        <v>236</v>
      </c>
      <c r="C14" s="211">
        <v>4549.3900000000003</v>
      </c>
    </row>
    <row r="15" spans="1:3" ht="14.25" customHeight="1">
      <c r="A15" s="2">
        <v>13</v>
      </c>
      <c r="B15" s="210" t="s">
        <v>160</v>
      </c>
      <c r="C15" s="211">
        <v>4513.78</v>
      </c>
    </row>
    <row r="16" spans="1:3" ht="14.25" customHeight="1">
      <c r="A16" s="2">
        <v>14</v>
      </c>
      <c r="B16" s="210" t="s">
        <v>228</v>
      </c>
      <c r="C16" s="211">
        <v>4457</v>
      </c>
    </row>
    <row r="17" spans="1:3" ht="14.25" customHeight="1">
      <c r="A17" s="2">
        <v>15</v>
      </c>
      <c r="B17" s="210" t="s">
        <v>247</v>
      </c>
      <c r="C17" s="211">
        <v>4437.5</v>
      </c>
    </row>
    <row r="18" spans="1:3" ht="14.25" customHeight="1">
      <c r="A18" s="2">
        <v>16</v>
      </c>
      <c r="B18" s="210" t="s">
        <v>170</v>
      </c>
      <c r="C18" s="211">
        <v>4421.04</v>
      </c>
    </row>
    <row r="19" spans="1:3" ht="14.25" customHeight="1">
      <c r="A19" s="2">
        <v>17</v>
      </c>
      <c r="B19" s="210" t="s">
        <v>233</v>
      </c>
      <c r="C19" s="211">
        <v>4416.22</v>
      </c>
    </row>
    <row r="20" spans="1:3" ht="14.25" customHeight="1">
      <c r="A20" s="2">
        <v>18</v>
      </c>
      <c r="B20" s="210" t="s">
        <v>226</v>
      </c>
      <c r="C20" s="211">
        <v>4185.9399999999996</v>
      </c>
    </row>
    <row r="21" spans="1:3" ht="14.25" customHeight="1">
      <c r="A21" s="2">
        <v>19</v>
      </c>
      <c r="B21" s="210" t="s">
        <v>182</v>
      </c>
      <c r="C21" s="211">
        <v>4041.41</v>
      </c>
    </row>
    <row r="22" spans="1:3" ht="14.25" customHeight="1">
      <c r="A22" s="2">
        <v>20</v>
      </c>
      <c r="B22" s="210" t="s">
        <v>149</v>
      </c>
      <c r="C22" s="211">
        <v>4006.45</v>
      </c>
    </row>
    <row r="23" spans="1:3" ht="14.25" customHeight="1">
      <c r="A23" s="2">
        <v>21</v>
      </c>
      <c r="B23" s="210" t="s">
        <v>165</v>
      </c>
      <c r="C23" s="211">
        <v>4006.33</v>
      </c>
    </row>
    <row r="24" spans="1:3" ht="14.25" customHeight="1">
      <c r="A24" s="2">
        <v>22</v>
      </c>
      <c r="B24" s="210" t="s">
        <v>206</v>
      </c>
      <c r="C24" s="211">
        <v>3926.52</v>
      </c>
    </row>
    <row r="25" spans="1:3" ht="14.25" customHeight="1">
      <c r="A25" s="2">
        <v>23</v>
      </c>
      <c r="B25" s="210" t="s">
        <v>258</v>
      </c>
      <c r="C25" s="211">
        <v>3880.58</v>
      </c>
    </row>
    <row r="26" spans="1:3" ht="14.25" customHeight="1">
      <c r="A26" s="2">
        <v>24</v>
      </c>
      <c r="B26" s="210" t="s">
        <v>155</v>
      </c>
      <c r="C26" s="211">
        <v>3852.89</v>
      </c>
    </row>
    <row r="27" spans="1:3" ht="14.25" customHeight="1">
      <c r="A27" s="2">
        <v>25</v>
      </c>
      <c r="B27" s="210" t="s">
        <v>152</v>
      </c>
      <c r="C27" s="211">
        <v>3814.28</v>
      </c>
    </row>
    <row r="28" spans="1:3" ht="14.25" customHeight="1">
      <c r="A28" s="2">
        <v>26</v>
      </c>
      <c r="B28" s="210" t="s">
        <v>186</v>
      </c>
      <c r="C28" s="211">
        <v>3658.65</v>
      </c>
    </row>
    <row r="29" spans="1:3" ht="14.25" customHeight="1">
      <c r="A29" s="2">
        <v>27</v>
      </c>
      <c r="B29" s="210" t="s">
        <v>179</v>
      </c>
      <c r="C29" s="211">
        <v>3619.46</v>
      </c>
    </row>
    <row r="30" spans="1:3" ht="14.25" customHeight="1">
      <c r="A30" s="2">
        <v>28</v>
      </c>
      <c r="B30" s="210" t="s">
        <v>232</v>
      </c>
      <c r="C30" s="211">
        <v>3546.35</v>
      </c>
    </row>
    <row r="31" spans="1:3" ht="14.25" customHeight="1">
      <c r="A31" s="2">
        <v>29</v>
      </c>
      <c r="B31" s="210" t="s">
        <v>286</v>
      </c>
      <c r="C31" s="211">
        <v>3529.4</v>
      </c>
    </row>
    <row r="32" spans="1:3" ht="14.25" customHeight="1">
      <c r="A32" s="2">
        <v>30</v>
      </c>
      <c r="B32" s="210" t="s">
        <v>220</v>
      </c>
      <c r="C32" s="211">
        <v>3471.44</v>
      </c>
    </row>
    <row r="33" spans="1:3" ht="14.25" customHeight="1">
      <c r="A33" s="2">
        <v>31</v>
      </c>
      <c r="B33" s="210" t="s">
        <v>238</v>
      </c>
      <c r="C33" s="211">
        <v>3463.93</v>
      </c>
    </row>
    <row r="34" spans="1:3" ht="14.25" customHeight="1">
      <c r="A34" s="2">
        <v>32</v>
      </c>
      <c r="B34" s="210" t="s">
        <v>224</v>
      </c>
      <c r="C34" s="211">
        <v>3436.95</v>
      </c>
    </row>
    <row r="35" spans="1:3" ht="14.25" customHeight="1">
      <c r="A35" s="2">
        <v>33</v>
      </c>
      <c r="B35" s="210" t="s">
        <v>124</v>
      </c>
      <c r="C35" s="211">
        <v>3378.87</v>
      </c>
    </row>
    <row r="36" spans="1:3" ht="14.25" customHeight="1">
      <c r="A36" s="2">
        <v>34</v>
      </c>
      <c r="B36" s="210" t="s">
        <v>239</v>
      </c>
      <c r="C36" s="211">
        <v>3360.76</v>
      </c>
    </row>
    <row r="37" spans="1:3" ht="14.25" customHeight="1">
      <c r="A37" s="2">
        <v>35</v>
      </c>
      <c r="B37" s="210" t="s">
        <v>249</v>
      </c>
      <c r="C37" s="211">
        <v>3347.14</v>
      </c>
    </row>
    <row r="38" spans="1:3" ht="14.25" customHeight="1">
      <c r="A38" s="2">
        <v>36</v>
      </c>
      <c r="B38" s="210" t="s">
        <v>347</v>
      </c>
      <c r="C38" s="211">
        <v>3345.1</v>
      </c>
    </row>
    <row r="39" spans="1:3" ht="14.25" customHeight="1">
      <c r="A39" s="2">
        <v>37</v>
      </c>
      <c r="B39" s="210" t="s">
        <v>322</v>
      </c>
      <c r="C39" s="211">
        <v>3323.72</v>
      </c>
    </row>
    <row r="40" spans="1:3" ht="14.25" customHeight="1">
      <c r="A40" s="2">
        <v>38</v>
      </c>
      <c r="B40" s="210" t="s">
        <v>260</v>
      </c>
      <c r="C40" s="211">
        <v>3311.85</v>
      </c>
    </row>
    <row r="41" spans="1:3" ht="14.25" customHeight="1">
      <c r="A41" s="2">
        <v>39</v>
      </c>
      <c r="B41" s="210" t="s">
        <v>305</v>
      </c>
      <c r="C41" s="211">
        <v>3286.83</v>
      </c>
    </row>
    <row r="42" spans="1:3" ht="14.25" customHeight="1">
      <c r="A42" s="2">
        <v>40</v>
      </c>
      <c r="B42" s="210" t="s">
        <v>312</v>
      </c>
      <c r="C42" s="211">
        <v>3268.48</v>
      </c>
    </row>
    <row r="43" spans="1:3" ht="14.25" customHeight="1">
      <c r="A43" s="2">
        <v>41</v>
      </c>
      <c r="B43" s="210" t="s">
        <v>142</v>
      </c>
      <c r="C43" s="211">
        <v>3189.27</v>
      </c>
    </row>
    <row r="44" spans="1:3" ht="14.25" customHeight="1">
      <c r="A44" s="2">
        <v>42</v>
      </c>
      <c r="B44" s="210" t="s">
        <v>192</v>
      </c>
      <c r="C44" s="211">
        <v>3171.8</v>
      </c>
    </row>
    <row r="45" spans="1:3" ht="14.25" customHeight="1">
      <c r="A45" s="2">
        <v>43</v>
      </c>
      <c r="B45" s="210" t="s">
        <v>169</v>
      </c>
      <c r="C45" s="211">
        <v>3164.77</v>
      </c>
    </row>
    <row r="46" spans="1:3" ht="14.25" customHeight="1">
      <c r="A46" s="2">
        <v>44</v>
      </c>
      <c r="B46" s="210" t="s">
        <v>229</v>
      </c>
      <c r="C46" s="211">
        <v>3143.43</v>
      </c>
    </row>
    <row r="47" spans="1:3" ht="14.25" customHeight="1">
      <c r="A47" s="2">
        <v>45</v>
      </c>
      <c r="B47" s="210" t="s">
        <v>318</v>
      </c>
      <c r="C47" s="211">
        <v>3130.78</v>
      </c>
    </row>
    <row r="48" spans="1:3" ht="14.25" customHeight="1">
      <c r="A48" s="2">
        <v>46</v>
      </c>
      <c r="B48" s="210" t="s">
        <v>319</v>
      </c>
      <c r="C48" s="211">
        <v>3027.83</v>
      </c>
    </row>
    <row r="49" spans="1:3" ht="14.25" customHeight="1">
      <c r="A49" s="2">
        <v>47</v>
      </c>
      <c r="B49" s="210" t="s">
        <v>348</v>
      </c>
      <c r="C49" s="211">
        <v>3013.7</v>
      </c>
    </row>
    <row r="50" spans="1:3" ht="14.25" customHeight="1">
      <c r="A50" s="2">
        <v>48</v>
      </c>
      <c r="B50" s="210" t="s">
        <v>173</v>
      </c>
      <c r="C50" s="211">
        <v>2938.05</v>
      </c>
    </row>
    <row r="51" spans="1:3" ht="14.25" customHeight="1">
      <c r="A51" s="2">
        <v>49</v>
      </c>
      <c r="B51" s="2" t="s">
        <v>208</v>
      </c>
      <c r="C51" s="67">
        <v>2912.67</v>
      </c>
    </row>
    <row r="52" spans="1:3" ht="14.25" customHeight="1">
      <c r="A52" s="2">
        <v>50</v>
      </c>
      <c r="B52" s="2" t="s">
        <v>207</v>
      </c>
      <c r="C52" s="67">
        <v>2899.47</v>
      </c>
    </row>
    <row r="53" spans="1:3" ht="14.25" customHeight="1">
      <c r="A53" s="2">
        <v>51</v>
      </c>
      <c r="B53" s="2" t="s">
        <v>282</v>
      </c>
      <c r="C53" s="67">
        <v>2893.02</v>
      </c>
    </row>
    <row r="54" spans="1:3" ht="14.25" customHeight="1">
      <c r="A54" s="2">
        <v>52</v>
      </c>
      <c r="B54" s="2" t="s">
        <v>278</v>
      </c>
      <c r="C54" s="67">
        <v>2850.58</v>
      </c>
    </row>
    <row r="55" spans="1:3" ht="14.25" customHeight="1">
      <c r="A55" s="2">
        <v>53</v>
      </c>
      <c r="B55" s="2" t="s">
        <v>127</v>
      </c>
      <c r="C55" s="67">
        <v>2814.85</v>
      </c>
    </row>
    <row r="56" spans="1:3" ht="14.25" customHeight="1">
      <c r="A56" s="2">
        <v>54</v>
      </c>
      <c r="B56" s="2" t="s">
        <v>327</v>
      </c>
      <c r="C56" s="67">
        <v>2774.62</v>
      </c>
    </row>
    <row r="57" spans="1:3" ht="14.25" customHeight="1">
      <c r="A57" s="2">
        <v>55</v>
      </c>
      <c r="B57" s="2" t="s">
        <v>283</v>
      </c>
      <c r="C57" s="67">
        <v>2774.26</v>
      </c>
    </row>
    <row r="58" spans="1:3" ht="14.25" customHeight="1">
      <c r="A58" s="2">
        <v>56</v>
      </c>
      <c r="B58" s="2" t="s">
        <v>176</v>
      </c>
      <c r="C58" s="67">
        <v>2759.33</v>
      </c>
    </row>
    <row r="59" spans="1:3" ht="14.25" customHeight="1">
      <c r="A59" s="2">
        <v>57</v>
      </c>
      <c r="B59" s="2" t="s">
        <v>284</v>
      </c>
      <c r="C59" s="67">
        <v>2726.41</v>
      </c>
    </row>
    <row r="60" spans="1:3" ht="14.25" customHeight="1">
      <c r="A60" s="2">
        <v>58</v>
      </c>
      <c r="B60" s="2" t="s">
        <v>151</v>
      </c>
      <c r="C60" s="67">
        <v>2713.38</v>
      </c>
    </row>
    <row r="61" spans="1:3" ht="14.25" customHeight="1">
      <c r="A61" s="2">
        <v>59</v>
      </c>
      <c r="B61" s="2" t="s">
        <v>168</v>
      </c>
      <c r="C61" s="67">
        <v>2678.66</v>
      </c>
    </row>
    <row r="62" spans="1:3" ht="14.25" customHeight="1">
      <c r="A62" s="2">
        <v>60</v>
      </c>
      <c r="B62" s="2" t="s">
        <v>202</v>
      </c>
      <c r="C62" s="67">
        <v>2592.5</v>
      </c>
    </row>
    <row r="63" spans="1:3" ht="14.25" customHeight="1">
      <c r="A63" s="2">
        <v>61</v>
      </c>
      <c r="B63" s="2" t="s">
        <v>193</v>
      </c>
      <c r="C63" s="67">
        <v>2574.7800000000002</v>
      </c>
    </row>
    <row r="64" spans="1:3" ht="14.25" customHeight="1">
      <c r="A64" s="2">
        <v>62</v>
      </c>
      <c r="B64" s="2" t="s">
        <v>234</v>
      </c>
      <c r="C64" s="67">
        <v>2563.9</v>
      </c>
    </row>
    <row r="65" spans="1:3" ht="14.25" customHeight="1">
      <c r="A65" s="2">
        <v>63</v>
      </c>
      <c r="B65" s="2" t="s">
        <v>118</v>
      </c>
      <c r="C65" s="67">
        <v>2557.7600000000002</v>
      </c>
    </row>
    <row r="66" spans="1:3" ht="14.25" customHeight="1">
      <c r="A66" s="2">
        <v>64</v>
      </c>
      <c r="B66" s="2" t="s">
        <v>218</v>
      </c>
      <c r="C66" s="67">
        <v>2506.33</v>
      </c>
    </row>
    <row r="67" spans="1:3" ht="14.25" customHeight="1">
      <c r="A67" s="2">
        <v>65</v>
      </c>
      <c r="B67" s="2" t="s">
        <v>219</v>
      </c>
      <c r="C67" s="67">
        <v>2471.4899999999998</v>
      </c>
    </row>
    <row r="68" spans="1:3" ht="14.25" customHeight="1">
      <c r="A68" s="2">
        <v>66</v>
      </c>
      <c r="B68" s="2" t="s">
        <v>213</v>
      </c>
      <c r="C68" s="67">
        <v>2402.4299999999998</v>
      </c>
    </row>
    <row r="69" spans="1:3" ht="14.25" customHeight="1">
      <c r="A69" s="2">
        <v>67</v>
      </c>
      <c r="B69" s="2" t="s">
        <v>196</v>
      </c>
      <c r="C69" s="67">
        <v>2351.15</v>
      </c>
    </row>
    <row r="70" spans="1:3" ht="14.25" customHeight="1">
      <c r="A70" s="2">
        <v>68</v>
      </c>
      <c r="B70" s="2" t="s">
        <v>254</v>
      </c>
      <c r="C70" s="67">
        <v>2350.23</v>
      </c>
    </row>
    <row r="71" spans="1:3" ht="14.25" customHeight="1">
      <c r="A71" s="2">
        <v>69</v>
      </c>
      <c r="B71" s="2" t="s">
        <v>137</v>
      </c>
      <c r="C71" s="67">
        <v>2320.3200000000002</v>
      </c>
    </row>
    <row r="72" spans="1:3" ht="14.25" customHeight="1">
      <c r="A72" s="2">
        <v>70</v>
      </c>
      <c r="B72" s="2" t="s">
        <v>351</v>
      </c>
      <c r="C72" s="67">
        <v>2281.52</v>
      </c>
    </row>
    <row r="73" spans="1:3" ht="14.25" customHeight="1">
      <c r="A73" s="2">
        <v>71</v>
      </c>
      <c r="B73" s="2" t="s">
        <v>190</v>
      </c>
      <c r="C73" s="67">
        <v>2260</v>
      </c>
    </row>
    <row r="74" spans="1:3" ht="14.25" customHeight="1">
      <c r="A74" s="2">
        <v>72</v>
      </c>
      <c r="B74" s="2" t="s">
        <v>144</v>
      </c>
      <c r="C74" s="67">
        <v>2250.5700000000002</v>
      </c>
    </row>
    <row r="75" spans="1:3" ht="14.25" customHeight="1">
      <c r="A75" s="2">
        <v>73</v>
      </c>
      <c r="B75" s="2" t="s">
        <v>323</v>
      </c>
      <c r="C75" s="67">
        <v>2231.6</v>
      </c>
    </row>
    <row r="76" spans="1:3" ht="14.25" customHeight="1">
      <c r="A76" s="2">
        <v>74</v>
      </c>
      <c r="B76" s="2" t="s">
        <v>199</v>
      </c>
      <c r="C76" s="67">
        <v>2145</v>
      </c>
    </row>
    <row r="77" spans="1:3" ht="14.25" customHeight="1">
      <c r="A77" s="2">
        <v>75</v>
      </c>
      <c r="B77" s="2" t="s">
        <v>185</v>
      </c>
      <c r="C77" s="67">
        <v>2144.44</v>
      </c>
    </row>
    <row r="78" spans="1:3" ht="14.25" customHeight="1">
      <c r="A78" s="2">
        <v>76</v>
      </c>
      <c r="B78" s="2" t="s">
        <v>257</v>
      </c>
      <c r="C78" s="67">
        <v>2095.63</v>
      </c>
    </row>
    <row r="79" spans="1:3" ht="14.25" customHeight="1">
      <c r="A79" s="2">
        <v>77</v>
      </c>
      <c r="B79" s="2" t="s">
        <v>244</v>
      </c>
      <c r="C79" s="67">
        <v>1966.94</v>
      </c>
    </row>
    <row r="80" spans="1:3" ht="14.25" customHeight="1">
      <c r="A80" s="2">
        <v>78</v>
      </c>
      <c r="B80" s="2" t="s">
        <v>350</v>
      </c>
      <c r="C80" s="67">
        <v>1868.5</v>
      </c>
    </row>
    <row r="81" spans="1:3" ht="14.25" customHeight="1">
      <c r="A81" s="2">
        <v>79</v>
      </c>
      <c r="B81" s="210" t="s">
        <v>316</v>
      </c>
      <c r="C81" s="211">
        <v>1804</v>
      </c>
    </row>
    <row r="82" spans="1:3" ht="14.25" customHeight="1">
      <c r="A82" s="2">
        <v>80</v>
      </c>
      <c r="B82" s="210" t="s">
        <v>280</v>
      </c>
      <c r="C82" s="211">
        <v>1795.6</v>
      </c>
    </row>
    <row r="83" spans="1:3" ht="14.25" customHeight="1">
      <c r="A83" s="2">
        <v>81</v>
      </c>
      <c r="B83" s="210" t="s">
        <v>223</v>
      </c>
      <c r="C83" s="211">
        <v>1761.88</v>
      </c>
    </row>
    <row r="84" spans="1:3" ht="14.25" customHeight="1">
      <c r="A84" s="2">
        <v>82</v>
      </c>
      <c r="B84" s="210" t="s">
        <v>320</v>
      </c>
      <c r="C84" s="211">
        <v>1647</v>
      </c>
    </row>
    <row r="85" spans="1:3" ht="14.25" customHeight="1">
      <c r="A85" s="2">
        <v>83</v>
      </c>
      <c r="B85" s="210" t="s">
        <v>261</v>
      </c>
      <c r="C85" s="211">
        <v>1622.79</v>
      </c>
    </row>
    <row r="86" spans="1:3" ht="14.25" customHeight="1">
      <c r="A86" s="2">
        <v>84</v>
      </c>
      <c r="B86" s="210" t="s">
        <v>210</v>
      </c>
      <c r="C86" s="211">
        <v>1393</v>
      </c>
    </row>
    <row r="87" spans="1:3" ht="14.25" customHeight="1">
      <c r="A87" s="2">
        <v>85</v>
      </c>
      <c r="B87" s="210" t="s">
        <v>326</v>
      </c>
      <c r="C87" s="211">
        <v>1029.1400000000001</v>
      </c>
    </row>
    <row r="88" spans="1:3" ht="14.25" customHeight="1">
      <c r="A88" s="2">
        <v>86</v>
      </c>
      <c r="B88" s="210" t="s">
        <v>256</v>
      </c>
      <c r="C88" s="211">
        <v>975.5</v>
      </c>
    </row>
    <row r="89" spans="1:3" ht="14.25" customHeight="1">
      <c r="A89" s="2">
        <v>87</v>
      </c>
      <c r="B89" s="210" t="s">
        <v>158</v>
      </c>
      <c r="C89" s="211">
        <v>969.81</v>
      </c>
    </row>
    <row r="90" spans="1:3" ht="14.25" customHeight="1">
      <c r="A90" s="2">
        <v>88</v>
      </c>
      <c r="B90" s="210" t="s">
        <v>139</v>
      </c>
      <c r="C90" s="211">
        <v>939.6</v>
      </c>
    </row>
    <row r="91" spans="1:3" ht="14.25" customHeight="1">
      <c r="A91" s="2">
        <v>89</v>
      </c>
      <c r="B91" s="210" t="s">
        <v>123</v>
      </c>
      <c r="C91" s="211">
        <v>739.67</v>
      </c>
    </row>
    <row r="92" spans="1:3" ht="14.25" customHeight="1">
      <c r="B92" s="210"/>
      <c r="C92" s="211"/>
    </row>
    <row r="93" spans="1:3" ht="14.25" customHeight="1">
      <c r="C93" s="140"/>
    </row>
    <row r="94" spans="1:3" ht="14.25" customHeight="1">
      <c r="C94" s="140"/>
    </row>
    <row r="95" spans="1:3" ht="14.25" customHeight="1">
      <c r="B95" s="7" t="s">
        <v>105</v>
      </c>
      <c r="C95" s="351">
        <f>MEDIAN(C3:C91)</f>
        <v>3130.78</v>
      </c>
    </row>
    <row r="96" spans="1:3" ht="14.25" customHeight="1">
      <c r="B96" s="7" t="s">
        <v>104</v>
      </c>
      <c r="C96" s="349">
        <f>AVERAGE(C3:C91)</f>
        <v>3251.2503370786499</v>
      </c>
    </row>
  </sheetData>
  <sortState xmlns:xlrd2="http://schemas.microsoft.com/office/spreadsheetml/2017/richdata2" ref="G3:H92">
    <sortCondition descending="1" ref="H3:H92"/>
  </sortState>
  <phoneticPr fontId="51" type="noConversion"/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L97"/>
  <sheetViews>
    <sheetView zoomScaleNormal="100" workbookViewId="0">
      <pane ySplit="2" topLeftCell="A3" activePane="bottomLeft" state="frozen"/>
      <selection pane="bottomLeft"/>
      <selection activeCell="G34" sqref="G34"/>
    </sheetView>
  </sheetViews>
  <sheetFormatPr defaultRowHeight="14.25" customHeight="1"/>
  <cols>
    <col min="1" max="1" width="7.28515625" customWidth="1"/>
    <col min="2" max="2" width="19.28515625" customWidth="1"/>
    <col min="3" max="3" width="7.7109375" style="45" customWidth="1"/>
    <col min="4" max="4" width="10.7109375" customWidth="1"/>
    <col min="5" max="5" width="8.7109375" customWidth="1"/>
    <col min="6" max="6" width="20.85546875" customWidth="1"/>
    <col min="7" max="7" width="10.28515625" style="45" customWidth="1"/>
    <col min="8" max="8" width="19.140625" bestFit="1" customWidth="1"/>
    <col min="9" max="9" width="7.140625" bestFit="1" customWidth="1"/>
    <col min="11" max="11" width="21.5703125" bestFit="1" customWidth="1"/>
    <col min="12" max="12" width="9.140625" style="45"/>
  </cols>
  <sheetData>
    <row r="1" spans="1:7" ht="16.5" customHeight="1">
      <c r="B1" s="9" t="s">
        <v>616</v>
      </c>
      <c r="C1" s="43"/>
      <c r="D1" s="50"/>
      <c r="F1" s="5"/>
      <c r="G1" s="183"/>
    </row>
    <row r="2" spans="1:7" ht="14.25" customHeight="1">
      <c r="B2" s="3" t="s">
        <v>617</v>
      </c>
      <c r="C2" s="43"/>
      <c r="D2" s="50"/>
      <c r="F2" s="5"/>
      <c r="G2" s="183"/>
    </row>
    <row r="3" spans="1:7" ht="14.25" customHeight="1">
      <c r="C3" s="43"/>
      <c r="D3" s="50"/>
      <c r="F3" s="5"/>
      <c r="G3" s="183"/>
    </row>
    <row r="4" spans="1:7" ht="14.25" customHeight="1">
      <c r="A4" s="2">
        <v>1</v>
      </c>
      <c r="B4" s="204" t="s">
        <v>325</v>
      </c>
      <c r="C4" s="216">
        <v>34.82</v>
      </c>
      <c r="D4" s="47"/>
    </row>
    <row r="5" spans="1:7" ht="14.25" customHeight="1">
      <c r="A5" s="2">
        <v>2</v>
      </c>
      <c r="B5" s="204" t="s">
        <v>224</v>
      </c>
      <c r="C5" s="216">
        <v>28.49</v>
      </c>
      <c r="D5" s="47"/>
    </row>
    <row r="6" spans="1:7" ht="14.25" customHeight="1">
      <c r="A6" s="2">
        <v>3</v>
      </c>
      <c r="B6" s="204" t="s">
        <v>220</v>
      </c>
      <c r="C6" s="216">
        <v>28.2</v>
      </c>
      <c r="D6" s="47"/>
    </row>
    <row r="7" spans="1:7" ht="14.25" customHeight="1">
      <c r="A7" s="2">
        <v>4</v>
      </c>
      <c r="B7" s="204" t="s">
        <v>239</v>
      </c>
      <c r="C7" s="216">
        <v>27.59</v>
      </c>
      <c r="D7" s="47"/>
    </row>
    <row r="8" spans="1:7" ht="14.25" customHeight="1">
      <c r="A8" s="2">
        <v>5</v>
      </c>
      <c r="B8" s="204" t="s">
        <v>310</v>
      </c>
      <c r="C8" s="216">
        <v>27</v>
      </c>
      <c r="D8" s="47"/>
    </row>
    <row r="9" spans="1:7" ht="14.25" customHeight="1">
      <c r="A9" s="2">
        <v>6</v>
      </c>
      <c r="B9" s="204" t="s">
        <v>154</v>
      </c>
      <c r="C9" s="216">
        <v>25.13</v>
      </c>
      <c r="D9" s="47"/>
    </row>
    <row r="10" spans="1:7" ht="14.25" customHeight="1">
      <c r="A10" s="2">
        <v>7</v>
      </c>
      <c r="B10" s="204" t="s">
        <v>173</v>
      </c>
      <c r="C10" s="216">
        <v>21.06</v>
      </c>
      <c r="D10" s="47"/>
    </row>
    <row r="11" spans="1:7" ht="14.25" customHeight="1">
      <c r="A11" s="2">
        <v>8</v>
      </c>
      <c r="B11" s="204" t="s">
        <v>306</v>
      </c>
      <c r="C11" s="216">
        <v>21</v>
      </c>
      <c r="D11" s="47"/>
    </row>
    <row r="12" spans="1:7" ht="14.25" customHeight="1">
      <c r="A12" s="2">
        <v>9</v>
      </c>
      <c r="B12" s="204" t="s">
        <v>218</v>
      </c>
      <c r="C12" s="216">
        <v>21</v>
      </c>
      <c r="D12" s="47"/>
    </row>
    <row r="13" spans="1:7" ht="14.25" customHeight="1">
      <c r="A13" s="2">
        <v>10</v>
      </c>
      <c r="B13" s="204" t="s">
        <v>260</v>
      </c>
      <c r="C13" s="216">
        <v>21</v>
      </c>
      <c r="D13" s="47"/>
    </row>
    <row r="14" spans="1:7" ht="14.25" customHeight="1">
      <c r="A14" s="2">
        <v>11</v>
      </c>
      <c r="B14" s="204" t="s">
        <v>186</v>
      </c>
      <c r="C14" s="216">
        <v>19.59</v>
      </c>
      <c r="D14" s="47"/>
    </row>
    <row r="15" spans="1:7" ht="14.25" customHeight="1">
      <c r="A15" s="2">
        <v>12</v>
      </c>
      <c r="B15" s="204" t="s">
        <v>225</v>
      </c>
      <c r="C15" s="216">
        <v>18.260000000000002</v>
      </c>
      <c r="D15" s="47"/>
    </row>
    <row r="16" spans="1:7" ht="14.25" customHeight="1">
      <c r="A16" s="2">
        <v>13</v>
      </c>
      <c r="B16" s="204" t="s">
        <v>282</v>
      </c>
      <c r="C16" s="216">
        <v>17</v>
      </c>
      <c r="D16" s="47"/>
    </row>
    <row r="17" spans="1:4" ht="14.25" customHeight="1">
      <c r="A17" s="2">
        <v>14</v>
      </c>
      <c r="B17" s="204" t="s">
        <v>322</v>
      </c>
      <c r="C17" s="216">
        <v>17</v>
      </c>
      <c r="D17" s="47"/>
    </row>
    <row r="18" spans="1:4" ht="14.25" customHeight="1">
      <c r="A18" s="2">
        <v>15</v>
      </c>
      <c r="B18" s="204" t="s">
        <v>284</v>
      </c>
      <c r="C18" s="216">
        <v>17</v>
      </c>
      <c r="D18" s="47"/>
    </row>
    <row r="19" spans="1:4" ht="14.25" customHeight="1">
      <c r="A19" s="2">
        <v>16</v>
      </c>
      <c r="B19" s="204" t="s">
        <v>257</v>
      </c>
      <c r="C19" s="216">
        <v>16.940000000000001</v>
      </c>
      <c r="D19" s="47"/>
    </row>
    <row r="20" spans="1:4" ht="14.25" customHeight="1">
      <c r="A20" s="2">
        <v>17</v>
      </c>
      <c r="B20" s="204" t="s">
        <v>309</v>
      </c>
      <c r="C20" s="216">
        <v>15.6</v>
      </c>
      <c r="D20" s="47"/>
    </row>
    <row r="21" spans="1:4" ht="14.25" customHeight="1">
      <c r="A21" s="2">
        <v>18</v>
      </c>
      <c r="B21" s="204" t="s">
        <v>229</v>
      </c>
      <c r="C21" s="216">
        <v>15</v>
      </c>
      <c r="D21" s="47"/>
    </row>
    <row r="22" spans="1:4" ht="14.25" customHeight="1">
      <c r="A22" s="2">
        <v>19</v>
      </c>
      <c r="B22" s="204" t="s">
        <v>307</v>
      </c>
      <c r="C22" s="216">
        <v>14</v>
      </c>
      <c r="D22" s="47"/>
    </row>
    <row r="23" spans="1:4" ht="14.25" customHeight="1">
      <c r="A23" s="2">
        <v>20</v>
      </c>
      <c r="B23" s="204" t="s">
        <v>317</v>
      </c>
      <c r="C23" s="216">
        <v>13</v>
      </c>
      <c r="D23" s="47"/>
    </row>
    <row r="24" spans="1:4" ht="14.25" customHeight="1">
      <c r="A24" s="2">
        <v>21</v>
      </c>
      <c r="B24" s="204" t="s">
        <v>318</v>
      </c>
      <c r="C24" s="216">
        <v>13</v>
      </c>
      <c r="D24" s="47"/>
    </row>
    <row r="25" spans="1:4" ht="14.25" customHeight="1">
      <c r="A25" s="2">
        <v>22</v>
      </c>
      <c r="B25" s="204" t="s">
        <v>261</v>
      </c>
      <c r="C25" s="216">
        <v>12.77</v>
      </c>
      <c r="D25" s="47"/>
    </row>
    <row r="26" spans="1:4" ht="14.25" customHeight="1">
      <c r="A26" s="2">
        <v>23</v>
      </c>
      <c r="B26" s="204" t="s">
        <v>219</v>
      </c>
      <c r="C26" s="216">
        <v>12.6</v>
      </c>
      <c r="D26" s="47"/>
    </row>
    <row r="27" spans="1:4" ht="14.25" customHeight="1">
      <c r="A27" s="2">
        <v>24</v>
      </c>
      <c r="B27" s="204" t="s">
        <v>198</v>
      </c>
      <c r="C27" s="216">
        <v>12</v>
      </c>
      <c r="D27" s="47"/>
    </row>
    <row r="28" spans="1:4" ht="14.25" customHeight="1">
      <c r="A28" s="2">
        <v>25</v>
      </c>
      <c r="B28" s="204" t="s">
        <v>226</v>
      </c>
      <c r="C28" s="216">
        <v>11.7</v>
      </c>
      <c r="D28" s="47"/>
    </row>
    <row r="29" spans="1:4" ht="14.25" customHeight="1">
      <c r="A29" s="2">
        <v>26</v>
      </c>
      <c r="B29" s="204" t="s">
        <v>126</v>
      </c>
      <c r="C29" s="216">
        <v>11.6</v>
      </c>
      <c r="D29" s="47"/>
    </row>
    <row r="30" spans="1:4" ht="14.25" customHeight="1">
      <c r="A30" s="2">
        <v>27</v>
      </c>
      <c r="B30" s="204" t="s">
        <v>254</v>
      </c>
      <c r="C30" s="216">
        <v>11.2</v>
      </c>
      <c r="D30" s="47"/>
    </row>
    <row r="31" spans="1:4" ht="14.25" customHeight="1">
      <c r="A31" s="2">
        <v>28</v>
      </c>
      <c r="B31" s="204" t="s">
        <v>151</v>
      </c>
      <c r="C31" s="216">
        <v>10.41</v>
      </c>
      <c r="D31" s="47"/>
    </row>
    <row r="32" spans="1:4" ht="14.25" customHeight="1">
      <c r="A32" s="2">
        <v>29</v>
      </c>
      <c r="B32" s="204" t="s">
        <v>210</v>
      </c>
      <c r="C32" s="216">
        <v>10.1</v>
      </c>
      <c r="D32" s="47"/>
    </row>
    <row r="33" spans="1:4" ht="14.25" customHeight="1">
      <c r="A33" s="2">
        <v>30</v>
      </c>
      <c r="B33" s="204" t="s">
        <v>165</v>
      </c>
      <c r="C33" s="216">
        <v>10</v>
      </c>
      <c r="D33" s="47"/>
    </row>
    <row r="34" spans="1:4" ht="14.25" customHeight="1">
      <c r="A34" s="2">
        <v>31</v>
      </c>
      <c r="B34" s="204" t="s">
        <v>233</v>
      </c>
      <c r="C34" s="216">
        <v>10</v>
      </c>
      <c r="D34" s="47"/>
    </row>
    <row r="35" spans="1:4" ht="14.25" customHeight="1">
      <c r="A35" s="2">
        <v>32</v>
      </c>
      <c r="B35" s="204" t="s">
        <v>199</v>
      </c>
      <c r="C35" s="216">
        <v>9.69</v>
      </c>
      <c r="D35" s="47"/>
    </row>
    <row r="36" spans="1:4" ht="14.25" customHeight="1">
      <c r="A36" s="2">
        <v>33</v>
      </c>
      <c r="B36" s="204" t="s">
        <v>148</v>
      </c>
      <c r="C36" s="216">
        <v>9.4</v>
      </c>
      <c r="D36" s="47"/>
    </row>
    <row r="37" spans="1:4" ht="14.25" customHeight="1">
      <c r="A37" s="2">
        <v>34</v>
      </c>
      <c r="B37" s="204" t="s">
        <v>312</v>
      </c>
      <c r="C37" s="216">
        <v>9</v>
      </c>
      <c r="D37" s="47"/>
    </row>
    <row r="38" spans="1:4" ht="14.25" customHeight="1">
      <c r="A38" s="2">
        <v>35</v>
      </c>
      <c r="B38" s="204" t="s">
        <v>207</v>
      </c>
      <c r="C38" s="216">
        <v>9</v>
      </c>
      <c r="D38" s="47"/>
    </row>
    <row r="39" spans="1:4" ht="14.25" customHeight="1">
      <c r="A39" s="2">
        <v>36</v>
      </c>
      <c r="B39" s="204" t="s">
        <v>203</v>
      </c>
      <c r="C39" s="216">
        <v>8.4</v>
      </c>
      <c r="D39" s="47"/>
    </row>
    <row r="40" spans="1:4" ht="14.25" customHeight="1">
      <c r="A40" s="2">
        <v>37</v>
      </c>
      <c r="B40" s="204" t="s">
        <v>206</v>
      </c>
      <c r="C40" s="216">
        <v>8.1999999999999993</v>
      </c>
      <c r="D40" s="47"/>
    </row>
    <row r="41" spans="1:4" ht="14.25" customHeight="1">
      <c r="A41" s="2">
        <v>38</v>
      </c>
      <c r="B41" s="204" t="s">
        <v>144</v>
      </c>
      <c r="C41" s="216">
        <v>8.06</v>
      </c>
      <c r="D41" s="47"/>
    </row>
    <row r="42" spans="1:4" ht="14.25" customHeight="1">
      <c r="A42" s="2">
        <v>39</v>
      </c>
      <c r="B42" s="204" t="s">
        <v>327</v>
      </c>
      <c r="C42" s="216">
        <v>7.4</v>
      </c>
      <c r="D42" s="47"/>
    </row>
    <row r="43" spans="1:4" ht="14.25" customHeight="1">
      <c r="A43" s="2">
        <v>40</v>
      </c>
      <c r="B43" s="204" t="s">
        <v>311</v>
      </c>
      <c r="C43" s="216">
        <v>7</v>
      </c>
      <c r="D43" s="47"/>
    </row>
    <row r="44" spans="1:4" ht="14.25" customHeight="1">
      <c r="A44" s="2">
        <v>41</v>
      </c>
      <c r="B44" s="204" t="s">
        <v>324</v>
      </c>
      <c r="C44" s="216">
        <v>6.6</v>
      </c>
      <c r="D44" s="47"/>
    </row>
    <row r="45" spans="1:4" ht="14.25" customHeight="1">
      <c r="A45" s="2">
        <v>42</v>
      </c>
      <c r="B45" s="204" t="s">
        <v>278</v>
      </c>
      <c r="C45" s="216">
        <v>6</v>
      </c>
      <c r="D45" s="47"/>
    </row>
    <row r="46" spans="1:4" ht="14.25" customHeight="1">
      <c r="A46" s="2">
        <v>43</v>
      </c>
      <c r="B46" s="204" t="s">
        <v>313</v>
      </c>
      <c r="C46" s="216">
        <v>6</v>
      </c>
      <c r="D46" s="47"/>
    </row>
    <row r="47" spans="1:4" ht="14.25" customHeight="1">
      <c r="A47" s="2">
        <v>44</v>
      </c>
      <c r="B47" s="204" t="s">
        <v>314</v>
      </c>
      <c r="C47" s="216">
        <v>6</v>
      </c>
      <c r="D47" s="47"/>
    </row>
    <row r="48" spans="1:4" ht="14.25" customHeight="1">
      <c r="A48" s="2">
        <v>45</v>
      </c>
      <c r="B48" s="204" t="s">
        <v>170</v>
      </c>
      <c r="C48" s="216">
        <v>6</v>
      </c>
      <c r="D48" s="47"/>
    </row>
    <row r="49" spans="1:7" ht="14.25" customHeight="1">
      <c r="A49" s="2">
        <v>46</v>
      </c>
      <c r="B49" s="204" t="s">
        <v>319</v>
      </c>
      <c r="C49" s="216">
        <v>6</v>
      </c>
      <c r="D49" s="47"/>
    </row>
    <row r="50" spans="1:7" ht="14.25" customHeight="1">
      <c r="A50" s="2">
        <v>47</v>
      </c>
      <c r="B50" s="204" t="s">
        <v>232</v>
      </c>
      <c r="C50" s="216">
        <v>5.8</v>
      </c>
      <c r="D50" s="47"/>
    </row>
    <row r="51" spans="1:7" ht="14.25" customHeight="1">
      <c r="A51" s="2">
        <v>48</v>
      </c>
      <c r="B51" s="204" t="s">
        <v>192</v>
      </c>
      <c r="C51" s="216">
        <v>5.4</v>
      </c>
      <c r="D51" s="49"/>
      <c r="E51" s="2"/>
      <c r="F51" s="13"/>
      <c r="G51" s="184"/>
    </row>
    <row r="52" spans="1:7" ht="14.25" customHeight="1">
      <c r="A52" s="2">
        <v>49</v>
      </c>
      <c r="B52" s="204" t="s">
        <v>258</v>
      </c>
      <c r="C52" s="216">
        <v>5</v>
      </c>
      <c r="D52" s="87"/>
      <c r="E52" s="2"/>
      <c r="F52" s="2"/>
    </row>
    <row r="53" spans="1:7" ht="14.25" customHeight="1">
      <c r="A53" s="2">
        <v>50</v>
      </c>
      <c r="B53" s="204" t="s">
        <v>285</v>
      </c>
      <c r="C53" s="216">
        <v>5</v>
      </c>
      <c r="D53" s="23"/>
      <c r="E53" s="2"/>
    </row>
    <row r="54" spans="1:7" ht="14.25" customHeight="1">
      <c r="A54" s="2">
        <v>51</v>
      </c>
      <c r="B54" s="204" t="s">
        <v>118</v>
      </c>
      <c r="C54" s="216">
        <v>4.8</v>
      </c>
      <c r="D54" s="23"/>
      <c r="G54" s="160"/>
    </row>
    <row r="55" spans="1:7" ht="14.25" customHeight="1">
      <c r="A55" s="2">
        <v>52</v>
      </c>
      <c r="B55" s="204" t="s">
        <v>169</v>
      </c>
      <c r="C55" s="216">
        <v>4.4800000000000004</v>
      </c>
    </row>
    <row r="56" spans="1:7" ht="14.25" customHeight="1">
      <c r="A56" s="2">
        <v>53</v>
      </c>
      <c r="B56" s="204" t="s">
        <v>249</v>
      </c>
      <c r="C56" s="216">
        <v>4.45</v>
      </c>
    </row>
    <row r="57" spans="1:7" ht="14.25" customHeight="1">
      <c r="A57" s="2">
        <v>54</v>
      </c>
      <c r="B57" s="204" t="s">
        <v>323</v>
      </c>
      <c r="C57" s="216">
        <v>4.2</v>
      </c>
    </row>
    <row r="58" spans="1:7" ht="14.25" customHeight="1">
      <c r="A58" s="2">
        <v>55</v>
      </c>
      <c r="B58" s="204" t="s">
        <v>160</v>
      </c>
      <c r="C58" s="216">
        <v>4</v>
      </c>
    </row>
    <row r="59" spans="1:7" ht="14.25" customHeight="1">
      <c r="A59" s="2">
        <v>56</v>
      </c>
      <c r="B59" s="204" t="s">
        <v>182</v>
      </c>
      <c r="C59" s="216">
        <v>4</v>
      </c>
    </row>
    <row r="60" spans="1:7" ht="14.25" customHeight="1">
      <c r="A60" s="2">
        <v>57</v>
      </c>
      <c r="B60" s="204" t="s">
        <v>234</v>
      </c>
      <c r="C60" s="216">
        <v>4</v>
      </c>
    </row>
    <row r="61" spans="1:7" ht="14.25" customHeight="1">
      <c r="A61" s="2">
        <v>58</v>
      </c>
      <c r="B61" s="204" t="s">
        <v>238</v>
      </c>
      <c r="C61" s="216">
        <v>4</v>
      </c>
    </row>
    <row r="62" spans="1:7" ht="14.25" customHeight="1">
      <c r="A62" s="2">
        <v>59</v>
      </c>
      <c r="B62" s="204" t="s">
        <v>304</v>
      </c>
      <c r="C62" s="216">
        <v>3.75</v>
      </c>
    </row>
    <row r="63" spans="1:7" ht="14.25" customHeight="1">
      <c r="A63" s="2">
        <v>60</v>
      </c>
      <c r="B63" s="204" t="s">
        <v>315</v>
      </c>
      <c r="C63" s="216">
        <v>3.42</v>
      </c>
    </row>
    <row r="64" spans="1:7" ht="14.25" customHeight="1">
      <c r="A64" s="2">
        <v>61</v>
      </c>
      <c r="B64" s="204" t="s">
        <v>326</v>
      </c>
      <c r="C64" s="216">
        <v>3</v>
      </c>
    </row>
    <row r="65" spans="1:3" ht="14.25" customHeight="1">
      <c r="A65" s="2">
        <v>62</v>
      </c>
      <c r="B65" s="204" t="s">
        <v>321</v>
      </c>
      <c r="C65" s="216">
        <v>2.88</v>
      </c>
    </row>
    <row r="66" spans="1:3" ht="14.25" customHeight="1">
      <c r="A66" s="2">
        <v>63</v>
      </c>
      <c r="B66" s="204" t="s">
        <v>193</v>
      </c>
      <c r="C66" s="216">
        <v>2.85</v>
      </c>
    </row>
    <row r="67" spans="1:3" ht="14.25" customHeight="1">
      <c r="A67" s="2">
        <v>64</v>
      </c>
      <c r="B67" s="204" t="s">
        <v>185</v>
      </c>
      <c r="C67" s="216">
        <v>2</v>
      </c>
    </row>
    <row r="68" spans="1:3" ht="14.25" customHeight="1">
      <c r="A68" s="2">
        <v>65</v>
      </c>
      <c r="B68" s="204" t="s">
        <v>190</v>
      </c>
      <c r="C68" s="216">
        <v>2</v>
      </c>
    </row>
    <row r="69" spans="1:3" ht="14.25" customHeight="1">
      <c r="A69" s="2">
        <v>66</v>
      </c>
      <c r="B69" s="204" t="s">
        <v>208</v>
      </c>
      <c r="C69" s="216">
        <v>2</v>
      </c>
    </row>
    <row r="70" spans="1:3" ht="14.25" customHeight="1">
      <c r="A70" s="2">
        <v>67</v>
      </c>
      <c r="B70" s="204" t="s">
        <v>320</v>
      </c>
      <c r="C70" s="216">
        <v>2</v>
      </c>
    </row>
    <row r="71" spans="1:3" ht="14.25" customHeight="1">
      <c r="A71" s="2">
        <v>68</v>
      </c>
      <c r="B71" s="204" t="s">
        <v>223</v>
      </c>
      <c r="C71" s="216">
        <v>2</v>
      </c>
    </row>
    <row r="72" spans="1:3" ht="14.25" customHeight="1">
      <c r="A72" s="2">
        <v>69</v>
      </c>
      <c r="B72" s="204" t="s">
        <v>202</v>
      </c>
      <c r="C72" s="216">
        <v>1.6</v>
      </c>
    </row>
    <row r="73" spans="1:3" ht="14.25" customHeight="1">
      <c r="A73" s="2">
        <v>70</v>
      </c>
      <c r="B73" s="204" t="s">
        <v>247</v>
      </c>
      <c r="C73" s="216">
        <v>1.34</v>
      </c>
    </row>
    <row r="74" spans="1:3" ht="14.25" customHeight="1">
      <c r="A74" s="2">
        <v>71</v>
      </c>
      <c r="B74" s="204" t="s">
        <v>123</v>
      </c>
      <c r="C74" s="216">
        <v>1</v>
      </c>
    </row>
    <row r="75" spans="1:3" ht="14.25" customHeight="1">
      <c r="A75" s="2">
        <v>72</v>
      </c>
      <c r="B75" s="204" t="s">
        <v>127</v>
      </c>
      <c r="C75" s="216">
        <v>1</v>
      </c>
    </row>
    <row r="76" spans="1:3" ht="14.25" customHeight="1">
      <c r="A76" s="2">
        <v>73</v>
      </c>
      <c r="B76" s="204" t="s">
        <v>305</v>
      </c>
      <c r="C76" s="216">
        <v>1</v>
      </c>
    </row>
    <row r="77" spans="1:3" ht="14.25" customHeight="1">
      <c r="A77" s="2">
        <v>74</v>
      </c>
      <c r="B77" s="204" t="s">
        <v>139</v>
      </c>
      <c r="C77" s="216">
        <v>1</v>
      </c>
    </row>
    <row r="78" spans="1:3" ht="14.25" customHeight="1">
      <c r="A78" s="2">
        <v>75</v>
      </c>
      <c r="B78" s="204" t="s">
        <v>158</v>
      </c>
      <c r="C78" s="216">
        <v>1</v>
      </c>
    </row>
    <row r="79" spans="1:3" ht="14.25" customHeight="1">
      <c r="A79" s="2">
        <v>76</v>
      </c>
      <c r="B79" s="204" t="s">
        <v>168</v>
      </c>
      <c r="C79" s="216">
        <v>1</v>
      </c>
    </row>
    <row r="80" spans="1:3" ht="14.25" customHeight="1">
      <c r="A80" s="2">
        <v>77</v>
      </c>
      <c r="B80" s="204" t="s">
        <v>280</v>
      </c>
      <c r="C80" s="216">
        <v>1</v>
      </c>
    </row>
    <row r="81" spans="1:12" ht="14.25" customHeight="1">
      <c r="A81" s="2">
        <v>78</v>
      </c>
      <c r="B81" s="204" t="s">
        <v>316</v>
      </c>
      <c r="C81" s="216">
        <v>1</v>
      </c>
    </row>
    <row r="82" spans="1:12" ht="14.25" customHeight="1">
      <c r="A82" s="2">
        <v>79</v>
      </c>
      <c r="B82" s="204" t="s">
        <v>179</v>
      </c>
      <c r="C82" s="216">
        <v>1</v>
      </c>
    </row>
    <row r="83" spans="1:12" ht="14.25" customHeight="1">
      <c r="A83" s="2">
        <v>80</v>
      </c>
      <c r="B83" s="204" t="s">
        <v>196</v>
      </c>
      <c r="C83" s="216">
        <v>1</v>
      </c>
    </row>
    <row r="84" spans="1:12" ht="14.25" customHeight="1">
      <c r="A84" s="2">
        <v>81</v>
      </c>
      <c r="B84" s="204" t="s">
        <v>213</v>
      </c>
      <c r="C84" s="216">
        <v>1</v>
      </c>
    </row>
    <row r="85" spans="1:12" ht="14.25" customHeight="1">
      <c r="A85" s="2">
        <v>82</v>
      </c>
      <c r="B85" s="204" t="s">
        <v>214</v>
      </c>
      <c r="C85" s="216">
        <v>1</v>
      </c>
    </row>
    <row r="86" spans="1:12" ht="14.25" customHeight="1">
      <c r="A86" s="2">
        <v>83</v>
      </c>
      <c r="B86" s="204" t="s">
        <v>283</v>
      </c>
      <c r="C86" s="216">
        <v>1</v>
      </c>
    </row>
    <row r="87" spans="1:12" ht="14.25" customHeight="1">
      <c r="A87" s="2">
        <v>84</v>
      </c>
      <c r="B87" s="204" t="s">
        <v>236</v>
      </c>
      <c r="C87" s="216">
        <v>1</v>
      </c>
    </row>
    <row r="88" spans="1:12" ht="14.25" customHeight="1">
      <c r="A88" s="2">
        <v>85</v>
      </c>
      <c r="B88" s="204" t="s">
        <v>244</v>
      </c>
      <c r="C88" s="216">
        <v>1</v>
      </c>
    </row>
    <row r="89" spans="1:12" ht="14.25" customHeight="1">
      <c r="A89" s="2">
        <v>86</v>
      </c>
      <c r="B89" s="204" t="s">
        <v>328</v>
      </c>
      <c r="C89" s="216">
        <v>1</v>
      </c>
    </row>
    <row r="90" spans="1:12" ht="14.25" customHeight="1">
      <c r="A90" s="2">
        <v>87</v>
      </c>
      <c r="B90" s="204" t="s">
        <v>308</v>
      </c>
      <c r="C90" s="216">
        <v>0</v>
      </c>
    </row>
    <row r="91" spans="1:12" ht="14.25" customHeight="1">
      <c r="A91" s="2">
        <v>88</v>
      </c>
      <c r="B91" s="204" t="s">
        <v>569</v>
      </c>
      <c r="C91" s="216">
        <v>0</v>
      </c>
    </row>
    <row r="92" spans="1:12" ht="14.25" customHeight="1">
      <c r="A92" s="2">
        <v>89</v>
      </c>
      <c r="B92" s="204" t="s">
        <v>256</v>
      </c>
      <c r="C92" s="216">
        <v>0</v>
      </c>
    </row>
    <row r="93" spans="1:12" ht="14.25" customHeight="1">
      <c r="A93" s="2"/>
      <c r="B93" s="204"/>
      <c r="C93" s="216"/>
    </row>
    <row r="94" spans="1:12" ht="14.25" customHeight="1">
      <c r="A94" s="2"/>
      <c r="C94" s="250"/>
      <c r="L94" s="35">
        <f>SUM(L3:L92)</f>
        <v>0</v>
      </c>
    </row>
    <row r="95" spans="1:12" ht="14.25" customHeight="1">
      <c r="A95" s="2"/>
      <c r="B95" s="7" t="s">
        <v>105</v>
      </c>
      <c r="C95" s="251">
        <v>6</v>
      </c>
    </row>
    <row r="96" spans="1:12" ht="14.25" customHeight="1">
      <c r="A96" s="2"/>
      <c r="B96" s="7" t="s">
        <v>104</v>
      </c>
      <c r="C96" s="251">
        <v>8.5031460674157309</v>
      </c>
    </row>
    <row r="97" spans="1:3" ht="14.25" customHeight="1">
      <c r="A97" s="2"/>
      <c r="B97" s="7" t="s">
        <v>329</v>
      </c>
      <c r="C97" s="256">
        <v>756.78000000000009</v>
      </c>
    </row>
  </sheetData>
  <sortState xmlns:xlrd2="http://schemas.microsoft.com/office/spreadsheetml/2017/richdata2" ref="K3:L92">
    <sortCondition descending="1" ref="L3:L92"/>
  </sortState>
  <phoneticPr fontId="68" type="noConversion"/>
  <conditionalFormatting sqref="C51:C93">
    <cfRule type="cellIs" dxfId="26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5">
    <pageSetUpPr fitToPage="1"/>
  </sheetPr>
  <dimension ref="A1:I96"/>
  <sheetViews>
    <sheetView zoomScaleNormal="100" workbookViewId="0">
      <pane ySplit="1" topLeftCell="A11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5.7109375" customWidth="1"/>
    <col min="2" max="2" width="22.140625" customWidth="1"/>
    <col min="3" max="3" width="11" style="14" customWidth="1"/>
    <col min="4" max="4" width="7.28515625" style="57" customWidth="1"/>
    <col min="5" max="5" width="8.42578125" style="57" customWidth="1"/>
    <col min="6" max="6" width="21.5703125" style="57" bestFit="1" customWidth="1"/>
    <col min="7" max="7" width="13.7109375" style="65" customWidth="1"/>
    <col min="8" max="8" width="19.140625" style="2" bestFit="1" customWidth="1"/>
    <col min="9" max="9" width="21.28515625" style="2" bestFit="1" customWidth="1"/>
  </cols>
  <sheetData>
    <row r="1" spans="1:4" ht="16.5" customHeight="1">
      <c r="B1" s="9" t="s">
        <v>618</v>
      </c>
    </row>
    <row r="2" spans="1:4" ht="14.25" customHeight="1">
      <c r="C2" s="39"/>
      <c r="D2"/>
    </row>
    <row r="3" spans="1:4" ht="14.25" customHeight="1">
      <c r="A3" s="2">
        <v>1</v>
      </c>
      <c r="B3" s="210" t="s">
        <v>127</v>
      </c>
      <c r="C3" s="211">
        <v>36593</v>
      </c>
      <c r="D3" s="47"/>
    </row>
    <row r="4" spans="1:4" ht="14.25" customHeight="1">
      <c r="A4" s="2">
        <v>2</v>
      </c>
      <c r="B4" s="210" t="s">
        <v>170</v>
      </c>
      <c r="C4" s="211">
        <v>35368.33</v>
      </c>
      <c r="D4" s="47"/>
    </row>
    <row r="5" spans="1:4" ht="14.25" customHeight="1">
      <c r="A5" s="2">
        <v>3</v>
      </c>
      <c r="B5" s="210" t="s">
        <v>203</v>
      </c>
      <c r="C5" s="211">
        <v>30345.83</v>
      </c>
      <c r="D5" s="47"/>
    </row>
    <row r="6" spans="1:4" ht="14.25" customHeight="1">
      <c r="A6" s="2">
        <v>4</v>
      </c>
      <c r="B6" s="210" t="s">
        <v>165</v>
      </c>
      <c r="C6" s="211">
        <v>25239.9</v>
      </c>
      <c r="D6" s="47"/>
    </row>
    <row r="7" spans="1:4" ht="14.25" customHeight="1">
      <c r="A7" s="2">
        <v>5</v>
      </c>
      <c r="B7" s="210" t="s">
        <v>321</v>
      </c>
      <c r="C7" s="211">
        <v>23213.54</v>
      </c>
      <c r="D7" s="47"/>
    </row>
    <row r="8" spans="1:4" ht="14.25" customHeight="1">
      <c r="A8" s="2">
        <v>6</v>
      </c>
      <c r="B8" s="210" t="s">
        <v>236</v>
      </c>
      <c r="C8" s="211">
        <v>22292</v>
      </c>
      <c r="D8" s="47"/>
    </row>
    <row r="9" spans="1:4" ht="14.25" customHeight="1">
      <c r="A9" s="2">
        <v>7</v>
      </c>
      <c r="B9" s="210" t="s">
        <v>214</v>
      </c>
      <c r="C9" s="211">
        <v>20986</v>
      </c>
      <c r="D9" s="47"/>
    </row>
    <row r="10" spans="1:4" ht="14.25" customHeight="1">
      <c r="A10" s="2">
        <v>8</v>
      </c>
      <c r="B10" s="210" t="s">
        <v>306</v>
      </c>
      <c r="C10" s="211">
        <v>20897.29</v>
      </c>
      <c r="D10" s="47"/>
    </row>
    <row r="11" spans="1:4" ht="14.25" customHeight="1">
      <c r="A11" s="2">
        <v>9</v>
      </c>
      <c r="B11" s="210" t="s">
        <v>160</v>
      </c>
      <c r="C11" s="211">
        <v>20312</v>
      </c>
      <c r="D11" s="47"/>
    </row>
    <row r="12" spans="1:4" ht="14.25" customHeight="1">
      <c r="A12" s="2">
        <v>10</v>
      </c>
      <c r="B12" s="210" t="s">
        <v>305</v>
      </c>
      <c r="C12" s="211">
        <v>19721</v>
      </c>
      <c r="D12" s="47"/>
    </row>
    <row r="13" spans="1:4" ht="14.25" customHeight="1">
      <c r="A13" s="2">
        <v>11</v>
      </c>
      <c r="B13" s="210" t="s">
        <v>198</v>
      </c>
      <c r="C13" s="211">
        <v>18488.25</v>
      </c>
      <c r="D13" s="47"/>
    </row>
    <row r="14" spans="1:4" ht="14.25" customHeight="1">
      <c r="A14" s="2">
        <v>12</v>
      </c>
      <c r="B14" s="210" t="s">
        <v>328</v>
      </c>
      <c r="C14" s="211">
        <v>17647</v>
      </c>
      <c r="D14" s="47"/>
    </row>
    <row r="15" spans="1:4" ht="14.25" customHeight="1">
      <c r="A15" s="2">
        <v>13</v>
      </c>
      <c r="B15" s="210" t="s">
        <v>182</v>
      </c>
      <c r="C15" s="211">
        <v>17176</v>
      </c>
      <c r="D15" s="47"/>
    </row>
    <row r="16" spans="1:4" ht="14.25" customHeight="1">
      <c r="A16" s="2">
        <v>14</v>
      </c>
      <c r="B16" s="210" t="s">
        <v>213</v>
      </c>
      <c r="C16" s="211">
        <v>16817</v>
      </c>
      <c r="D16" s="47"/>
    </row>
    <row r="17" spans="1:4" ht="14.25" customHeight="1">
      <c r="A17" s="2">
        <v>15</v>
      </c>
      <c r="B17" s="210" t="s">
        <v>317</v>
      </c>
      <c r="C17" s="211">
        <v>16585.54</v>
      </c>
      <c r="D17" s="47"/>
    </row>
    <row r="18" spans="1:4" ht="14.25" customHeight="1">
      <c r="A18" s="2">
        <v>16</v>
      </c>
      <c r="B18" s="210" t="s">
        <v>126</v>
      </c>
      <c r="C18" s="211">
        <v>16024.14</v>
      </c>
      <c r="D18" s="47"/>
    </row>
    <row r="19" spans="1:4" ht="14.25" customHeight="1">
      <c r="A19" s="2">
        <v>17</v>
      </c>
      <c r="B19" s="210" t="s">
        <v>249</v>
      </c>
      <c r="C19" s="211">
        <v>15494.61</v>
      </c>
      <c r="D19" s="47"/>
    </row>
    <row r="20" spans="1:4" ht="14.25" customHeight="1">
      <c r="A20" s="2">
        <v>18</v>
      </c>
      <c r="B20" s="210" t="s">
        <v>148</v>
      </c>
      <c r="C20" s="211">
        <v>15014.15</v>
      </c>
      <c r="D20" s="47"/>
    </row>
    <row r="21" spans="1:4" ht="14.25" customHeight="1">
      <c r="A21" s="2">
        <v>19</v>
      </c>
      <c r="B21" s="210" t="s">
        <v>324</v>
      </c>
      <c r="C21" s="211">
        <v>14721.52</v>
      </c>
      <c r="D21" s="47"/>
    </row>
    <row r="22" spans="1:4" ht="14.25" customHeight="1">
      <c r="A22" s="2">
        <v>20</v>
      </c>
      <c r="B22" s="210" t="s">
        <v>311</v>
      </c>
      <c r="C22" s="211">
        <v>14336.14</v>
      </c>
      <c r="D22" s="47"/>
    </row>
    <row r="23" spans="1:4" ht="14.25" customHeight="1">
      <c r="A23" s="2">
        <v>21</v>
      </c>
      <c r="B23" s="210" t="s">
        <v>310</v>
      </c>
      <c r="C23" s="211">
        <v>14268.22</v>
      </c>
      <c r="D23" s="47"/>
    </row>
    <row r="24" spans="1:4" ht="14.25" customHeight="1">
      <c r="A24" s="2">
        <v>22</v>
      </c>
      <c r="B24" s="210" t="s">
        <v>154</v>
      </c>
      <c r="C24" s="211">
        <v>14118.7</v>
      </c>
      <c r="D24" s="47"/>
    </row>
    <row r="25" spans="1:4" ht="14.25" customHeight="1">
      <c r="A25" s="2">
        <v>23</v>
      </c>
      <c r="B25" s="210" t="s">
        <v>232</v>
      </c>
      <c r="C25" s="211">
        <v>14063.1</v>
      </c>
      <c r="D25" s="47"/>
    </row>
    <row r="26" spans="1:4" ht="14.25" customHeight="1">
      <c r="A26" s="2">
        <v>24</v>
      </c>
      <c r="B26" s="210" t="s">
        <v>322</v>
      </c>
      <c r="C26" s="211">
        <v>13490.41</v>
      </c>
      <c r="D26" s="47"/>
    </row>
    <row r="27" spans="1:4" ht="14.25" customHeight="1">
      <c r="A27" s="2">
        <v>25</v>
      </c>
      <c r="B27" s="210" t="s">
        <v>179</v>
      </c>
      <c r="C27" s="211">
        <v>13392</v>
      </c>
      <c r="D27" s="47"/>
    </row>
    <row r="28" spans="1:4" ht="14.25" customHeight="1">
      <c r="A28" s="2">
        <v>26</v>
      </c>
      <c r="B28" s="210" t="s">
        <v>208</v>
      </c>
      <c r="C28" s="211">
        <v>13107</v>
      </c>
      <c r="D28" s="47"/>
    </row>
    <row r="29" spans="1:4" ht="14.25" customHeight="1">
      <c r="A29" s="2">
        <v>27</v>
      </c>
      <c r="B29" s="210" t="s">
        <v>202</v>
      </c>
      <c r="C29" s="211">
        <v>12962.5</v>
      </c>
      <c r="D29" s="47"/>
    </row>
    <row r="30" spans="1:4" ht="14.25" customHeight="1">
      <c r="A30" s="2">
        <v>28</v>
      </c>
      <c r="B30" s="210" t="s">
        <v>218</v>
      </c>
      <c r="C30" s="211">
        <v>12651</v>
      </c>
      <c r="D30" s="47"/>
    </row>
    <row r="31" spans="1:4" ht="14.25" customHeight="1">
      <c r="A31" s="2">
        <v>29</v>
      </c>
      <c r="B31" s="210" t="s">
        <v>225</v>
      </c>
      <c r="C31" s="211">
        <v>12522.51</v>
      </c>
      <c r="D31" s="47"/>
    </row>
    <row r="32" spans="1:4" ht="14.25" customHeight="1">
      <c r="A32" s="2">
        <v>30</v>
      </c>
      <c r="B32" s="210" t="s">
        <v>118</v>
      </c>
      <c r="C32" s="211">
        <v>12149.38</v>
      </c>
      <c r="D32" s="47"/>
    </row>
    <row r="33" spans="1:4" ht="14.25" customHeight="1">
      <c r="A33" s="2">
        <v>31</v>
      </c>
      <c r="B33" s="210" t="s">
        <v>238</v>
      </c>
      <c r="C33" s="211">
        <v>12123.75</v>
      </c>
      <c r="D33" s="47"/>
    </row>
    <row r="34" spans="1:4" ht="14.25" customHeight="1">
      <c r="A34" s="2">
        <v>32</v>
      </c>
      <c r="B34" s="210" t="s">
        <v>319</v>
      </c>
      <c r="C34" s="211">
        <v>12111.33</v>
      </c>
      <c r="D34" s="47"/>
    </row>
    <row r="35" spans="1:4" ht="14.25" customHeight="1">
      <c r="A35" s="2">
        <v>33</v>
      </c>
      <c r="B35" s="210" t="s">
        <v>309</v>
      </c>
      <c r="C35" s="211">
        <v>12070.71</v>
      </c>
      <c r="D35" s="47"/>
    </row>
    <row r="36" spans="1:4" ht="14.25" customHeight="1">
      <c r="A36" s="2">
        <v>34</v>
      </c>
      <c r="B36" s="210" t="s">
        <v>304</v>
      </c>
      <c r="C36" s="211">
        <v>11983.73</v>
      </c>
      <c r="D36" s="47"/>
    </row>
    <row r="37" spans="1:4" ht="14.25" customHeight="1">
      <c r="A37" s="2">
        <v>35</v>
      </c>
      <c r="B37" s="210" t="s">
        <v>206</v>
      </c>
      <c r="C37" s="211">
        <v>11971.1</v>
      </c>
      <c r="D37" s="47"/>
    </row>
    <row r="38" spans="1:4" ht="14.25" customHeight="1">
      <c r="A38" s="2">
        <v>36</v>
      </c>
      <c r="B38" s="210" t="s">
        <v>285</v>
      </c>
      <c r="C38" s="211">
        <v>11956.4</v>
      </c>
      <c r="D38" s="47"/>
    </row>
    <row r="39" spans="1:4" ht="14.25" customHeight="1">
      <c r="A39" s="2">
        <v>37</v>
      </c>
      <c r="B39" s="210" t="s">
        <v>313</v>
      </c>
      <c r="C39" s="211">
        <v>11558.67</v>
      </c>
      <c r="D39" s="47"/>
    </row>
    <row r="40" spans="1:4" ht="14.25" customHeight="1">
      <c r="A40" s="2">
        <v>38</v>
      </c>
      <c r="B40" s="210" t="s">
        <v>314</v>
      </c>
      <c r="C40" s="211">
        <v>11552.5</v>
      </c>
      <c r="D40" s="47"/>
    </row>
    <row r="41" spans="1:4" ht="14.25" customHeight="1">
      <c r="A41" s="2">
        <v>39</v>
      </c>
      <c r="B41" s="210" t="s">
        <v>282</v>
      </c>
      <c r="C41" s="211">
        <v>11231.71</v>
      </c>
      <c r="D41" s="47"/>
    </row>
    <row r="42" spans="1:4" ht="14.25" customHeight="1">
      <c r="A42" s="2">
        <v>40</v>
      </c>
      <c r="B42" s="210" t="s">
        <v>233</v>
      </c>
      <c r="C42" s="211">
        <v>11080.3</v>
      </c>
      <c r="D42" s="47"/>
    </row>
    <row r="43" spans="1:4" ht="14.25" customHeight="1">
      <c r="A43" s="2">
        <v>41</v>
      </c>
      <c r="B43" s="210" t="s">
        <v>207</v>
      </c>
      <c r="C43" s="211">
        <v>10953.56</v>
      </c>
      <c r="D43" s="47"/>
    </row>
    <row r="44" spans="1:4" ht="14.25" customHeight="1">
      <c r="A44" s="2">
        <v>42</v>
      </c>
      <c r="B44" s="210" t="s">
        <v>258</v>
      </c>
      <c r="C44" s="211">
        <v>10710.4</v>
      </c>
      <c r="D44" s="47"/>
    </row>
    <row r="45" spans="1:4" ht="14.25" customHeight="1">
      <c r="A45" s="2">
        <v>43</v>
      </c>
      <c r="B45" s="210" t="s">
        <v>260</v>
      </c>
      <c r="C45" s="211">
        <v>10566.38</v>
      </c>
      <c r="D45" s="47"/>
    </row>
    <row r="46" spans="1:4" ht="14.25" customHeight="1">
      <c r="A46" s="2">
        <v>44</v>
      </c>
      <c r="B46" s="210" t="s">
        <v>318</v>
      </c>
      <c r="C46" s="211">
        <v>9874</v>
      </c>
      <c r="D46" s="47"/>
    </row>
    <row r="47" spans="1:4" ht="14.25" customHeight="1">
      <c r="A47" s="2">
        <v>45</v>
      </c>
      <c r="B47" s="210" t="s">
        <v>312</v>
      </c>
      <c r="C47" s="211">
        <v>9805.44</v>
      </c>
      <c r="D47" s="47"/>
    </row>
    <row r="48" spans="1:4" ht="14.25" customHeight="1">
      <c r="A48" s="2">
        <v>46</v>
      </c>
      <c r="B48" s="210" t="s">
        <v>315</v>
      </c>
      <c r="C48" s="211">
        <v>9681.8700000000008</v>
      </c>
      <c r="D48" s="47"/>
    </row>
    <row r="49" spans="1:4" ht="14.25" customHeight="1">
      <c r="A49" s="2">
        <v>47</v>
      </c>
      <c r="B49" s="210" t="s">
        <v>224</v>
      </c>
      <c r="C49" s="211">
        <v>9650.9699999999993</v>
      </c>
      <c r="D49" s="47"/>
    </row>
    <row r="50" spans="1:4" ht="14.25" customHeight="1">
      <c r="A50" s="2">
        <v>48</v>
      </c>
      <c r="B50" s="57" t="s">
        <v>185</v>
      </c>
      <c r="C50" s="67">
        <v>9650</v>
      </c>
    </row>
    <row r="51" spans="1:4" ht="14.25" customHeight="1">
      <c r="A51" s="2">
        <v>49</v>
      </c>
      <c r="B51" s="57" t="s">
        <v>229</v>
      </c>
      <c r="C51" s="67">
        <v>9639.8700000000008</v>
      </c>
    </row>
    <row r="52" spans="1:4" ht="14.25" customHeight="1">
      <c r="A52" s="2">
        <v>50</v>
      </c>
      <c r="B52" s="57" t="s">
        <v>220</v>
      </c>
      <c r="C52" s="67">
        <v>9601.84</v>
      </c>
    </row>
    <row r="53" spans="1:4" ht="14.25" customHeight="1">
      <c r="A53" s="2">
        <v>51</v>
      </c>
      <c r="B53" s="57" t="s">
        <v>169</v>
      </c>
      <c r="C53" s="67">
        <v>9183.48</v>
      </c>
    </row>
    <row r="54" spans="1:4" ht="14.25" customHeight="1">
      <c r="A54" s="2">
        <v>52</v>
      </c>
      <c r="B54" s="57" t="s">
        <v>190</v>
      </c>
      <c r="C54" s="67">
        <v>9040</v>
      </c>
    </row>
    <row r="55" spans="1:4" ht="14.25" customHeight="1">
      <c r="A55" s="2">
        <v>53</v>
      </c>
      <c r="B55" s="57" t="s">
        <v>280</v>
      </c>
      <c r="C55" s="67">
        <v>8978</v>
      </c>
    </row>
    <row r="56" spans="1:4" ht="14.25" customHeight="1">
      <c r="A56" s="2">
        <v>54</v>
      </c>
      <c r="B56" s="57" t="s">
        <v>151</v>
      </c>
      <c r="C56" s="67">
        <v>8862.15</v>
      </c>
    </row>
    <row r="57" spans="1:4" ht="14.25" customHeight="1">
      <c r="A57" s="2">
        <v>55</v>
      </c>
      <c r="B57" s="57" t="s">
        <v>239</v>
      </c>
      <c r="C57" s="67">
        <v>8648.57</v>
      </c>
    </row>
    <row r="58" spans="1:4" ht="14.25" customHeight="1">
      <c r="A58" s="2">
        <v>56</v>
      </c>
      <c r="B58" s="57" t="s">
        <v>168</v>
      </c>
      <c r="C58" s="67">
        <v>8411</v>
      </c>
    </row>
    <row r="59" spans="1:4" ht="14.25" customHeight="1">
      <c r="A59" s="2">
        <v>57</v>
      </c>
      <c r="B59" s="57" t="s">
        <v>284</v>
      </c>
      <c r="C59" s="67">
        <v>8179.24</v>
      </c>
    </row>
    <row r="60" spans="1:4" ht="14.25" customHeight="1">
      <c r="A60" s="2">
        <v>58</v>
      </c>
      <c r="B60" s="57" t="s">
        <v>193</v>
      </c>
      <c r="C60" s="67">
        <v>8130.88</v>
      </c>
    </row>
    <row r="61" spans="1:4" ht="14.25" customHeight="1">
      <c r="A61" s="2">
        <v>59</v>
      </c>
      <c r="B61" s="57" t="s">
        <v>323</v>
      </c>
      <c r="C61" s="67">
        <v>7970</v>
      </c>
    </row>
    <row r="62" spans="1:4" ht="14.25" customHeight="1">
      <c r="A62" s="2">
        <v>60</v>
      </c>
      <c r="B62" s="57" t="s">
        <v>186</v>
      </c>
      <c r="C62" s="67">
        <v>7903.73</v>
      </c>
    </row>
    <row r="63" spans="1:4" ht="14.25" customHeight="1">
      <c r="A63" s="2">
        <v>61</v>
      </c>
      <c r="B63" s="57" t="s">
        <v>226</v>
      </c>
      <c r="C63" s="67">
        <v>7763.68</v>
      </c>
    </row>
    <row r="64" spans="1:4" ht="14.25" customHeight="1">
      <c r="A64" s="2">
        <v>62</v>
      </c>
      <c r="B64" s="57" t="s">
        <v>173</v>
      </c>
      <c r="C64" s="67">
        <v>7672.98</v>
      </c>
    </row>
    <row r="65" spans="1:3" ht="14.25" customHeight="1">
      <c r="A65" s="2">
        <v>63</v>
      </c>
      <c r="B65" s="57" t="s">
        <v>223</v>
      </c>
      <c r="C65" s="67">
        <v>7118</v>
      </c>
    </row>
    <row r="66" spans="1:3" ht="14.25" customHeight="1">
      <c r="A66" s="2">
        <v>64</v>
      </c>
      <c r="B66" s="57" t="s">
        <v>244</v>
      </c>
      <c r="C66" s="67">
        <v>7081</v>
      </c>
    </row>
    <row r="67" spans="1:3" ht="14.25" customHeight="1">
      <c r="A67" s="2">
        <v>65</v>
      </c>
      <c r="B67" s="57" t="s">
        <v>325</v>
      </c>
      <c r="C67" s="67">
        <v>6814.42</v>
      </c>
    </row>
    <row r="68" spans="1:3" ht="14.25" customHeight="1">
      <c r="A68" s="2">
        <v>66</v>
      </c>
      <c r="B68" s="57" t="s">
        <v>247</v>
      </c>
      <c r="C68" s="67">
        <v>6623.13</v>
      </c>
    </row>
    <row r="69" spans="1:3" ht="14.25" customHeight="1">
      <c r="A69" s="2">
        <v>67</v>
      </c>
      <c r="B69" s="57" t="s">
        <v>320</v>
      </c>
      <c r="C69" s="67">
        <v>6588</v>
      </c>
    </row>
    <row r="70" spans="1:3" ht="14.25" customHeight="1">
      <c r="A70" s="2">
        <v>68</v>
      </c>
      <c r="B70" s="57" t="s">
        <v>254</v>
      </c>
      <c r="C70" s="67">
        <v>6505.09</v>
      </c>
    </row>
    <row r="71" spans="1:3" ht="14.25" customHeight="1">
      <c r="A71" s="2">
        <v>69</v>
      </c>
      <c r="B71" s="57" t="s">
        <v>234</v>
      </c>
      <c r="C71" s="67">
        <v>6409.75</v>
      </c>
    </row>
    <row r="72" spans="1:3" ht="14.25" customHeight="1">
      <c r="A72" s="2">
        <v>70</v>
      </c>
      <c r="B72" s="57" t="s">
        <v>196</v>
      </c>
      <c r="C72" s="67">
        <v>6113</v>
      </c>
    </row>
    <row r="73" spans="1:3" ht="14.25" customHeight="1">
      <c r="A73" s="2">
        <v>71</v>
      </c>
      <c r="B73" s="57" t="s">
        <v>192</v>
      </c>
      <c r="C73" s="67">
        <v>5873.7</v>
      </c>
    </row>
    <row r="74" spans="1:3" ht="14.25" customHeight="1">
      <c r="A74" s="2">
        <v>72</v>
      </c>
      <c r="B74" s="57" t="s">
        <v>199</v>
      </c>
      <c r="C74" s="67">
        <v>5843.96</v>
      </c>
    </row>
    <row r="75" spans="1:3" ht="14.25" customHeight="1">
      <c r="A75" s="2">
        <v>73</v>
      </c>
      <c r="B75" s="57" t="s">
        <v>219</v>
      </c>
      <c r="C75" s="67">
        <v>5786.43</v>
      </c>
    </row>
    <row r="76" spans="1:3" ht="14.25" customHeight="1">
      <c r="A76" s="2">
        <v>74</v>
      </c>
      <c r="B76" s="57" t="s">
        <v>327</v>
      </c>
      <c r="C76" s="67">
        <v>5717.97</v>
      </c>
    </row>
    <row r="77" spans="1:3" ht="14.25" customHeight="1">
      <c r="A77" s="2">
        <v>75</v>
      </c>
      <c r="B77" s="57" t="s">
        <v>307</v>
      </c>
      <c r="C77" s="67">
        <v>5635.07</v>
      </c>
    </row>
    <row r="78" spans="1:3" ht="14.25" customHeight="1">
      <c r="A78" s="2">
        <v>76</v>
      </c>
      <c r="B78" s="57" t="s">
        <v>283</v>
      </c>
      <c r="C78" s="67">
        <v>5604</v>
      </c>
    </row>
    <row r="79" spans="1:3" ht="14.25" customHeight="1">
      <c r="A79" s="2">
        <v>77</v>
      </c>
      <c r="B79" s="57" t="s">
        <v>144</v>
      </c>
      <c r="C79" s="67">
        <v>5377.92</v>
      </c>
    </row>
    <row r="80" spans="1:3" ht="14.25" customHeight="1">
      <c r="A80" s="2">
        <v>78</v>
      </c>
      <c r="B80" s="210" t="s">
        <v>278</v>
      </c>
      <c r="C80" s="211">
        <v>4941</v>
      </c>
    </row>
    <row r="81" spans="1:3" ht="14.25" customHeight="1">
      <c r="A81" s="2">
        <v>79</v>
      </c>
      <c r="B81" s="210" t="s">
        <v>326</v>
      </c>
      <c r="C81" s="211">
        <v>4802.67</v>
      </c>
    </row>
    <row r="82" spans="1:3" ht="14.25" customHeight="1">
      <c r="A82" s="2">
        <v>80</v>
      </c>
      <c r="B82" s="210" t="s">
        <v>257</v>
      </c>
      <c r="C82" s="211">
        <v>4700.9399999999996</v>
      </c>
    </row>
    <row r="83" spans="1:3" ht="14.25" customHeight="1">
      <c r="A83" s="2">
        <v>81</v>
      </c>
      <c r="B83" s="210" t="s">
        <v>261</v>
      </c>
      <c r="C83" s="211">
        <v>4320.67</v>
      </c>
    </row>
    <row r="84" spans="1:3" ht="14.25" customHeight="1">
      <c r="A84" s="2">
        <v>82</v>
      </c>
      <c r="B84" s="210" t="s">
        <v>158</v>
      </c>
      <c r="C84" s="211">
        <v>4015</v>
      </c>
    </row>
    <row r="85" spans="1:3" ht="14.25" customHeight="1">
      <c r="A85" s="2">
        <v>83</v>
      </c>
      <c r="B85" s="210" t="s">
        <v>316</v>
      </c>
      <c r="C85" s="211">
        <v>3608</v>
      </c>
    </row>
    <row r="86" spans="1:3" ht="14.25" customHeight="1">
      <c r="A86" s="2">
        <v>84</v>
      </c>
      <c r="B86" s="210" t="s">
        <v>210</v>
      </c>
      <c r="C86" s="211">
        <v>2896.34</v>
      </c>
    </row>
    <row r="87" spans="1:3" ht="14.25" customHeight="1">
      <c r="A87" s="2">
        <v>85</v>
      </c>
      <c r="B87" s="210" t="s">
        <v>139</v>
      </c>
      <c r="C87" s="211">
        <v>2349</v>
      </c>
    </row>
    <row r="88" spans="1:3" ht="14.25" customHeight="1">
      <c r="A88" s="2">
        <v>86</v>
      </c>
      <c r="B88" s="210" t="s">
        <v>123</v>
      </c>
      <c r="C88" s="211">
        <v>2219</v>
      </c>
    </row>
    <row r="89" spans="1:3" ht="14.25" customHeight="1">
      <c r="A89" s="2">
        <v>87</v>
      </c>
      <c r="B89" s="210" t="s">
        <v>308</v>
      </c>
      <c r="C89" s="211">
        <v>0</v>
      </c>
    </row>
    <row r="90" spans="1:3" ht="14.25" customHeight="1">
      <c r="A90" s="2">
        <v>88</v>
      </c>
      <c r="B90" s="210" t="s">
        <v>569</v>
      </c>
      <c r="C90" s="211">
        <v>0</v>
      </c>
    </row>
    <row r="91" spans="1:3" ht="14.25" customHeight="1">
      <c r="A91" s="2">
        <v>89</v>
      </c>
      <c r="B91" s="210" t="s">
        <v>256</v>
      </c>
      <c r="C91" s="211">
        <v>0</v>
      </c>
    </row>
    <row r="92" spans="1:3" ht="14.25" customHeight="1">
      <c r="A92" s="2"/>
      <c r="B92" s="210"/>
      <c r="C92" s="211"/>
    </row>
    <row r="93" spans="1:3" ht="14.25" customHeight="1">
      <c r="A93" s="2"/>
      <c r="C93" s="140"/>
    </row>
    <row r="94" spans="1:3" ht="14.25" customHeight="1">
      <c r="A94" s="2"/>
      <c r="B94" s="57"/>
      <c r="C94" s="140"/>
    </row>
    <row r="95" spans="1:3" ht="14.25" customHeight="1">
      <c r="A95" s="2"/>
      <c r="B95" s="7" t="s">
        <v>105</v>
      </c>
      <c r="C95" s="351">
        <v>9805.44</v>
      </c>
    </row>
    <row r="96" spans="1:3" ht="14.25" customHeight="1">
      <c r="A96" s="2"/>
      <c r="B96" s="7" t="s">
        <v>104</v>
      </c>
      <c r="C96" s="349">
        <v>11184.94786516854</v>
      </c>
    </row>
  </sheetData>
  <sortState xmlns:xlrd2="http://schemas.microsoft.com/office/spreadsheetml/2017/richdata2" ref="H3:I92">
    <sortCondition descending="1" ref="I3:I92"/>
  </sortState>
  <phoneticPr fontId="51" type="noConversion"/>
  <conditionalFormatting sqref="C50:C92">
    <cfRule type="cellIs" dxfId="25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6">
    <pageSetUpPr fitToPage="1"/>
  </sheetPr>
  <dimension ref="A1:H97"/>
  <sheetViews>
    <sheetView tabSelected="1" zoomScaleNormal="100" workbookViewId="0">
      <pane ySplit="3" topLeftCell="A4" activePane="bottomLeft" state="frozen"/>
      <selection pane="bottomLeft" activeCell="E56" sqref="E56"/>
      <selection activeCell="G34" sqref="G34"/>
    </sheetView>
  </sheetViews>
  <sheetFormatPr defaultColWidth="9.140625" defaultRowHeight="14.25" customHeight="1"/>
  <cols>
    <col min="1" max="1" width="20" customWidth="1"/>
    <col min="2" max="2" width="30.7109375" style="20" customWidth="1"/>
    <col min="3" max="3" width="31.28515625" style="20" customWidth="1"/>
    <col min="4" max="4" width="21.5703125" style="2" bestFit="1" customWidth="1"/>
    <col min="5" max="5" width="20" style="2" bestFit="1" customWidth="1"/>
    <col min="6" max="6" width="21.5703125" bestFit="1" customWidth="1"/>
    <col min="7" max="7" width="25.85546875" bestFit="1" customWidth="1"/>
    <col min="8" max="8" width="20.85546875" style="23" bestFit="1" customWidth="1"/>
  </cols>
  <sheetData>
    <row r="1" spans="1:3" ht="16.5" customHeight="1">
      <c r="A1" s="9" t="s">
        <v>619</v>
      </c>
    </row>
    <row r="2" spans="1:3" ht="14.25" customHeight="1">
      <c r="A2" s="3"/>
    </row>
    <row r="3" spans="1:3" ht="24" customHeight="1">
      <c r="A3" s="31"/>
      <c r="B3" s="149" t="s">
        <v>620</v>
      </c>
      <c r="C3" s="149" t="s">
        <v>621</v>
      </c>
    </row>
    <row r="4" spans="1:3" ht="14.25" customHeight="1">
      <c r="A4" s="205" t="s">
        <v>346</v>
      </c>
      <c r="B4" s="231">
        <v>26</v>
      </c>
      <c r="C4" s="231">
        <v>40</v>
      </c>
    </row>
    <row r="5" spans="1:3" ht="14.25" customHeight="1">
      <c r="A5" s="205" t="s">
        <v>278</v>
      </c>
      <c r="B5" s="231">
        <v>190</v>
      </c>
      <c r="C5" s="231">
        <v>168</v>
      </c>
    </row>
    <row r="6" spans="1:3" ht="14.25" customHeight="1">
      <c r="A6" s="205" t="s">
        <v>123</v>
      </c>
      <c r="B6" s="231">
        <v>2</v>
      </c>
      <c r="C6" s="231">
        <v>0</v>
      </c>
    </row>
    <row r="7" spans="1:3" ht="14.25" customHeight="1">
      <c r="A7" s="205" t="s">
        <v>124</v>
      </c>
      <c r="B7" s="231">
        <v>225</v>
      </c>
      <c r="C7" s="231">
        <v>245</v>
      </c>
    </row>
    <row r="8" spans="1:3" ht="14.25" customHeight="1">
      <c r="A8" s="205" t="s">
        <v>126</v>
      </c>
      <c r="B8" s="231">
        <v>440</v>
      </c>
      <c r="C8" s="231">
        <v>59</v>
      </c>
    </row>
    <row r="9" spans="1:3" ht="14.25" customHeight="1">
      <c r="A9" s="205" t="s">
        <v>127</v>
      </c>
      <c r="B9" s="231">
        <v>72</v>
      </c>
      <c r="C9" s="231">
        <v>178</v>
      </c>
    </row>
    <row r="10" spans="1:3" ht="14.25" customHeight="1">
      <c r="A10" s="205" t="s">
        <v>305</v>
      </c>
      <c r="B10" s="231">
        <v>0</v>
      </c>
      <c r="C10" s="231">
        <v>0</v>
      </c>
    </row>
    <row r="11" spans="1:3" ht="14.25" customHeight="1">
      <c r="A11" s="205" t="s">
        <v>133</v>
      </c>
      <c r="B11" s="231">
        <v>120</v>
      </c>
      <c r="C11" s="231">
        <v>382</v>
      </c>
    </row>
    <row r="12" spans="1:3" ht="14.25" customHeight="1">
      <c r="A12" s="205" t="s">
        <v>137</v>
      </c>
      <c r="B12" s="231">
        <v>107</v>
      </c>
      <c r="C12" s="231">
        <v>0</v>
      </c>
    </row>
    <row r="13" spans="1:3" ht="14.25" customHeight="1">
      <c r="A13" s="205" t="s">
        <v>139</v>
      </c>
      <c r="B13" s="231">
        <v>0</v>
      </c>
      <c r="C13" s="231">
        <v>0</v>
      </c>
    </row>
    <row r="14" spans="1:3" ht="14.25" customHeight="1">
      <c r="A14" s="205" t="s">
        <v>142</v>
      </c>
      <c r="B14" s="231">
        <v>7</v>
      </c>
      <c r="C14" s="231">
        <v>0</v>
      </c>
    </row>
    <row r="15" spans="1:3" ht="14.25" customHeight="1">
      <c r="A15" s="205" t="s">
        <v>144</v>
      </c>
      <c r="B15" s="231">
        <v>144</v>
      </c>
      <c r="C15" s="231">
        <v>312</v>
      </c>
    </row>
    <row r="16" spans="1:3" ht="14.25" customHeight="1">
      <c r="A16" s="205" t="s">
        <v>148</v>
      </c>
      <c r="B16" s="231">
        <v>516</v>
      </c>
      <c r="C16" s="231">
        <v>429</v>
      </c>
    </row>
    <row r="17" spans="1:3" ht="14.25" customHeight="1">
      <c r="A17" s="205" t="s">
        <v>149</v>
      </c>
      <c r="B17" s="231">
        <v>551</v>
      </c>
      <c r="C17" s="231">
        <v>1</v>
      </c>
    </row>
    <row r="18" spans="1:3" ht="14.25" customHeight="1">
      <c r="A18" s="205" t="s">
        <v>151</v>
      </c>
      <c r="B18" s="231">
        <v>182</v>
      </c>
      <c r="C18" s="231">
        <v>398</v>
      </c>
    </row>
    <row r="19" spans="1:3" ht="14.25" customHeight="1">
      <c r="A19" s="205" t="s">
        <v>152</v>
      </c>
      <c r="B19" s="231">
        <v>291</v>
      </c>
      <c r="C19" s="231">
        <v>714</v>
      </c>
    </row>
    <row r="20" spans="1:3" ht="14.25" customHeight="1">
      <c r="A20" s="205" t="s">
        <v>154</v>
      </c>
      <c r="B20" s="231">
        <v>163</v>
      </c>
      <c r="C20" s="231">
        <v>632</v>
      </c>
    </row>
    <row r="21" spans="1:3" ht="14.25" customHeight="1">
      <c r="A21" s="205" t="s">
        <v>347</v>
      </c>
      <c r="B21" s="231">
        <v>920</v>
      </c>
      <c r="C21" s="231">
        <v>113</v>
      </c>
    </row>
    <row r="22" spans="1:3" ht="14.25" customHeight="1">
      <c r="A22" s="205" t="s">
        <v>312</v>
      </c>
      <c r="B22" s="231">
        <v>73</v>
      </c>
      <c r="C22" s="231">
        <v>529</v>
      </c>
    </row>
    <row r="23" spans="1:3" ht="14.25" customHeight="1">
      <c r="A23" s="205" t="s">
        <v>155</v>
      </c>
      <c r="B23" s="231">
        <v>18</v>
      </c>
      <c r="C23" s="231">
        <v>256</v>
      </c>
    </row>
    <row r="24" spans="1:3" ht="14.25" customHeight="1">
      <c r="A24" s="205" t="s">
        <v>348</v>
      </c>
      <c r="B24" s="231">
        <v>133</v>
      </c>
      <c r="C24" s="231">
        <v>193</v>
      </c>
    </row>
    <row r="25" spans="1:3" ht="14.25" customHeight="1">
      <c r="A25" s="205" t="s">
        <v>158</v>
      </c>
      <c r="B25" s="231">
        <v>65</v>
      </c>
      <c r="C25" s="231">
        <v>24</v>
      </c>
    </row>
    <row r="26" spans="1:3" ht="14.25" customHeight="1">
      <c r="A26" s="205" t="s">
        <v>160</v>
      </c>
      <c r="B26" s="231">
        <v>412</v>
      </c>
      <c r="C26" s="231">
        <v>231</v>
      </c>
    </row>
    <row r="27" spans="1:3" ht="14.25" customHeight="1">
      <c r="A27" s="205" t="s">
        <v>165</v>
      </c>
      <c r="B27" s="231">
        <v>1745</v>
      </c>
      <c r="C27" s="231">
        <v>1410</v>
      </c>
    </row>
    <row r="28" spans="1:3" ht="14.25" customHeight="1">
      <c r="A28" s="205" t="s">
        <v>168</v>
      </c>
      <c r="B28" s="231">
        <v>65</v>
      </c>
      <c r="C28" s="231">
        <v>0</v>
      </c>
    </row>
    <row r="29" spans="1:3" ht="14.25" customHeight="1">
      <c r="A29" s="205" t="s">
        <v>169</v>
      </c>
      <c r="B29" s="231">
        <v>65</v>
      </c>
      <c r="C29" s="231">
        <v>109</v>
      </c>
    </row>
    <row r="30" spans="1:3" ht="14.25" customHeight="1">
      <c r="A30" s="205" t="s">
        <v>170</v>
      </c>
      <c r="B30" s="231">
        <v>196</v>
      </c>
      <c r="C30" s="231">
        <v>295</v>
      </c>
    </row>
    <row r="31" spans="1:3" ht="14.25" customHeight="1">
      <c r="A31" s="205" t="s">
        <v>173</v>
      </c>
      <c r="B31" s="231">
        <v>240</v>
      </c>
      <c r="C31" s="231">
        <v>546</v>
      </c>
    </row>
    <row r="32" spans="1:3" ht="14.25" customHeight="1">
      <c r="A32" s="205" t="s">
        <v>280</v>
      </c>
      <c r="B32" s="231">
        <v>3</v>
      </c>
      <c r="C32" s="231">
        <v>13</v>
      </c>
    </row>
    <row r="33" spans="1:3" ht="14.25" customHeight="1">
      <c r="A33" s="205" t="s">
        <v>176</v>
      </c>
      <c r="B33" s="231">
        <v>43</v>
      </c>
      <c r="C33" s="231">
        <v>23</v>
      </c>
    </row>
    <row r="34" spans="1:3" ht="14.25" customHeight="1">
      <c r="A34" s="205" t="s">
        <v>316</v>
      </c>
      <c r="B34" s="231">
        <v>0</v>
      </c>
      <c r="C34" s="231">
        <v>0</v>
      </c>
    </row>
    <row r="35" spans="1:3" ht="14.25" customHeight="1">
      <c r="A35" s="205" t="s">
        <v>179</v>
      </c>
      <c r="B35" s="231">
        <v>41</v>
      </c>
      <c r="C35" s="231">
        <v>3</v>
      </c>
    </row>
    <row r="36" spans="1:3" ht="14.25" customHeight="1">
      <c r="A36" s="205" t="s">
        <v>182</v>
      </c>
      <c r="B36" s="231">
        <v>202</v>
      </c>
      <c r="C36" s="231">
        <v>464</v>
      </c>
    </row>
    <row r="37" spans="1:3" ht="14.25" customHeight="1">
      <c r="A37" s="205" t="s">
        <v>317</v>
      </c>
      <c r="B37" s="231">
        <v>30</v>
      </c>
      <c r="C37" s="231">
        <v>280</v>
      </c>
    </row>
    <row r="38" spans="1:3" ht="14.25" customHeight="1">
      <c r="A38" s="205" t="s">
        <v>185</v>
      </c>
      <c r="B38" s="231">
        <v>5</v>
      </c>
      <c r="C38" s="231">
        <v>0</v>
      </c>
    </row>
    <row r="39" spans="1:3" ht="14.25" customHeight="1">
      <c r="A39" s="205" t="s">
        <v>186</v>
      </c>
      <c r="B39" s="231">
        <v>571</v>
      </c>
      <c r="C39" s="231">
        <v>579</v>
      </c>
    </row>
    <row r="40" spans="1:3" ht="14.25" customHeight="1">
      <c r="A40" s="205" t="s">
        <v>282</v>
      </c>
      <c r="B40" s="231">
        <v>269</v>
      </c>
      <c r="C40" s="231">
        <v>126</v>
      </c>
    </row>
    <row r="41" spans="1:3" ht="14.25" customHeight="1">
      <c r="A41" s="205" t="s">
        <v>190</v>
      </c>
      <c r="B41" s="231">
        <v>258</v>
      </c>
      <c r="C41" s="231">
        <v>281</v>
      </c>
    </row>
    <row r="42" spans="1:3" ht="14.25" customHeight="1">
      <c r="A42" s="205" t="s">
        <v>192</v>
      </c>
      <c r="B42" s="231">
        <v>15</v>
      </c>
      <c r="C42" s="231">
        <v>0</v>
      </c>
    </row>
    <row r="43" spans="1:3" ht="14.25" customHeight="1">
      <c r="A43" s="205" t="s">
        <v>193</v>
      </c>
      <c r="B43" s="231">
        <v>46</v>
      </c>
      <c r="C43" s="231">
        <v>65</v>
      </c>
    </row>
    <row r="44" spans="1:3" ht="14.25" customHeight="1">
      <c r="A44" s="205" t="s">
        <v>318</v>
      </c>
      <c r="B44" s="231">
        <v>198</v>
      </c>
      <c r="C44" s="231">
        <v>476</v>
      </c>
    </row>
    <row r="45" spans="1:3" ht="14.25" customHeight="1">
      <c r="A45" s="205" t="s">
        <v>196</v>
      </c>
      <c r="B45" s="231">
        <v>0</v>
      </c>
      <c r="C45" s="231">
        <v>0</v>
      </c>
    </row>
    <row r="46" spans="1:3" ht="14.25" customHeight="1">
      <c r="A46" s="205" t="s">
        <v>198</v>
      </c>
      <c r="B46" s="231">
        <v>25</v>
      </c>
      <c r="C46" s="231">
        <v>52</v>
      </c>
    </row>
    <row r="47" spans="1:3" ht="14.25" customHeight="1">
      <c r="A47" s="205" t="s">
        <v>199</v>
      </c>
      <c r="B47" s="231">
        <v>14130</v>
      </c>
      <c r="C47" s="231">
        <v>13159</v>
      </c>
    </row>
    <row r="48" spans="1:3" ht="14.25" customHeight="1">
      <c r="A48" s="205" t="s">
        <v>202</v>
      </c>
      <c r="B48" s="231">
        <v>30</v>
      </c>
      <c r="C48" s="231">
        <v>16</v>
      </c>
    </row>
    <row r="49" spans="1:3" ht="14.25" customHeight="1">
      <c r="A49" s="205" t="s">
        <v>203</v>
      </c>
      <c r="B49" s="231">
        <v>461</v>
      </c>
      <c r="C49" s="231">
        <v>1063</v>
      </c>
    </row>
    <row r="50" spans="1:3" ht="14.25" customHeight="1">
      <c r="A50" s="2" t="s">
        <v>319</v>
      </c>
      <c r="B50" s="231">
        <v>54</v>
      </c>
      <c r="C50" s="231">
        <v>45</v>
      </c>
    </row>
    <row r="51" spans="1:3" ht="14.25" customHeight="1">
      <c r="A51" s="2" t="s">
        <v>206</v>
      </c>
      <c r="B51" s="33">
        <v>67</v>
      </c>
      <c r="C51" s="33">
        <v>36</v>
      </c>
    </row>
    <row r="52" spans="1:3" ht="14.25" customHeight="1">
      <c r="A52" s="2" t="s">
        <v>207</v>
      </c>
      <c r="B52" s="33">
        <v>37</v>
      </c>
      <c r="C52" s="33">
        <v>360</v>
      </c>
    </row>
    <row r="53" spans="1:3" ht="14.25" customHeight="1">
      <c r="A53" s="2" t="s">
        <v>208</v>
      </c>
      <c r="B53" s="33">
        <v>120</v>
      </c>
      <c r="C53" s="33">
        <v>82</v>
      </c>
    </row>
    <row r="54" spans="1:3" ht="14.25" customHeight="1">
      <c r="A54" s="2" t="s">
        <v>210</v>
      </c>
      <c r="B54" s="33">
        <v>149</v>
      </c>
      <c r="C54" s="33">
        <v>36</v>
      </c>
    </row>
    <row r="55" spans="1:3" ht="14.25" customHeight="1">
      <c r="A55" s="2" t="s">
        <v>349</v>
      </c>
      <c r="B55" s="33">
        <v>0</v>
      </c>
      <c r="C55" s="33">
        <v>0</v>
      </c>
    </row>
    <row r="56" spans="1:3" ht="14.25" customHeight="1">
      <c r="A56" s="2" t="s">
        <v>213</v>
      </c>
      <c r="B56" s="33">
        <v>20</v>
      </c>
      <c r="C56" s="33">
        <v>30</v>
      </c>
    </row>
    <row r="57" spans="1:3" ht="14.25" customHeight="1">
      <c r="A57" s="2" t="s">
        <v>357</v>
      </c>
      <c r="B57" s="33">
        <v>52</v>
      </c>
      <c r="C57" s="33">
        <v>1</v>
      </c>
    </row>
    <row r="58" spans="1:3" ht="14.25" customHeight="1">
      <c r="A58" s="2" t="s">
        <v>218</v>
      </c>
      <c r="B58" s="33">
        <v>51</v>
      </c>
      <c r="C58" s="33">
        <v>166</v>
      </c>
    </row>
    <row r="59" spans="1:3" ht="14.25" customHeight="1">
      <c r="A59" s="2" t="s">
        <v>219</v>
      </c>
      <c r="B59" s="33">
        <v>10267</v>
      </c>
      <c r="C59" s="33">
        <v>14262</v>
      </c>
    </row>
    <row r="60" spans="1:3" ht="14.25" customHeight="1">
      <c r="A60" s="2" t="s">
        <v>320</v>
      </c>
      <c r="B60" s="33">
        <v>16</v>
      </c>
      <c r="C60" s="33">
        <v>0</v>
      </c>
    </row>
    <row r="61" spans="1:3" ht="14.25" customHeight="1">
      <c r="A61" s="2" t="s">
        <v>220</v>
      </c>
      <c r="B61" s="33">
        <v>502</v>
      </c>
      <c r="C61" s="33">
        <v>659</v>
      </c>
    </row>
    <row r="62" spans="1:3" ht="14.25" customHeight="1">
      <c r="A62" s="2" t="s">
        <v>283</v>
      </c>
      <c r="B62" s="33">
        <v>39</v>
      </c>
      <c r="C62" s="33">
        <v>6</v>
      </c>
    </row>
    <row r="63" spans="1:3" ht="14.25" customHeight="1">
      <c r="A63" s="2" t="s">
        <v>223</v>
      </c>
      <c r="B63" s="33">
        <v>44</v>
      </c>
      <c r="C63" s="33">
        <v>32</v>
      </c>
    </row>
    <row r="64" spans="1:3" ht="14.25" customHeight="1">
      <c r="A64" s="2" t="s">
        <v>224</v>
      </c>
      <c r="B64" s="33">
        <v>74</v>
      </c>
      <c r="C64" s="33">
        <v>267</v>
      </c>
    </row>
    <row r="65" spans="1:3" ht="14.25" customHeight="1">
      <c r="A65" s="2" t="s">
        <v>225</v>
      </c>
      <c r="B65" s="33">
        <v>68</v>
      </c>
      <c r="C65" s="33">
        <v>87</v>
      </c>
    </row>
    <row r="66" spans="1:3" ht="14.25" customHeight="1">
      <c r="A66" s="2" t="s">
        <v>226</v>
      </c>
      <c r="B66" s="33">
        <v>24</v>
      </c>
      <c r="C66" s="33">
        <v>0</v>
      </c>
    </row>
    <row r="67" spans="1:3" ht="14.25" customHeight="1">
      <c r="A67" s="2" t="s">
        <v>228</v>
      </c>
      <c r="B67" s="33">
        <v>124</v>
      </c>
      <c r="C67" s="33">
        <v>38</v>
      </c>
    </row>
    <row r="68" spans="1:3" ht="14.25" customHeight="1">
      <c r="A68" s="2" t="s">
        <v>229</v>
      </c>
      <c r="B68" s="33">
        <v>716</v>
      </c>
      <c r="C68" s="33">
        <v>945</v>
      </c>
    </row>
    <row r="69" spans="1:3" ht="14.25" customHeight="1">
      <c r="A69" s="2" t="s">
        <v>322</v>
      </c>
      <c r="B69" s="33">
        <v>919</v>
      </c>
      <c r="C69" s="33">
        <v>690</v>
      </c>
    </row>
    <row r="70" spans="1:3" ht="14.25" customHeight="1">
      <c r="A70" s="2" t="s">
        <v>323</v>
      </c>
      <c r="B70" s="33">
        <v>81</v>
      </c>
      <c r="C70" s="33">
        <v>79</v>
      </c>
    </row>
    <row r="71" spans="1:3" ht="14.25" customHeight="1">
      <c r="A71" s="2" t="s">
        <v>350</v>
      </c>
      <c r="B71" s="33">
        <v>225</v>
      </c>
      <c r="C71" s="33">
        <v>329</v>
      </c>
    </row>
    <row r="72" spans="1:3" ht="14.25" customHeight="1">
      <c r="A72" s="2" t="s">
        <v>284</v>
      </c>
      <c r="B72" s="33">
        <v>291</v>
      </c>
      <c r="C72" s="33">
        <v>380</v>
      </c>
    </row>
    <row r="73" spans="1:3" ht="14.25" customHeight="1">
      <c r="A73" s="2" t="s">
        <v>232</v>
      </c>
      <c r="B73" s="33">
        <v>26</v>
      </c>
      <c r="C73" s="33">
        <v>193</v>
      </c>
    </row>
    <row r="74" spans="1:3" ht="14.25" customHeight="1">
      <c r="A74" s="2" t="s">
        <v>233</v>
      </c>
      <c r="B74" s="33">
        <v>190</v>
      </c>
      <c r="C74" s="33">
        <v>131</v>
      </c>
    </row>
    <row r="75" spans="1:3" ht="14.25" customHeight="1">
      <c r="A75" s="2" t="s">
        <v>234</v>
      </c>
      <c r="B75" s="33">
        <v>17</v>
      </c>
      <c r="C75" s="33">
        <v>218</v>
      </c>
    </row>
    <row r="76" spans="1:3" ht="14.25" customHeight="1">
      <c r="A76" s="2" t="s">
        <v>236</v>
      </c>
      <c r="B76" s="33">
        <v>20</v>
      </c>
      <c r="C76" s="33">
        <v>21</v>
      </c>
    </row>
    <row r="77" spans="1:3" ht="14.25" customHeight="1">
      <c r="A77" s="2" t="s">
        <v>238</v>
      </c>
      <c r="B77" s="33">
        <v>401</v>
      </c>
      <c r="C77" s="33">
        <v>164</v>
      </c>
    </row>
    <row r="78" spans="1:3" ht="14.25" customHeight="1">
      <c r="A78" s="2" t="s">
        <v>239</v>
      </c>
      <c r="B78" s="33">
        <v>546</v>
      </c>
      <c r="C78" s="33">
        <v>324</v>
      </c>
    </row>
    <row r="79" spans="1:3" ht="14.25" customHeight="1">
      <c r="A79" s="2" t="s">
        <v>351</v>
      </c>
      <c r="B79" s="33">
        <v>453</v>
      </c>
      <c r="C79" s="33">
        <v>483</v>
      </c>
    </row>
    <row r="80" spans="1:3" ht="14.25" customHeight="1">
      <c r="A80" s="2" t="s">
        <v>244</v>
      </c>
      <c r="B80" s="33">
        <v>20</v>
      </c>
      <c r="C80" s="33">
        <v>5</v>
      </c>
    </row>
    <row r="81" spans="1:3" ht="14.25" customHeight="1">
      <c r="A81" s="2" t="s">
        <v>326</v>
      </c>
      <c r="B81" s="33">
        <v>89</v>
      </c>
      <c r="C81" s="33">
        <v>13</v>
      </c>
    </row>
    <row r="82" spans="1:3" ht="14.25" customHeight="1">
      <c r="A82" s="2" t="s">
        <v>247</v>
      </c>
      <c r="B82" s="33">
        <v>9</v>
      </c>
      <c r="C82" s="33">
        <v>3</v>
      </c>
    </row>
    <row r="83" spans="1:3" ht="14.25" customHeight="1">
      <c r="A83" s="2" t="s">
        <v>249</v>
      </c>
      <c r="B83" s="33">
        <v>133</v>
      </c>
      <c r="C83" s="33">
        <v>83</v>
      </c>
    </row>
    <row r="84" spans="1:3" ht="14.25" customHeight="1">
      <c r="A84" s="2" t="s">
        <v>254</v>
      </c>
      <c r="B84" s="33">
        <v>393</v>
      </c>
      <c r="C84" s="33">
        <v>812</v>
      </c>
    </row>
    <row r="85" spans="1:3" ht="14.25" customHeight="1">
      <c r="A85" s="2" t="s">
        <v>256</v>
      </c>
      <c r="B85" s="33">
        <v>37</v>
      </c>
      <c r="C85" s="33">
        <v>13</v>
      </c>
    </row>
    <row r="86" spans="1:3" ht="14.25" customHeight="1">
      <c r="A86" s="2" t="s">
        <v>327</v>
      </c>
      <c r="B86" s="33">
        <v>15</v>
      </c>
      <c r="C86" s="33">
        <v>14</v>
      </c>
    </row>
    <row r="87" spans="1:3" ht="14.25" customHeight="1">
      <c r="A87" s="2" t="s">
        <v>257</v>
      </c>
      <c r="B87" s="33">
        <v>100</v>
      </c>
      <c r="C87" s="33">
        <v>31</v>
      </c>
    </row>
    <row r="88" spans="1:3" ht="14.25" customHeight="1">
      <c r="A88" s="2" t="s">
        <v>258</v>
      </c>
      <c r="B88" s="33">
        <v>143</v>
      </c>
      <c r="C88" s="33">
        <v>0</v>
      </c>
    </row>
    <row r="89" spans="1:3" ht="14.25" customHeight="1">
      <c r="A89" s="2" t="s">
        <v>285</v>
      </c>
      <c r="B89" s="33">
        <v>191</v>
      </c>
      <c r="C89" s="33">
        <v>65</v>
      </c>
    </row>
    <row r="90" spans="1:3" ht="14.25" customHeight="1">
      <c r="A90" s="2" t="s">
        <v>260</v>
      </c>
      <c r="B90" s="33">
        <v>62</v>
      </c>
      <c r="C90" s="33">
        <v>134</v>
      </c>
    </row>
    <row r="91" spans="1:3" ht="14.25" customHeight="1">
      <c r="A91" s="2" t="s">
        <v>261</v>
      </c>
      <c r="B91" s="33">
        <v>452</v>
      </c>
      <c r="C91" s="33">
        <v>649</v>
      </c>
    </row>
    <row r="92" spans="1:3" ht="14.25" customHeight="1">
      <c r="A92" s="2" t="s">
        <v>286</v>
      </c>
      <c r="B92" s="33">
        <v>16</v>
      </c>
      <c r="C92" s="33">
        <v>23</v>
      </c>
    </row>
    <row r="93" spans="1:3" ht="14.25" customHeight="1">
      <c r="A93" s="2"/>
      <c r="B93" s="33"/>
      <c r="C93" s="33"/>
    </row>
    <row r="94" spans="1:3" ht="14.25" customHeight="1">
      <c r="A94" s="7" t="s">
        <v>105</v>
      </c>
      <c r="B94" s="66">
        <v>81</v>
      </c>
      <c r="C94" s="66">
        <v>87</v>
      </c>
    </row>
    <row r="95" spans="1:3" ht="14.25" customHeight="1">
      <c r="A95" s="7" t="s">
        <v>104</v>
      </c>
      <c r="B95" s="66">
        <v>455.59550561797755</v>
      </c>
      <c r="C95" s="66">
        <v>514.30337078651689</v>
      </c>
    </row>
    <row r="96" spans="1:3" ht="14.25" customHeight="1">
      <c r="A96" s="7" t="s">
        <v>329</v>
      </c>
      <c r="B96" s="66">
        <v>40548</v>
      </c>
      <c r="C96" s="66">
        <v>45773</v>
      </c>
    </row>
    <row r="97" spans="1:3" ht="14.25" customHeight="1">
      <c r="A97" s="7"/>
      <c r="B97" s="66"/>
      <c r="C97" s="66"/>
    </row>
  </sheetData>
  <sortState xmlns:xlrd2="http://schemas.microsoft.com/office/spreadsheetml/2017/richdata2" ref="A4:C50">
    <sortCondition ref="A4"/>
  </sortState>
  <phoneticPr fontId="51" type="noConversion"/>
  <conditionalFormatting sqref="B4:C50">
    <cfRule type="cellIs" dxfId="24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8">
    <pageSetUpPr fitToPage="1"/>
  </sheetPr>
  <dimension ref="A1:G101"/>
  <sheetViews>
    <sheetView zoomScaleNormal="100" workbookViewId="0">
      <pane ySplit="4" topLeftCell="A5" activePane="bottomLeft" state="frozen"/>
      <selection pane="bottomLeft"/>
      <selection activeCell="G34" sqref="G34"/>
    </sheetView>
  </sheetViews>
  <sheetFormatPr defaultColWidth="9.140625" defaultRowHeight="14.25" customHeight="1"/>
  <cols>
    <col min="1" max="1" width="21.42578125" customWidth="1"/>
    <col min="2" max="2" width="15.140625" customWidth="1"/>
    <col min="3" max="3" width="15.42578125" customWidth="1"/>
    <col min="4" max="4" width="16.140625" customWidth="1"/>
    <col min="5" max="5" width="19.28515625" style="20" customWidth="1"/>
    <col min="6" max="6" width="19.42578125" style="23" customWidth="1"/>
    <col min="7" max="7" width="30" style="29" bestFit="1" customWidth="1"/>
    <col min="8" max="8" width="19.42578125" bestFit="1" customWidth="1"/>
    <col min="9" max="9" width="30.42578125" bestFit="1" customWidth="1"/>
    <col min="11" max="11" width="20.85546875" bestFit="1" customWidth="1"/>
  </cols>
  <sheetData>
    <row r="1" spans="1:7" ht="16.5" customHeight="1">
      <c r="A1" s="9" t="s">
        <v>622</v>
      </c>
      <c r="G1" s="2"/>
    </row>
    <row r="2" spans="1:7" ht="14.25" customHeight="1">
      <c r="A2" s="3" t="s">
        <v>623</v>
      </c>
      <c r="G2" s="2"/>
    </row>
    <row r="3" spans="1:7" ht="14.25" customHeight="1">
      <c r="A3" s="3"/>
      <c r="G3" s="2"/>
    </row>
    <row r="4" spans="1:7" s="91" customFormat="1" ht="14.25" customHeight="1">
      <c r="A4" s="104"/>
      <c r="B4" s="156" t="s">
        <v>624</v>
      </c>
      <c r="C4" s="136" t="s">
        <v>625</v>
      </c>
      <c r="D4" s="156" t="s">
        <v>263</v>
      </c>
      <c r="E4" s="105" t="s">
        <v>626</v>
      </c>
    </row>
    <row r="5" spans="1:7" ht="14.25" customHeight="1">
      <c r="A5" s="2" t="s">
        <v>346</v>
      </c>
      <c r="B5" s="71">
        <v>192085</v>
      </c>
      <c r="C5" s="71"/>
      <c r="D5" s="71">
        <v>192085</v>
      </c>
      <c r="E5" s="23" t="s">
        <v>627</v>
      </c>
      <c r="G5" s="2"/>
    </row>
    <row r="6" spans="1:7" ht="14.25" customHeight="1">
      <c r="A6" s="2" t="s">
        <v>278</v>
      </c>
      <c r="B6" s="71">
        <v>97130</v>
      </c>
      <c r="C6" s="71"/>
      <c r="D6" s="71">
        <v>97130</v>
      </c>
      <c r="E6" s="23" t="s">
        <v>627</v>
      </c>
      <c r="G6" s="2"/>
    </row>
    <row r="7" spans="1:7" ht="14.25" customHeight="1">
      <c r="A7" s="2" t="s">
        <v>123</v>
      </c>
      <c r="B7" s="71">
        <v>5956</v>
      </c>
      <c r="C7" s="71"/>
      <c r="D7" s="71">
        <v>5956</v>
      </c>
      <c r="E7" s="23" t="s">
        <v>627</v>
      </c>
      <c r="G7" s="2"/>
    </row>
    <row r="8" spans="1:7" ht="14.25" customHeight="1">
      <c r="A8" s="2" t="s">
        <v>124</v>
      </c>
      <c r="B8" s="71">
        <v>102591</v>
      </c>
      <c r="C8" s="71">
        <v>163</v>
      </c>
      <c r="D8" s="71">
        <v>102754</v>
      </c>
      <c r="E8" s="23" t="s">
        <v>627</v>
      </c>
      <c r="G8" s="2"/>
    </row>
    <row r="9" spans="1:7" ht="14.25" customHeight="1">
      <c r="A9" s="2" t="s">
        <v>126</v>
      </c>
      <c r="B9" s="71">
        <v>489811</v>
      </c>
      <c r="C9" s="71"/>
      <c r="D9" s="71">
        <v>489811</v>
      </c>
      <c r="E9" s="23" t="s">
        <v>627</v>
      </c>
      <c r="G9" s="2"/>
    </row>
    <row r="10" spans="1:7" ht="14.25" customHeight="1">
      <c r="A10" s="2" t="s">
        <v>127</v>
      </c>
      <c r="B10" s="71">
        <v>136043</v>
      </c>
      <c r="C10" s="71"/>
      <c r="D10" s="71">
        <v>136043</v>
      </c>
      <c r="E10" s="23" t="s">
        <v>627</v>
      </c>
      <c r="G10" s="2"/>
    </row>
    <row r="11" spans="1:7" ht="14.25" customHeight="1">
      <c r="A11" s="2" t="s">
        <v>305</v>
      </c>
      <c r="B11" s="71">
        <v>52012</v>
      </c>
      <c r="C11" s="71">
        <v>225</v>
      </c>
      <c r="D11" s="71">
        <v>52237</v>
      </c>
      <c r="E11" s="23" t="s">
        <v>627</v>
      </c>
      <c r="G11" s="2"/>
    </row>
    <row r="12" spans="1:7" ht="14.25" customHeight="1">
      <c r="A12" s="2" t="s">
        <v>133</v>
      </c>
      <c r="B12" s="71">
        <v>899195</v>
      </c>
      <c r="C12" s="71">
        <v>4189</v>
      </c>
      <c r="D12" s="71">
        <v>903384</v>
      </c>
      <c r="E12" s="23" t="s">
        <v>627</v>
      </c>
      <c r="G12" s="2"/>
    </row>
    <row r="13" spans="1:7" ht="14.25" customHeight="1">
      <c r="A13" s="2" t="s">
        <v>137</v>
      </c>
      <c r="B13" s="71">
        <v>349807</v>
      </c>
      <c r="C13" s="72"/>
      <c r="D13" s="71">
        <v>349807</v>
      </c>
      <c r="E13" s="23" t="s">
        <v>627</v>
      </c>
      <c r="G13" s="2"/>
    </row>
    <row r="14" spans="1:7" ht="14.25" customHeight="1">
      <c r="A14" s="2" t="s">
        <v>139</v>
      </c>
      <c r="B14" s="71">
        <v>8898</v>
      </c>
      <c r="C14" s="71"/>
      <c r="D14" s="71">
        <v>8898</v>
      </c>
      <c r="E14" s="23" t="s">
        <v>627</v>
      </c>
      <c r="G14" s="2"/>
    </row>
    <row r="15" spans="1:7" ht="14.25" customHeight="1">
      <c r="A15" s="2" t="s">
        <v>142</v>
      </c>
      <c r="B15" s="71">
        <v>27005</v>
      </c>
      <c r="C15" s="71"/>
      <c r="D15" s="71">
        <v>27005</v>
      </c>
      <c r="E15" s="23" t="s">
        <v>627</v>
      </c>
      <c r="G15" s="2"/>
    </row>
    <row r="16" spans="1:7" ht="14.25" customHeight="1">
      <c r="A16" s="2" t="s">
        <v>144</v>
      </c>
      <c r="B16" s="71">
        <v>346441</v>
      </c>
      <c r="C16" s="71"/>
      <c r="D16" s="71">
        <v>346441</v>
      </c>
      <c r="E16" s="23" t="s">
        <v>627</v>
      </c>
      <c r="G16" s="2"/>
    </row>
    <row r="17" spans="1:7" ht="14.25" customHeight="1">
      <c r="A17" s="2" t="s">
        <v>148</v>
      </c>
      <c r="B17" s="71">
        <v>667046</v>
      </c>
      <c r="C17" s="71"/>
      <c r="D17" s="71">
        <v>667046</v>
      </c>
      <c r="E17" s="23" t="s">
        <v>627</v>
      </c>
      <c r="G17" s="2"/>
    </row>
    <row r="18" spans="1:7" ht="14.25" customHeight="1">
      <c r="A18" s="2" t="s">
        <v>149</v>
      </c>
      <c r="B18" s="71">
        <v>331134</v>
      </c>
      <c r="C18" s="71"/>
      <c r="D18" s="71">
        <v>331134</v>
      </c>
      <c r="E18" s="23" t="s">
        <v>627</v>
      </c>
      <c r="G18" s="2"/>
    </row>
    <row r="19" spans="1:7" ht="14.25" customHeight="1">
      <c r="A19" s="2" t="s">
        <v>151</v>
      </c>
      <c r="B19" s="71">
        <v>459230</v>
      </c>
      <c r="C19" s="71"/>
      <c r="D19" s="71">
        <v>459230</v>
      </c>
      <c r="E19" s="23" t="s">
        <v>627</v>
      </c>
      <c r="G19" s="2"/>
    </row>
    <row r="20" spans="1:7" ht="14.25" customHeight="1">
      <c r="A20" s="2" t="s">
        <v>152</v>
      </c>
      <c r="B20" s="71">
        <v>986879</v>
      </c>
      <c r="C20" s="71"/>
      <c r="D20" s="71">
        <v>986879</v>
      </c>
      <c r="E20" s="23" t="s">
        <v>627</v>
      </c>
      <c r="G20" s="2"/>
    </row>
    <row r="21" spans="1:7" ht="14.25" customHeight="1">
      <c r="A21" s="2" t="s">
        <v>154</v>
      </c>
      <c r="B21" s="71">
        <v>678218</v>
      </c>
      <c r="C21" s="71">
        <v>3257</v>
      </c>
      <c r="D21" s="71">
        <v>681475</v>
      </c>
      <c r="E21" s="23" t="s">
        <v>627</v>
      </c>
      <c r="G21" s="2"/>
    </row>
    <row r="22" spans="1:7" ht="14.25" customHeight="1">
      <c r="A22" s="2" t="s">
        <v>347</v>
      </c>
      <c r="B22" s="71">
        <v>212476</v>
      </c>
      <c r="C22" s="72">
        <v>20</v>
      </c>
      <c r="D22" s="71">
        <v>212496</v>
      </c>
      <c r="E22" s="23" t="s">
        <v>627</v>
      </c>
      <c r="G22" s="2"/>
    </row>
    <row r="23" spans="1:7" ht="14.25" customHeight="1">
      <c r="A23" s="2" t="s">
        <v>312</v>
      </c>
      <c r="B23" s="71">
        <v>177831</v>
      </c>
      <c r="C23" s="71"/>
      <c r="D23" s="71">
        <v>177831</v>
      </c>
      <c r="E23" s="23" t="s">
        <v>627</v>
      </c>
      <c r="G23" s="2"/>
    </row>
    <row r="24" spans="1:7" ht="14.25" customHeight="1">
      <c r="A24" s="2" t="s">
        <v>155</v>
      </c>
      <c r="B24" s="71">
        <v>122758</v>
      </c>
      <c r="C24" s="71"/>
      <c r="D24" s="71">
        <v>122758</v>
      </c>
      <c r="E24" s="23" t="s">
        <v>627</v>
      </c>
      <c r="G24" s="2"/>
    </row>
    <row r="25" spans="1:7" ht="14.25" customHeight="1">
      <c r="A25" s="2" t="s">
        <v>348</v>
      </c>
      <c r="B25" s="71">
        <v>241898</v>
      </c>
      <c r="C25" s="71">
        <v>2693</v>
      </c>
      <c r="D25" s="71">
        <v>244591</v>
      </c>
      <c r="E25" s="23" t="s">
        <v>627</v>
      </c>
      <c r="G25" s="2"/>
    </row>
    <row r="26" spans="1:7" ht="14.25" customHeight="1">
      <c r="A26" s="2" t="s">
        <v>158</v>
      </c>
      <c r="B26" s="71">
        <v>17984</v>
      </c>
      <c r="C26" s="71"/>
      <c r="D26" s="71">
        <v>17984</v>
      </c>
      <c r="E26" s="23" t="s">
        <v>627</v>
      </c>
      <c r="G26" s="2"/>
    </row>
    <row r="27" spans="1:7" ht="14.25" customHeight="1">
      <c r="A27" s="2" t="s">
        <v>160</v>
      </c>
      <c r="B27" s="71">
        <v>366998</v>
      </c>
      <c r="C27" s="71"/>
      <c r="D27" s="71">
        <v>366998</v>
      </c>
      <c r="E27" s="23" t="s">
        <v>627</v>
      </c>
      <c r="G27" s="2"/>
    </row>
    <row r="28" spans="1:7" ht="14.25" customHeight="1">
      <c r="A28" s="2" t="s">
        <v>165</v>
      </c>
      <c r="B28" s="71">
        <v>680445</v>
      </c>
      <c r="C28" s="71"/>
      <c r="D28" s="71">
        <v>680445</v>
      </c>
      <c r="E28" s="23" t="s">
        <v>627</v>
      </c>
      <c r="G28" s="2"/>
    </row>
    <row r="29" spans="1:7" ht="14.25" customHeight="1">
      <c r="A29" s="2" t="s">
        <v>168</v>
      </c>
      <c r="B29" s="71">
        <v>25340</v>
      </c>
      <c r="C29" s="71"/>
      <c r="D29" s="71">
        <v>25340</v>
      </c>
      <c r="E29" s="23" t="s">
        <v>627</v>
      </c>
      <c r="G29" s="2"/>
    </row>
    <row r="30" spans="1:7" ht="14.25" customHeight="1">
      <c r="A30" s="2" t="s">
        <v>169</v>
      </c>
      <c r="B30" s="71">
        <v>129270</v>
      </c>
      <c r="C30" s="71"/>
      <c r="D30" s="71">
        <v>129270</v>
      </c>
      <c r="E30" s="23" t="s">
        <v>627</v>
      </c>
      <c r="G30" s="2"/>
    </row>
    <row r="31" spans="1:7" ht="14.25" customHeight="1">
      <c r="A31" s="2" t="s">
        <v>170</v>
      </c>
      <c r="B31" s="71">
        <v>510686</v>
      </c>
      <c r="C31" s="71"/>
      <c r="D31" s="71">
        <v>510686</v>
      </c>
      <c r="E31" s="23" t="s">
        <v>627</v>
      </c>
      <c r="G31" s="2"/>
    </row>
    <row r="32" spans="1:7" ht="14.25" customHeight="1">
      <c r="A32" s="2" t="s">
        <v>173</v>
      </c>
      <c r="B32" s="71">
        <v>455520</v>
      </c>
      <c r="C32" s="71"/>
      <c r="D32" s="71">
        <v>455520</v>
      </c>
      <c r="E32" s="23" t="s">
        <v>627</v>
      </c>
      <c r="G32" s="2"/>
    </row>
    <row r="33" spans="1:7" ht="14.25" customHeight="1">
      <c r="A33" s="2" t="s">
        <v>280</v>
      </c>
      <c r="B33" s="71">
        <v>35048</v>
      </c>
      <c r="C33" s="71"/>
      <c r="D33" s="71">
        <v>35048</v>
      </c>
      <c r="E33" s="23" t="s">
        <v>627</v>
      </c>
      <c r="G33" s="2"/>
    </row>
    <row r="34" spans="1:7" ht="14.25" customHeight="1">
      <c r="A34" s="2" t="s">
        <v>176</v>
      </c>
      <c r="B34" s="71">
        <v>73191</v>
      </c>
      <c r="C34" s="71"/>
      <c r="D34" s="71">
        <v>73191</v>
      </c>
      <c r="E34" s="23" t="s">
        <v>627</v>
      </c>
      <c r="G34" s="2"/>
    </row>
    <row r="35" spans="1:7" ht="14.25" customHeight="1">
      <c r="A35" s="2" t="s">
        <v>316</v>
      </c>
      <c r="B35" s="71">
        <v>4712</v>
      </c>
      <c r="C35" s="71"/>
      <c r="D35" s="71">
        <v>4712</v>
      </c>
      <c r="E35" s="23" t="s">
        <v>627</v>
      </c>
      <c r="G35" s="2"/>
    </row>
    <row r="36" spans="1:7" ht="14.25" customHeight="1">
      <c r="A36" s="2" t="s">
        <v>179</v>
      </c>
      <c r="B36" s="71">
        <v>62370</v>
      </c>
      <c r="C36" s="71"/>
      <c r="D36" s="71">
        <v>62370</v>
      </c>
      <c r="E36" s="23" t="s">
        <v>627</v>
      </c>
      <c r="G36" s="2"/>
    </row>
    <row r="37" spans="1:7" ht="14.25" customHeight="1">
      <c r="A37" s="2" t="s">
        <v>182</v>
      </c>
      <c r="B37" s="71">
        <v>123860</v>
      </c>
      <c r="C37" s="71"/>
      <c r="D37" s="71">
        <v>123860</v>
      </c>
      <c r="E37" s="23" t="s">
        <v>627</v>
      </c>
      <c r="G37" s="2"/>
    </row>
    <row r="38" spans="1:7" ht="14.25" customHeight="1">
      <c r="A38" s="2" t="s">
        <v>317</v>
      </c>
      <c r="B38" s="71">
        <v>921545</v>
      </c>
      <c r="C38" s="71"/>
      <c r="D38" s="71">
        <v>921545</v>
      </c>
      <c r="E38" s="23" t="s">
        <v>627</v>
      </c>
      <c r="G38" s="2"/>
    </row>
    <row r="39" spans="1:7" ht="14.25" customHeight="1">
      <c r="A39" s="2" t="s">
        <v>185</v>
      </c>
      <c r="B39" s="71">
        <v>39791</v>
      </c>
      <c r="C39" s="71"/>
      <c r="D39" s="71">
        <v>39791</v>
      </c>
      <c r="E39" s="23" t="s">
        <v>627</v>
      </c>
      <c r="G39" s="2"/>
    </row>
    <row r="40" spans="1:7" ht="14.25" customHeight="1">
      <c r="A40" s="2" t="s">
        <v>186</v>
      </c>
      <c r="B40" s="71">
        <v>713129</v>
      </c>
      <c r="C40" s="71"/>
      <c r="D40" s="71">
        <v>713129</v>
      </c>
      <c r="E40" s="23" t="s">
        <v>627</v>
      </c>
      <c r="G40" s="2"/>
    </row>
    <row r="41" spans="1:7" ht="14.25" customHeight="1">
      <c r="A41" s="2" t="s">
        <v>282</v>
      </c>
      <c r="B41" s="71">
        <v>1302835</v>
      </c>
      <c r="C41" s="71"/>
      <c r="D41" s="71">
        <v>1302835</v>
      </c>
      <c r="E41" s="23" t="s">
        <v>627</v>
      </c>
      <c r="G41" s="2"/>
    </row>
    <row r="42" spans="1:7" ht="14.25" customHeight="1">
      <c r="A42" s="2" t="s">
        <v>190</v>
      </c>
      <c r="B42" s="71">
        <v>51657</v>
      </c>
      <c r="C42" s="71"/>
      <c r="D42" s="71">
        <v>51657</v>
      </c>
      <c r="E42" s="23" t="s">
        <v>627</v>
      </c>
      <c r="G42" s="2"/>
    </row>
    <row r="43" spans="1:7" ht="14.25" customHeight="1">
      <c r="A43" s="2" t="s">
        <v>192</v>
      </c>
      <c r="B43" s="71">
        <v>71849</v>
      </c>
      <c r="C43" s="71">
        <v>2589</v>
      </c>
      <c r="D43" s="71">
        <v>74438</v>
      </c>
      <c r="E43" s="23" t="s">
        <v>627</v>
      </c>
      <c r="G43" s="2"/>
    </row>
    <row r="44" spans="1:7" ht="14.25" customHeight="1">
      <c r="A44" s="2" t="s">
        <v>193</v>
      </c>
      <c r="B44" s="71">
        <v>89289</v>
      </c>
      <c r="C44" s="71"/>
      <c r="D44" s="71">
        <v>89289</v>
      </c>
      <c r="E44" s="23" t="s">
        <v>627</v>
      </c>
      <c r="G44" s="2"/>
    </row>
    <row r="45" spans="1:7" ht="14.25" customHeight="1">
      <c r="A45" s="2" t="s">
        <v>318</v>
      </c>
      <c r="B45" s="71">
        <v>452980</v>
      </c>
      <c r="C45" s="71"/>
      <c r="D45" s="71">
        <v>452980</v>
      </c>
      <c r="E45" s="23" t="s">
        <v>627</v>
      </c>
      <c r="G45" s="2"/>
    </row>
    <row r="46" spans="1:7" ht="14.25" customHeight="1">
      <c r="A46" s="2" t="s">
        <v>196</v>
      </c>
      <c r="B46" s="71">
        <v>13934</v>
      </c>
      <c r="C46" s="71"/>
      <c r="D46" s="71">
        <v>13934</v>
      </c>
      <c r="E46" s="23" t="s">
        <v>627</v>
      </c>
      <c r="G46" s="2"/>
    </row>
    <row r="47" spans="1:7" ht="14.25" customHeight="1">
      <c r="A47" s="2" t="s">
        <v>198</v>
      </c>
      <c r="B47" s="71">
        <v>532558</v>
      </c>
      <c r="C47" s="71"/>
      <c r="D47" s="71">
        <v>532558</v>
      </c>
      <c r="E47" s="23" t="s">
        <v>627</v>
      </c>
      <c r="G47" s="2"/>
    </row>
    <row r="48" spans="1:7" ht="14.25" customHeight="1">
      <c r="A48" s="2" t="s">
        <v>199</v>
      </c>
      <c r="B48" s="71">
        <v>525610</v>
      </c>
      <c r="C48" s="71"/>
      <c r="D48" s="71">
        <v>525610</v>
      </c>
      <c r="E48" s="23" t="s">
        <v>627</v>
      </c>
      <c r="G48" s="2"/>
    </row>
    <row r="49" spans="1:7" ht="14.25" customHeight="1">
      <c r="A49" s="2" t="s">
        <v>202</v>
      </c>
      <c r="B49" s="71">
        <v>76677</v>
      </c>
      <c r="C49" s="71"/>
      <c r="D49" s="71">
        <v>76677</v>
      </c>
      <c r="E49" s="23" t="s">
        <v>627</v>
      </c>
      <c r="G49" s="2"/>
    </row>
    <row r="50" spans="1:7" ht="14.25" customHeight="1">
      <c r="A50" s="2" t="s">
        <v>203</v>
      </c>
      <c r="B50" s="71">
        <v>655030</v>
      </c>
      <c r="C50" s="71"/>
      <c r="D50" s="71">
        <v>655030</v>
      </c>
      <c r="E50" s="23" t="s">
        <v>627</v>
      </c>
      <c r="G50" s="2"/>
    </row>
    <row r="51" spans="1:7" ht="14.25" customHeight="1">
      <c r="A51" s="2" t="s">
        <v>319</v>
      </c>
      <c r="B51" s="71">
        <v>184556</v>
      </c>
      <c r="C51" s="71"/>
      <c r="D51" s="71">
        <v>184556</v>
      </c>
      <c r="E51" s="23" t="s">
        <v>627</v>
      </c>
      <c r="G51" s="2"/>
    </row>
    <row r="52" spans="1:7" ht="14.25" customHeight="1">
      <c r="A52" s="2" t="s">
        <v>206</v>
      </c>
      <c r="B52" s="14">
        <v>194750</v>
      </c>
      <c r="C52" s="14"/>
      <c r="D52" s="14">
        <v>194750</v>
      </c>
      <c r="E52" s="23" t="s">
        <v>627</v>
      </c>
      <c r="G52" s="2"/>
    </row>
    <row r="53" spans="1:7" ht="14.25" customHeight="1">
      <c r="A53" s="2" t="s">
        <v>207</v>
      </c>
      <c r="B53" s="14">
        <v>289329</v>
      </c>
      <c r="C53" s="14"/>
      <c r="D53" s="14">
        <v>289329</v>
      </c>
      <c r="E53" s="23" t="s">
        <v>627</v>
      </c>
      <c r="G53" s="2"/>
    </row>
    <row r="54" spans="1:7" ht="14.25" customHeight="1">
      <c r="A54" s="2" t="s">
        <v>208</v>
      </c>
      <c r="B54" s="14">
        <v>80980</v>
      </c>
      <c r="C54" s="14">
        <v>1069</v>
      </c>
      <c r="D54" s="14">
        <v>82049</v>
      </c>
      <c r="E54" s="23" t="s">
        <v>627</v>
      </c>
      <c r="G54" s="2"/>
    </row>
    <row r="55" spans="1:7" ht="14.25" customHeight="1">
      <c r="A55" s="2" t="s">
        <v>210</v>
      </c>
      <c r="B55" s="14">
        <v>256663</v>
      </c>
      <c r="C55" s="14"/>
      <c r="D55" s="14">
        <v>256663</v>
      </c>
      <c r="E55" s="23" t="s">
        <v>627</v>
      </c>
      <c r="G55" s="2"/>
    </row>
    <row r="56" spans="1:7" ht="14.25" customHeight="1">
      <c r="A56" s="2" t="s">
        <v>349</v>
      </c>
      <c r="B56" s="14">
        <v>13179</v>
      </c>
      <c r="C56" s="14"/>
      <c r="D56" s="14">
        <v>13179</v>
      </c>
      <c r="E56" s="23" t="s">
        <v>627</v>
      </c>
      <c r="G56" s="2"/>
    </row>
    <row r="57" spans="1:7" ht="14.25" customHeight="1">
      <c r="A57" s="2" t="s">
        <v>213</v>
      </c>
      <c r="B57" s="14">
        <v>38000</v>
      </c>
      <c r="C57" s="14"/>
      <c r="D57" s="14">
        <v>38000</v>
      </c>
      <c r="E57" s="23" t="s">
        <v>628</v>
      </c>
      <c r="G57" s="2"/>
    </row>
    <row r="58" spans="1:7" ht="14.25" customHeight="1">
      <c r="A58" s="2" t="s">
        <v>357</v>
      </c>
      <c r="B58" s="14">
        <v>59199</v>
      </c>
      <c r="C58" s="14"/>
      <c r="D58" s="14">
        <v>59199</v>
      </c>
      <c r="E58" s="23" t="s">
        <v>627</v>
      </c>
      <c r="G58" s="2"/>
    </row>
    <row r="59" spans="1:7" ht="14.25" customHeight="1">
      <c r="A59" s="2" t="s">
        <v>218</v>
      </c>
      <c r="B59" s="14">
        <v>685068</v>
      </c>
      <c r="C59" s="14">
        <v>10204</v>
      </c>
      <c r="D59" s="14">
        <v>695272</v>
      </c>
      <c r="E59" s="23" t="s">
        <v>627</v>
      </c>
      <c r="G59" s="2"/>
    </row>
    <row r="60" spans="1:7" ht="14.25" customHeight="1">
      <c r="A60" s="2" t="s">
        <v>219</v>
      </c>
      <c r="B60" s="14">
        <v>315540</v>
      </c>
      <c r="C60" s="14"/>
      <c r="D60" s="14">
        <v>315540</v>
      </c>
      <c r="E60" s="23" t="s">
        <v>627</v>
      </c>
      <c r="G60" s="2"/>
    </row>
    <row r="61" spans="1:7" ht="14.25" customHeight="1">
      <c r="A61" s="2" t="s">
        <v>320</v>
      </c>
      <c r="B61" s="14">
        <v>29860</v>
      </c>
      <c r="C61" s="14"/>
      <c r="D61" s="14">
        <v>29860</v>
      </c>
      <c r="E61" s="23" t="s">
        <v>627</v>
      </c>
      <c r="G61" s="2"/>
    </row>
    <row r="62" spans="1:7" ht="14.25" customHeight="1">
      <c r="A62" s="2" t="s">
        <v>220</v>
      </c>
      <c r="B62" s="14">
        <v>1057401</v>
      </c>
      <c r="C62" s="14"/>
      <c r="D62" s="14">
        <v>1057401</v>
      </c>
      <c r="E62" s="23" t="s">
        <v>627</v>
      </c>
      <c r="G62" s="2"/>
    </row>
    <row r="63" spans="1:7" ht="14.25" customHeight="1">
      <c r="A63" s="2" t="s">
        <v>283</v>
      </c>
      <c r="B63" s="14">
        <v>42190</v>
      </c>
      <c r="C63" s="14">
        <v>24</v>
      </c>
      <c r="D63" s="14">
        <v>42214</v>
      </c>
      <c r="E63" s="23" t="s">
        <v>627</v>
      </c>
      <c r="G63" s="2"/>
    </row>
    <row r="64" spans="1:7" ht="14.25" customHeight="1">
      <c r="A64" s="2" t="s">
        <v>223</v>
      </c>
      <c r="B64" s="14">
        <v>44217</v>
      </c>
      <c r="C64" s="14"/>
      <c r="D64" s="14">
        <v>44217</v>
      </c>
      <c r="E64" s="23" t="s">
        <v>627</v>
      </c>
      <c r="G64" s="2"/>
    </row>
    <row r="65" spans="1:7" ht="14.25" customHeight="1">
      <c r="A65" s="2" t="s">
        <v>224</v>
      </c>
      <c r="B65" s="14">
        <v>1589078</v>
      </c>
      <c r="C65" s="14"/>
      <c r="D65" s="14">
        <v>1589078</v>
      </c>
      <c r="E65" s="23" t="s">
        <v>627</v>
      </c>
      <c r="G65" s="2"/>
    </row>
    <row r="66" spans="1:7" ht="14.25" customHeight="1">
      <c r="A66" s="2" t="s">
        <v>225</v>
      </c>
      <c r="B66" s="14">
        <v>350819</v>
      </c>
      <c r="C66" s="14"/>
      <c r="D66" s="14">
        <v>350819</v>
      </c>
      <c r="E66" s="23" t="s">
        <v>627</v>
      </c>
      <c r="G66" s="2"/>
    </row>
    <row r="67" spans="1:7" ht="14.25" customHeight="1">
      <c r="A67" s="2" t="s">
        <v>226</v>
      </c>
      <c r="B67" s="14">
        <v>299093</v>
      </c>
      <c r="C67" s="14">
        <v>3356</v>
      </c>
      <c r="D67" s="14">
        <v>302449</v>
      </c>
      <c r="E67" s="23" t="s">
        <v>627</v>
      </c>
      <c r="G67" s="2"/>
    </row>
    <row r="68" spans="1:7" ht="14.25" customHeight="1">
      <c r="A68" s="2" t="s">
        <v>228</v>
      </c>
      <c r="B68" s="14">
        <v>125732</v>
      </c>
      <c r="C68" s="14">
        <v>1573</v>
      </c>
      <c r="D68" s="14">
        <v>127305</v>
      </c>
      <c r="E68" s="23" t="s">
        <v>627</v>
      </c>
      <c r="G68" s="2"/>
    </row>
    <row r="69" spans="1:7" ht="14.25" customHeight="1">
      <c r="A69" s="2" t="s">
        <v>229</v>
      </c>
      <c r="B69" s="14">
        <v>425685</v>
      </c>
      <c r="C69" s="14"/>
      <c r="D69" s="14">
        <v>425685</v>
      </c>
      <c r="E69" s="23" t="s">
        <v>627</v>
      </c>
      <c r="G69" s="2"/>
    </row>
    <row r="70" spans="1:7" ht="14.25" customHeight="1">
      <c r="A70" s="2" t="s">
        <v>322</v>
      </c>
      <c r="B70" s="14">
        <v>748015</v>
      </c>
      <c r="C70" s="14">
        <v>55304</v>
      </c>
      <c r="D70" s="14">
        <v>803319</v>
      </c>
      <c r="E70" s="23" t="s">
        <v>627</v>
      </c>
      <c r="G70" s="2"/>
    </row>
    <row r="71" spans="1:7" ht="14.25" customHeight="1">
      <c r="A71" s="2" t="s">
        <v>323</v>
      </c>
      <c r="B71" s="14">
        <v>108223</v>
      </c>
      <c r="C71" s="14">
        <v>5300</v>
      </c>
      <c r="D71" s="14">
        <v>113523</v>
      </c>
      <c r="E71" s="23" t="s">
        <v>627</v>
      </c>
      <c r="G71" s="2"/>
    </row>
    <row r="72" spans="1:7" ht="14.25" customHeight="1">
      <c r="A72" s="2" t="s">
        <v>350</v>
      </c>
      <c r="B72" s="14">
        <v>321455</v>
      </c>
      <c r="C72" s="14">
        <v>7942</v>
      </c>
      <c r="D72" s="14">
        <v>329397</v>
      </c>
      <c r="E72" s="23" t="s">
        <v>627</v>
      </c>
      <c r="G72" s="2"/>
    </row>
    <row r="73" spans="1:7" ht="14.25" customHeight="1">
      <c r="A73" s="2" t="s">
        <v>284</v>
      </c>
      <c r="B73" s="14">
        <v>704220</v>
      </c>
      <c r="C73" s="14"/>
      <c r="D73" s="14">
        <v>704220</v>
      </c>
      <c r="E73" s="23" t="s">
        <v>627</v>
      </c>
      <c r="G73" s="2"/>
    </row>
    <row r="74" spans="1:7" ht="14.25" customHeight="1">
      <c r="A74" s="2" t="s">
        <v>232</v>
      </c>
      <c r="B74" s="14">
        <v>205806</v>
      </c>
      <c r="C74" s="14"/>
      <c r="D74" s="14">
        <v>205806</v>
      </c>
      <c r="E74" s="23" t="s">
        <v>627</v>
      </c>
      <c r="G74" s="2"/>
    </row>
    <row r="75" spans="1:7" ht="14.25" customHeight="1">
      <c r="A75" s="2" t="s">
        <v>233</v>
      </c>
      <c r="B75" s="14">
        <v>305244</v>
      </c>
      <c r="C75" s="14">
        <v>7166</v>
      </c>
      <c r="D75" s="14">
        <v>312410</v>
      </c>
      <c r="E75" s="23" t="s">
        <v>627</v>
      </c>
      <c r="G75" s="2"/>
    </row>
    <row r="76" spans="1:7" ht="14.25" customHeight="1">
      <c r="A76" s="2" t="s">
        <v>234</v>
      </c>
      <c r="B76" s="14">
        <v>69570</v>
      </c>
      <c r="C76" s="14"/>
      <c r="D76" s="14">
        <v>69570</v>
      </c>
      <c r="E76" s="23" t="s">
        <v>627</v>
      </c>
      <c r="G76" s="2"/>
    </row>
    <row r="77" spans="1:7" ht="14.25" customHeight="1">
      <c r="A77" s="2" t="s">
        <v>236</v>
      </c>
      <c r="B77" s="14">
        <v>67588</v>
      </c>
      <c r="C77" s="14">
        <v>354</v>
      </c>
      <c r="D77" s="14">
        <v>67942</v>
      </c>
      <c r="E77" s="23" t="s">
        <v>627</v>
      </c>
      <c r="G77" s="2"/>
    </row>
    <row r="78" spans="1:7" ht="14.25" customHeight="1">
      <c r="A78" s="2" t="s">
        <v>238</v>
      </c>
      <c r="B78" s="14">
        <v>170423</v>
      </c>
      <c r="C78" s="14"/>
      <c r="D78" s="14">
        <v>170423</v>
      </c>
      <c r="E78" s="23" t="s">
        <v>627</v>
      </c>
      <c r="G78" s="2"/>
    </row>
    <row r="79" spans="1:7" ht="14.25" customHeight="1">
      <c r="A79" s="2" t="s">
        <v>239</v>
      </c>
      <c r="B79" s="14">
        <v>713026</v>
      </c>
      <c r="C79" s="14"/>
      <c r="D79" s="14">
        <v>713026</v>
      </c>
      <c r="E79" s="23" t="s">
        <v>627</v>
      </c>
      <c r="G79" s="2"/>
    </row>
    <row r="80" spans="1:7" ht="14.25" customHeight="1">
      <c r="A80" s="2" t="s">
        <v>351</v>
      </c>
      <c r="B80" s="14">
        <v>1002416</v>
      </c>
      <c r="C80" s="14"/>
      <c r="D80" s="14">
        <v>1002416</v>
      </c>
      <c r="E80" s="23" t="s">
        <v>627</v>
      </c>
      <c r="G80" s="2"/>
    </row>
    <row r="81" spans="1:7" ht="14.25" customHeight="1">
      <c r="A81" s="2" t="s">
        <v>244</v>
      </c>
      <c r="B81" s="14">
        <v>15224</v>
      </c>
      <c r="C81" s="14"/>
      <c r="D81" s="14">
        <v>15224</v>
      </c>
      <c r="E81" s="23" t="s">
        <v>627</v>
      </c>
      <c r="G81" s="2"/>
    </row>
    <row r="82" spans="1:7" ht="14.25" customHeight="1">
      <c r="A82" s="2" t="s">
        <v>326</v>
      </c>
      <c r="B82" s="14">
        <v>43505</v>
      </c>
      <c r="C82" s="14"/>
      <c r="D82" s="14">
        <v>43505</v>
      </c>
      <c r="E82" s="23" t="s">
        <v>627</v>
      </c>
      <c r="G82" s="2"/>
    </row>
    <row r="83" spans="1:7" ht="14.25" customHeight="1">
      <c r="A83" s="2" t="s">
        <v>247</v>
      </c>
      <c r="B83" s="14">
        <v>34669</v>
      </c>
      <c r="C83" s="14"/>
      <c r="D83" s="14">
        <v>34669</v>
      </c>
      <c r="E83" s="23" t="s">
        <v>627</v>
      </c>
      <c r="G83" s="2"/>
    </row>
    <row r="84" spans="1:7" ht="14.25" customHeight="1">
      <c r="A84" s="2" t="s">
        <v>249</v>
      </c>
      <c r="B84" s="14">
        <v>138730</v>
      </c>
      <c r="C84" s="14">
        <v>8742</v>
      </c>
      <c r="D84" s="14">
        <v>147472</v>
      </c>
      <c r="E84" s="23" t="s">
        <v>627</v>
      </c>
      <c r="G84" s="2"/>
    </row>
    <row r="85" spans="1:7" ht="14.25" customHeight="1">
      <c r="A85" s="2" t="s">
        <v>254</v>
      </c>
      <c r="B85" s="14">
        <v>483249</v>
      </c>
      <c r="C85" s="14"/>
      <c r="D85" s="14">
        <v>483249</v>
      </c>
      <c r="E85" s="23" t="s">
        <v>627</v>
      </c>
      <c r="G85" s="2"/>
    </row>
    <row r="86" spans="1:7" ht="14.25" customHeight="1">
      <c r="A86" s="2" t="s">
        <v>256</v>
      </c>
      <c r="B86" s="14">
        <v>21434</v>
      </c>
      <c r="C86" s="14"/>
      <c r="D86" s="14">
        <v>21434</v>
      </c>
      <c r="E86" s="23" t="s">
        <v>627</v>
      </c>
      <c r="G86" s="2"/>
    </row>
    <row r="87" spans="1:7" ht="14.25" customHeight="1">
      <c r="A87" s="2" t="s">
        <v>327</v>
      </c>
      <c r="B87" s="14">
        <v>161580</v>
      </c>
      <c r="C87" s="14"/>
      <c r="D87" s="14">
        <v>161580</v>
      </c>
      <c r="E87" s="23" t="s">
        <v>627</v>
      </c>
      <c r="G87" s="2"/>
    </row>
    <row r="88" spans="1:7" ht="14.25" customHeight="1">
      <c r="A88" s="2" t="s">
        <v>257</v>
      </c>
      <c r="B88" s="14">
        <v>832292</v>
      </c>
      <c r="C88" s="14"/>
      <c r="D88" s="14">
        <v>832292</v>
      </c>
      <c r="E88" s="23" t="s">
        <v>627</v>
      </c>
      <c r="G88" s="2"/>
    </row>
    <row r="89" spans="1:7" ht="14.25" customHeight="1">
      <c r="A89" s="2" t="s">
        <v>258</v>
      </c>
      <c r="B89" s="14">
        <v>137047</v>
      </c>
      <c r="C89" s="14">
        <v>1462</v>
      </c>
      <c r="D89" s="14">
        <v>138509</v>
      </c>
      <c r="E89" s="23" t="s">
        <v>627</v>
      </c>
      <c r="G89" s="2"/>
    </row>
    <row r="90" spans="1:7" ht="14.25" customHeight="1">
      <c r="A90" s="2" t="s">
        <v>285</v>
      </c>
      <c r="B90" s="14">
        <v>40796</v>
      </c>
      <c r="C90" s="14">
        <v>4344</v>
      </c>
      <c r="D90" s="14">
        <v>45140</v>
      </c>
      <c r="E90" s="23" t="s">
        <v>627</v>
      </c>
      <c r="G90" s="2"/>
    </row>
    <row r="91" spans="1:7" ht="14.25" customHeight="1">
      <c r="A91" s="2" t="s">
        <v>260</v>
      </c>
      <c r="B91" s="14">
        <v>521207</v>
      </c>
      <c r="C91" s="14"/>
      <c r="D91" s="14">
        <v>521207</v>
      </c>
      <c r="E91" s="23" t="s">
        <v>627</v>
      </c>
      <c r="G91" s="2"/>
    </row>
    <row r="92" spans="1:7" ht="14.25" customHeight="1">
      <c r="A92" s="2" t="s">
        <v>261</v>
      </c>
      <c r="B92" s="14">
        <v>627696</v>
      </c>
      <c r="C92" s="14">
        <v>575</v>
      </c>
      <c r="D92" s="14">
        <v>628271</v>
      </c>
      <c r="E92" s="23" t="s">
        <v>627</v>
      </c>
      <c r="G92" s="2"/>
    </row>
    <row r="93" spans="1:7" ht="14.25" customHeight="1">
      <c r="A93" s="2" t="s">
        <v>286</v>
      </c>
      <c r="B93" s="14">
        <v>40215</v>
      </c>
      <c r="C93" s="14">
        <v>2510</v>
      </c>
      <c r="D93" s="14">
        <v>42725</v>
      </c>
      <c r="E93" s="23" t="s">
        <v>627</v>
      </c>
      <c r="G93" s="2"/>
    </row>
    <row r="94" spans="1:7" ht="14.25" customHeight="1">
      <c r="A94" s="2"/>
      <c r="B94" s="14"/>
      <c r="C94" s="14"/>
      <c r="D94" s="14"/>
      <c r="E94" s="23"/>
      <c r="G94" s="2"/>
    </row>
    <row r="95" spans="1:7" ht="14.25" customHeight="1">
      <c r="A95" s="7" t="s">
        <v>105</v>
      </c>
      <c r="B95" s="15">
        <v>184556</v>
      </c>
      <c r="C95" s="15">
        <v>2641</v>
      </c>
      <c r="D95" s="15">
        <v>184556</v>
      </c>
      <c r="E95" s="23"/>
      <c r="G95" s="2"/>
    </row>
    <row r="96" spans="1:7" ht="14.25" customHeight="1">
      <c r="A96" s="7" t="s">
        <v>104</v>
      </c>
      <c r="B96" s="15">
        <v>315862.03370786516</v>
      </c>
      <c r="C96" s="15">
        <v>5593.681818181818</v>
      </c>
      <c r="D96" s="15">
        <v>317244.74157303368</v>
      </c>
      <c r="E96" s="23"/>
      <c r="G96" s="2"/>
    </row>
    <row r="97" spans="1:7" ht="14.25" customHeight="1">
      <c r="A97" s="7" t="s">
        <v>329</v>
      </c>
      <c r="B97" s="15">
        <v>28111721</v>
      </c>
      <c r="C97" s="15">
        <v>123061</v>
      </c>
      <c r="D97" s="15">
        <v>28234782</v>
      </c>
      <c r="E97" s="23"/>
      <c r="G97" s="2"/>
    </row>
    <row r="98" spans="1:7" ht="14.25" customHeight="1">
      <c r="A98" s="7"/>
      <c r="B98" s="15"/>
      <c r="C98" s="15"/>
      <c r="D98" s="15"/>
      <c r="E98" s="23"/>
      <c r="G98" s="2"/>
    </row>
    <row r="99" spans="1:7" ht="14.25" customHeight="1">
      <c r="A99" s="44" t="s">
        <v>629</v>
      </c>
      <c r="G99" s="2"/>
    </row>
    <row r="100" spans="1:7" ht="14.25" customHeight="1">
      <c r="A100" s="44" t="s">
        <v>630</v>
      </c>
      <c r="B100" s="14"/>
      <c r="C100" s="14"/>
      <c r="D100" s="14"/>
      <c r="E100" s="23"/>
      <c r="G100" s="2"/>
    </row>
    <row r="101" spans="1:7" ht="14.25" customHeight="1">
      <c r="A101" s="44"/>
      <c r="B101" s="14"/>
      <c r="C101" s="14"/>
      <c r="D101" s="14"/>
      <c r="E101" s="23"/>
      <c r="G101" s="2"/>
    </row>
  </sheetData>
  <sortState xmlns:xlrd2="http://schemas.microsoft.com/office/spreadsheetml/2017/richdata2" ref="A5:E51">
    <sortCondition ref="A5"/>
  </sortState>
  <phoneticPr fontId="51" type="noConversion"/>
  <conditionalFormatting sqref="B5:E51">
    <cfRule type="cellIs" dxfId="23" priority="1" operator="lessThan">
      <formula>0</formula>
    </cfRule>
    <cfRule type="cellIs" dxfId="22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0">
    <outlinePr showOutlineSymbols="0"/>
    <pageSetUpPr fitToPage="1"/>
  </sheetPr>
  <dimension ref="A1:G356"/>
  <sheetViews>
    <sheetView showOutlineSymbols="0" zoomScaleNormal="100" workbookViewId="0">
      <pane ySplit="3" topLeftCell="A4" activePane="bottomLeft" state="frozen"/>
      <selection pane="bottomLeft"/>
      <selection activeCell="G34" sqref="G34"/>
    </sheetView>
  </sheetViews>
  <sheetFormatPr defaultColWidth="18.85546875" defaultRowHeight="14.25" customHeight="1" outlineLevelRow="2"/>
  <cols>
    <col min="2" max="2" width="18.85546875" style="41"/>
    <col min="3" max="3" width="18.85546875" style="46"/>
    <col min="4" max="4" width="18.85546875" style="21"/>
    <col min="5" max="5" width="3.5703125" style="241" customWidth="1"/>
    <col min="6" max="7" width="18.85546875" style="21"/>
  </cols>
  <sheetData>
    <row r="1" spans="1:7" ht="16.5" customHeight="1">
      <c r="A1" s="9" t="s">
        <v>631</v>
      </c>
      <c r="B1" s="128"/>
      <c r="D1" s="190"/>
      <c r="E1" s="190"/>
      <c r="F1" s="190"/>
      <c r="G1" s="190"/>
    </row>
    <row r="2" spans="1:7" ht="14.25" customHeight="1">
      <c r="A2" s="9"/>
      <c r="B2" s="128"/>
      <c r="D2" s="190"/>
      <c r="E2" s="190"/>
      <c r="F2" s="190"/>
      <c r="G2" s="190"/>
    </row>
    <row r="3" spans="1:7" ht="29.45" customHeight="1">
      <c r="A3" s="36"/>
      <c r="B3" s="157" t="s">
        <v>632</v>
      </c>
      <c r="C3" s="158" t="s">
        <v>633</v>
      </c>
      <c r="D3" s="191" t="s">
        <v>634</v>
      </c>
      <c r="E3" s="235"/>
      <c r="F3" s="191"/>
      <c r="G3" s="191"/>
    </row>
    <row r="4" spans="1:7" ht="14.25" customHeight="1" outlineLevel="1">
      <c r="A4" s="205" t="s">
        <v>346</v>
      </c>
      <c r="B4" s="231">
        <v>18</v>
      </c>
      <c r="C4" s="231">
        <v>27412</v>
      </c>
      <c r="D4" s="259">
        <v>16147</v>
      </c>
      <c r="E4" s="236"/>
      <c r="F4" s="10"/>
      <c r="G4" s="10"/>
    </row>
    <row r="5" spans="1:7" ht="14.25" customHeight="1" outlineLevel="2">
      <c r="A5" s="205" t="s">
        <v>278</v>
      </c>
      <c r="B5" s="231">
        <v>13</v>
      </c>
      <c r="C5" s="231">
        <v>8886</v>
      </c>
      <c r="D5" s="259">
        <v>10190</v>
      </c>
      <c r="E5" s="237" t="s">
        <v>635</v>
      </c>
      <c r="F5" s="10"/>
      <c r="G5" s="10"/>
    </row>
    <row r="6" spans="1:7" ht="14.25" customHeight="1" outlineLevel="2">
      <c r="A6" s="205" t="s">
        <v>123</v>
      </c>
      <c r="B6" s="231">
        <v>4</v>
      </c>
      <c r="C6" s="231">
        <v>0</v>
      </c>
      <c r="D6" s="259">
        <v>0</v>
      </c>
      <c r="E6" s="237"/>
      <c r="F6" s="10"/>
      <c r="G6" s="10"/>
    </row>
    <row r="7" spans="1:7" ht="14.25" customHeight="1" outlineLevel="2">
      <c r="A7" s="205" t="s">
        <v>124</v>
      </c>
      <c r="B7" s="231">
        <v>14</v>
      </c>
      <c r="C7" s="231">
        <v>8399</v>
      </c>
      <c r="D7" s="259">
        <v>6620</v>
      </c>
      <c r="E7" s="236"/>
      <c r="F7" s="10"/>
      <c r="G7" s="10"/>
    </row>
    <row r="8" spans="1:7" ht="14.25" customHeight="1" outlineLevel="2">
      <c r="A8" s="205" t="s">
        <v>126</v>
      </c>
      <c r="B8" s="231">
        <v>42</v>
      </c>
      <c r="C8" s="231">
        <v>28641</v>
      </c>
      <c r="D8" s="259">
        <v>0</v>
      </c>
      <c r="E8" s="237"/>
      <c r="F8" s="10"/>
      <c r="G8" s="10"/>
    </row>
    <row r="9" spans="1:7" ht="14.25" customHeight="1" outlineLevel="2">
      <c r="A9" s="205" t="s">
        <v>127</v>
      </c>
      <c r="B9" s="231">
        <v>25</v>
      </c>
      <c r="C9" s="231">
        <v>7346</v>
      </c>
      <c r="D9" s="259">
        <v>20541</v>
      </c>
      <c r="E9" s="236"/>
      <c r="F9" s="10"/>
      <c r="G9" s="10"/>
    </row>
    <row r="10" spans="1:7" ht="14.25" customHeight="1" outlineLevel="2">
      <c r="A10" s="205" t="s">
        <v>305</v>
      </c>
      <c r="B10" s="231">
        <v>7</v>
      </c>
      <c r="C10" s="231">
        <v>0</v>
      </c>
      <c r="D10" s="259">
        <v>3537</v>
      </c>
      <c r="E10" s="236" t="s">
        <v>635</v>
      </c>
      <c r="F10" s="10"/>
      <c r="G10" s="10"/>
    </row>
    <row r="11" spans="1:7" ht="14.25" customHeight="1" outlineLevel="2">
      <c r="A11" s="205" t="s">
        <v>133</v>
      </c>
      <c r="B11" s="231">
        <v>98</v>
      </c>
      <c r="C11" s="231">
        <v>49200</v>
      </c>
      <c r="D11" s="259">
        <v>240815</v>
      </c>
      <c r="E11" s="236"/>
      <c r="F11" s="10"/>
      <c r="G11" s="10"/>
    </row>
    <row r="12" spans="1:7" ht="14.1" customHeight="1" outlineLevel="2">
      <c r="A12" s="205" t="s">
        <v>137</v>
      </c>
      <c r="B12" s="231">
        <v>33</v>
      </c>
      <c r="C12" s="231">
        <v>24964</v>
      </c>
      <c r="D12" s="259">
        <v>44425</v>
      </c>
      <c r="E12" s="236"/>
      <c r="F12" s="196"/>
      <c r="G12" s="196"/>
    </row>
    <row r="13" spans="1:7" ht="14.25" customHeight="1" outlineLevel="2">
      <c r="A13" s="205" t="s">
        <v>139</v>
      </c>
      <c r="B13" s="231">
        <v>2</v>
      </c>
      <c r="C13" s="231">
        <v>527</v>
      </c>
      <c r="D13" s="259">
        <v>258</v>
      </c>
      <c r="E13" s="236" t="s">
        <v>635</v>
      </c>
      <c r="F13" s="10"/>
      <c r="G13" s="10"/>
    </row>
    <row r="14" spans="1:7" ht="14.25" customHeight="1" outlineLevel="2">
      <c r="A14" s="205" t="s">
        <v>142</v>
      </c>
      <c r="B14" s="231">
        <v>10</v>
      </c>
      <c r="C14" s="231">
        <v>5036</v>
      </c>
      <c r="D14" s="259">
        <v>0</v>
      </c>
      <c r="E14" s="237"/>
      <c r="F14" s="10"/>
      <c r="G14" s="10"/>
    </row>
    <row r="15" spans="1:7" ht="14.25" customHeight="1" outlineLevel="2">
      <c r="A15" s="205" t="s">
        <v>144</v>
      </c>
      <c r="B15" s="231">
        <v>16</v>
      </c>
      <c r="C15" s="231">
        <v>17119</v>
      </c>
      <c r="D15" s="259">
        <v>188418</v>
      </c>
      <c r="E15" s="236"/>
      <c r="F15" s="10"/>
      <c r="G15" s="10"/>
    </row>
    <row r="16" spans="1:7" ht="14.25" customHeight="1" outlineLevel="2">
      <c r="A16" s="205" t="s">
        <v>148</v>
      </c>
      <c r="B16" s="231">
        <v>45</v>
      </c>
      <c r="C16" s="231">
        <v>8173</v>
      </c>
      <c r="D16" s="259">
        <v>64023</v>
      </c>
      <c r="E16" s="236" t="s">
        <v>635</v>
      </c>
      <c r="F16" s="10"/>
      <c r="G16" s="10"/>
    </row>
    <row r="17" spans="1:7" ht="14.25" customHeight="1" outlineLevel="2">
      <c r="A17" s="205" t="s">
        <v>149</v>
      </c>
      <c r="B17" s="231">
        <v>72</v>
      </c>
      <c r="C17" s="231">
        <v>53797</v>
      </c>
      <c r="D17" s="259">
        <v>40865</v>
      </c>
      <c r="E17" s="237"/>
      <c r="F17" s="10"/>
      <c r="G17" s="10"/>
    </row>
    <row r="18" spans="1:7" ht="14.25" customHeight="1" outlineLevel="2">
      <c r="A18" s="205" t="s">
        <v>151</v>
      </c>
      <c r="B18" s="231">
        <v>37</v>
      </c>
      <c r="C18" s="231">
        <v>18721</v>
      </c>
      <c r="D18" s="259">
        <v>129724</v>
      </c>
      <c r="E18" s="236"/>
      <c r="F18" s="10"/>
      <c r="G18" s="10"/>
    </row>
    <row r="19" spans="1:7" ht="14.25" customHeight="1" outlineLevel="2">
      <c r="A19" s="205" t="s">
        <v>152</v>
      </c>
      <c r="B19" s="231">
        <v>126</v>
      </c>
      <c r="C19" s="231">
        <v>91037</v>
      </c>
      <c r="D19" s="260">
        <v>87547</v>
      </c>
      <c r="E19" s="236"/>
      <c r="F19" s="10"/>
      <c r="G19" s="10"/>
    </row>
    <row r="20" spans="1:7" ht="14.25" customHeight="1" outlineLevel="2">
      <c r="A20" s="205" t="s">
        <v>154</v>
      </c>
      <c r="B20" s="231">
        <v>104</v>
      </c>
      <c r="C20" s="231">
        <v>57368</v>
      </c>
      <c r="D20" s="260">
        <v>511308</v>
      </c>
      <c r="E20" s="236" t="s">
        <v>635</v>
      </c>
      <c r="F20" s="10"/>
      <c r="G20" s="10"/>
    </row>
    <row r="21" spans="1:7" ht="14.25" customHeight="1" outlineLevel="2">
      <c r="A21" s="205" t="s">
        <v>347</v>
      </c>
      <c r="B21" s="231">
        <v>81</v>
      </c>
      <c r="C21" s="231">
        <v>26293</v>
      </c>
      <c r="D21" s="260">
        <v>27625</v>
      </c>
      <c r="E21" s="236"/>
      <c r="F21" s="10"/>
      <c r="G21" s="10"/>
    </row>
    <row r="22" spans="1:7" ht="14.25" customHeight="1" outlineLevel="2">
      <c r="A22" s="205" t="s">
        <v>312</v>
      </c>
      <c r="B22" s="231">
        <v>34</v>
      </c>
      <c r="C22" s="231">
        <v>13133</v>
      </c>
      <c r="D22" s="261">
        <v>57027</v>
      </c>
      <c r="E22" s="236"/>
      <c r="F22" s="10"/>
      <c r="G22" s="10"/>
    </row>
    <row r="23" spans="1:7" ht="14.25" customHeight="1" outlineLevel="2">
      <c r="A23" s="205" t="s">
        <v>155</v>
      </c>
      <c r="B23" s="231">
        <v>13</v>
      </c>
      <c r="C23" s="231">
        <v>12669</v>
      </c>
      <c r="D23" s="260">
        <v>34776</v>
      </c>
      <c r="E23" s="236" t="s">
        <v>635</v>
      </c>
      <c r="F23" s="10"/>
      <c r="G23" s="10"/>
    </row>
    <row r="24" spans="1:7" ht="14.25" customHeight="1" outlineLevel="2">
      <c r="A24" s="205" t="s">
        <v>348</v>
      </c>
      <c r="B24" s="231">
        <v>56</v>
      </c>
      <c r="C24" s="231">
        <v>21211</v>
      </c>
      <c r="D24" s="260">
        <v>35473</v>
      </c>
      <c r="E24" s="236" t="s">
        <v>635</v>
      </c>
      <c r="F24" s="10"/>
      <c r="G24" s="10"/>
    </row>
    <row r="25" spans="1:7" ht="14.25" customHeight="1" outlineLevel="2">
      <c r="A25" s="205" t="s">
        <v>158</v>
      </c>
      <c r="B25" s="231">
        <v>8</v>
      </c>
      <c r="C25" s="231">
        <v>901</v>
      </c>
      <c r="D25" s="260">
        <v>901</v>
      </c>
      <c r="E25" s="236"/>
      <c r="F25" s="10"/>
      <c r="G25" s="10"/>
    </row>
    <row r="26" spans="1:7" ht="14.25" customHeight="1" outlineLevel="2">
      <c r="A26" s="205" t="s">
        <v>160</v>
      </c>
      <c r="B26" s="231">
        <v>46</v>
      </c>
      <c r="C26" s="231">
        <v>19106</v>
      </c>
      <c r="D26" s="260">
        <v>552178</v>
      </c>
      <c r="E26" s="236"/>
      <c r="F26" s="10"/>
      <c r="G26" s="10"/>
    </row>
    <row r="27" spans="1:7" ht="14.25" customHeight="1" outlineLevel="2">
      <c r="A27" s="205" t="s">
        <v>165</v>
      </c>
      <c r="B27" s="231">
        <v>156</v>
      </c>
      <c r="C27" s="231">
        <v>55519</v>
      </c>
      <c r="D27" s="260">
        <v>117461</v>
      </c>
      <c r="E27" s="237" t="s">
        <v>635</v>
      </c>
      <c r="F27" s="10"/>
      <c r="G27" s="10"/>
    </row>
    <row r="28" spans="1:7" ht="14.25" customHeight="1" outlineLevel="2">
      <c r="A28" s="205" t="s">
        <v>168</v>
      </c>
      <c r="B28" s="231">
        <v>9</v>
      </c>
      <c r="C28" s="231">
        <v>1144</v>
      </c>
      <c r="D28" s="260">
        <v>0</v>
      </c>
      <c r="E28" s="236"/>
      <c r="F28" s="10"/>
      <c r="G28" s="10"/>
    </row>
    <row r="29" spans="1:7" ht="14.25" customHeight="1" outlineLevel="2">
      <c r="A29" s="205" t="s">
        <v>169</v>
      </c>
      <c r="B29" s="231">
        <v>20</v>
      </c>
      <c r="C29" s="231">
        <v>7261</v>
      </c>
      <c r="D29" s="260">
        <v>9283</v>
      </c>
      <c r="E29" s="236"/>
      <c r="F29" s="10"/>
      <c r="G29" s="10"/>
    </row>
    <row r="30" spans="1:7" ht="14.25" customHeight="1" outlineLevel="2">
      <c r="A30" s="205" t="s">
        <v>170</v>
      </c>
      <c r="B30" s="231">
        <v>142</v>
      </c>
      <c r="C30" s="231">
        <v>56473</v>
      </c>
      <c r="D30" s="260">
        <v>186112</v>
      </c>
      <c r="E30" s="236"/>
      <c r="F30" s="10"/>
      <c r="G30" s="10"/>
    </row>
    <row r="31" spans="1:7" ht="14.25" customHeight="1" outlineLevel="2">
      <c r="A31" s="205" t="s">
        <v>173</v>
      </c>
      <c r="B31" s="231">
        <v>69</v>
      </c>
      <c r="C31" s="231">
        <v>59547</v>
      </c>
      <c r="D31" s="260">
        <v>254351</v>
      </c>
      <c r="E31" s="236"/>
      <c r="F31" s="10"/>
      <c r="G31" s="10"/>
    </row>
    <row r="32" spans="1:7" ht="14.25" customHeight="1" outlineLevel="2">
      <c r="A32" s="205" t="s">
        <v>280</v>
      </c>
      <c r="B32" s="231">
        <v>21</v>
      </c>
      <c r="C32" s="231">
        <v>8807</v>
      </c>
      <c r="D32" s="260">
        <v>10799</v>
      </c>
      <c r="E32" s="236"/>
      <c r="F32" s="10"/>
      <c r="G32" s="10"/>
    </row>
    <row r="33" spans="1:7" ht="14.25" customHeight="1" outlineLevel="2">
      <c r="A33" s="205" t="s">
        <v>176</v>
      </c>
      <c r="B33" s="231">
        <v>9</v>
      </c>
      <c r="C33" s="231">
        <v>8370</v>
      </c>
      <c r="D33" s="260">
        <v>15843</v>
      </c>
      <c r="E33" s="236"/>
      <c r="F33" s="10"/>
      <c r="G33" s="10"/>
    </row>
    <row r="34" spans="1:7" ht="14.25" customHeight="1" outlineLevel="2">
      <c r="A34" s="205" t="s">
        <v>316</v>
      </c>
      <c r="B34" s="231">
        <v>4</v>
      </c>
      <c r="C34" s="231">
        <v>250</v>
      </c>
      <c r="D34" s="260">
        <v>991</v>
      </c>
      <c r="E34" s="236"/>
      <c r="F34" s="10"/>
      <c r="G34" s="10"/>
    </row>
    <row r="35" spans="1:7" ht="14.25" customHeight="1" outlineLevel="2">
      <c r="A35" s="205" t="s">
        <v>179</v>
      </c>
      <c r="B35" s="231">
        <v>8</v>
      </c>
      <c r="C35" s="231">
        <v>2366</v>
      </c>
      <c r="D35" s="260">
        <v>939</v>
      </c>
      <c r="E35" s="237" t="s">
        <v>635</v>
      </c>
      <c r="F35" s="10"/>
      <c r="G35" s="10"/>
    </row>
    <row r="36" spans="1:7" ht="14.25" customHeight="1" outlineLevel="2">
      <c r="A36" s="205" t="s">
        <v>182</v>
      </c>
      <c r="B36" s="231">
        <v>24</v>
      </c>
      <c r="C36" s="231">
        <v>12753</v>
      </c>
      <c r="D36" s="260">
        <v>0</v>
      </c>
      <c r="E36" s="236"/>
      <c r="F36" s="10"/>
      <c r="G36" s="10"/>
    </row>
    <row r="37" spans="1:7" ht="14.25" customHeight="1" outlineLevel="2">
      <c r="A37" s="205" t="s">
        <v>317</v>
      </c>
      <c r="B37" s="231">
        <v>33</v>
      </c>
      <c r="C37" s="231">
        <v>15845</v>
      </c>
      <c r="D37" s="260">
        <v>280939</v>
      </c>
      <c r="E37" s="236" t="s">
        <v>635</v>
      </c>
      <c r="F37" s="10"/>
      <c r="G37" s="10"/>
    </row>
    <row r="38" spans="1:7" ht="14.25" customHeight="1" outlineLevel="2">
      <c r="A38" s="205" t="s">
        <v>185</v>
      </c>
      <c r="B38" s="231">
        <v>19</v>
      </c>
      <c r="C38" s="231">
        <v>3587</v>
      </c>
      <c r="D38" s="260">
        <v>4073</v>
      </c>
      <c r="E38" s="236" t="s">
        <v>635</v>
      </c>
      <c r="F38" s="10"/>
      <c r="G38" s="10"/>
    </row>
    <row r="39" spans="1:7" ht="14.25" customHeight="1" outlineLevel="2">
      <c r="A39" s="205" t="s">
        <v>186</v>
      </c>
      <c r="B39" s="231">
        <v>25</v>
      </c>
      <c r="C39" s="231">
        <v>22288</v>
      </c>
      <c r="D39" s="260">
        <v>231011</v>
      </c>
      <c r="E39" s="237" t="s">
        <v>635</v>
      </c>
      <c r="F39" s="10"/>
      <c r="G39" s="10"/>
    </row>
    <row r="40" spans="1:7" ht="14.25" customHeight="1" outlineLevel="2">
      <c r="A40" s="205" t="s">
        <v>282</v>
      </c>
      <c r="B40" s="231">
        <v>50</v>
      </c>
      <c r="C40" s="231">
        <v>68269</v>
      </c>
      <c r="D40" s="260">
        <v>4780672</v>
      </c>
      <c r="E40" s="236"/>
      <c r="F40" s="10"/>
      <c r="G40" s="10"/>
    </row>
    <row r="41" spans="1:7" ht="14.25" customHeight="1" outlineLevel="2">
      <c r="A41" s="205" t="s">
        <v>190</v>
      </c>
      <c r="B41" s="231">
        <v>11</v>
      </c>
      <c r="C41" s="231">
        <v>6713</v>
      </c>
      <c r="D41" s="260">
        <v>3370</v>
      </c>
      <c r="E41" s="236"/>
      <c r="F41" s="10"/>
      <c r="G41" s="10"/>
    </row>
    <row r="42" spans="1:7" ht="14.25" customHeight="1" outlineLevel="2">
      <c r="A42" s="205" t="s">
        <v>192</v>
      </c>
      <c r="B42" s="231">
        <v>16</v>
      </c>
      <c r="C42" s="231">
        <v>7131</v>
      </c>
      <c r="D42" s="260">
        <v>9233</v>
      </c>
      <c r="E42" s="236"/>
      <c r="F42" s="10"/>
      <c r="G42" s="10"/>
    </row>
    <row r="43" spans="1:7" ht="14.25" customHeight="1" outlineLevel="2">
      <c r="A43" s="205" t="s">
        <v>193</v>
      </c>
      <c r="B43" s="231">
        <v>11</v>
      </c>
      <c r="C43" s="231">
        <v>12581</v>
      </c>
      <c r="D43" s="260">
        <v>8110</v>
      </c>
      <c r="E43" s="236" t="s">
        <v>635</v>
      </c>
      <c r="F43" s="10"/>
      <c r="G43" s="10"/>
    </row>
    <row r="44" spans="1:7" ht="14.25" customHeight="1" outlineLevel="2">
      <c r="A44" s="205" t="s">
        <v>318</v>
      </c>
      <c r="B44" s="231">
        <v>16</v>
      </c>
      <c r="C44" s="231">
        <v>13777</v>
      </c>
      <c r="D44" s="260">
        <v>153310</v>
      </c>
      <c r="E44" s="237" t="s">
        <v>635</v>
      </c>
      <c r="F44" s="10"/>
      <c r="G44" s="10"/>
    </row>
    <row r="45" spans="1:7" ht="14.25" customHeight="1" outlineLevel="2">
      <c r="A45" s="205" t="s">
        <v>196</v>
      </c>
      <c r="B45" s="231">
        <v>13</v>
      </c>
      <c r="C45" s="231">
        <v>3809</v>
      </c>
      <c r="D45" s="260">
        <v>2189</v>
      </c>
      <c r="E45" s="237" t="s">
        <v>635</v>
      </c>
      <c r="F45" s="10"/>
      <c r="G45" s="10"/>
    </row>
    <row r="46" spans="1:7" ht="14.25" customHeight="1" outlineLevel="2">
      <c r="A46" s="205" t="s">
        <v>198</v>
      </c>
      <c r="B46" s="231">
        <v>41</v>
      </c>
      <c r="C46" s="231">
        <v>27436</v>
      </c>
      <c r="D46" s="260">
        <v>86610</v>
      </c>
      <c r="E46" s="236"/>
      <c r="F46" s="10"/>
      <c r="G46" s="10"/>
    </row>
    <row r="47" spans="1:7" ht="14.25" customHeight="1" outlineLevel="2">
      <c r="A47" s="205" t="s">
        <v>199</v>
      </c>
      <c r="B47" s="231">
        <v>20</v>
      </c>
      <c r="C47" s="231">
        <v>13164</v>
      </c>
      <c r="D47" s="260">
        <v>482113</v>
      </c>
      <c r="E47" s="237"/>
      <c r="F47" s="10"/>
      <c r="G47" s="10"/>
    </row>
    <row r="48" spans="1:7" ht="14.25" customHeight="1" outlineLevel="2">
      <c r="A48" s="205" t="s">
        <v>202</v>
      </c>
      <c r="B48" s="231">
        <v>21</v>
      </c>
      <c r="C48" s="231">
        <v>9455</v>
      </c>
      <c r="D48" s="260">
        <v>11256</v>
      </c>
      <c r="E48" s="236" t="s">
        <v>635</v>
      </c>
      <c r="F48" s="10"/>
      <c r="G48" s="10"/>
    </row>
    <row r="49" spans="1:7" ht="14.25" customHeight="1" outlineLevel="2">
      <c r="A49" s="205" t="s">
        <v>203</v>
      </c>
      <c r="B49" s="231">
        <v>97</v>
      </c>
      <c r="C49" s="231">
        <v>66430</v>
      </c>
      <c r="D49" s="260">
        <v>113663</v>
      </c>
      <c r="E49" s="237"/>
      <c r="F49" s="10"/>
      <c r="G49" s="10"/>
    </row>
    <row r="50" spans="1:7" ht="14.25" customHeight="1" outlineLevel="2">
      <c r="A50" s="2" t="s">
        <v>319</v>
      </c>
      <c r="B50" s="231">
        <v>52</v>
      </c>
      <c r="C50" s="231">
        <v>26442</v>
      </c>
      <c r="D50" s="260">
        <v>26087</v>
      </c>
      <c r="E50" s="237"/>
      <c r="F50" s="10"/>
      <c r="G50" s="10"/>
    </row>
    <row r="51" spans="1:7" ht="14.25" customHeight="1" outlineLevel="2">
      <c r="A51" s="63" t="s">
        <v>206</v>
      </c>
      <c r="B51" s="248">
        <v>23</v>
      </c>
      <c r="C51" s="248">
        <v>19478</v>
      </c>
      <c r="D51" s="248">
        <v>13031</v>
      </c>
      <c r="E51" s="238"/>
      <c r="F51" s="192"/>
      <c r="G51" s="192"/>
    </row>
    <row r="52" spans="1:7" ht="14.25" customHeight="1" outlineLevel="2">
      <c r="A52" s="63" t="s">
        <v>207</v>
      </c>
      <c r="B52" s="248">
        <v>61</v>
      </c>
      <c r="C52" s="248">
        <v>24168</v>
      </c>
      <c r="D52" s="248">
        <v>8465</v>
      </c>
      <c r="E52" s="238"/>
      <c r="F52" s="192"/>
      <c r="G52" s="192"/>
    </row>
    <row r="53" spans="1:7" ht="14.25" customHeight="1" outlineLevel="2">
      <c r="A53" s="63" t="s">
        <v>208</v>
      </c>
      <c r="B53" s="248">
        <v>14</v>
      </c>
      <c r="C53" s="248">
        <v>8032</v>
      </c>
      <c r="D53" s="248">
        <v>5681</v>
      </c>
      <c r="E53" s="238" t="s">
        <v>635</v>
      </c>
      <c r="F53" s="192"/>
      <c r="G53" s="192"/>
    </row>
    <row r="54" spans="1:7" ht="14.25" customHeight="1" outlineLevel="2">
      <c r="A54" s="63" t="s">
        <v>210</v>
      </c>
      <c r="B54" s="248">
        <v>18</v>
      </c>
      <c r="C54" s="248">
        <v>6689</v>
      </c>
      <c r="D54" s="248">
        <v>176937</v>
      </c>
      <c r="E54" s="238"/>
      <c r="F54" s="192"/>
      <c r="G54" s="192"/>
    </row>
    <row r="55" spans="1:7" ht="14.25" customHeight="1" outlineLevel="2">
      <c r="A55" s="2" t="s">
        <v>349</v>
      </c>
      <c r="B55" s="248">
        <v>4</v>
      </c>
      <c r="C55" s="248">
        <v>124</v>
      </c>
      <c r="D55" s="248">
        <v>285</v>
      </c>
      <c r="E55" s="238"/>
      <c r="F55" s="192"/>
      <c r="G55" s="192"/>
    </row>
    <row r="56" spans="1:7" ht="14.25" customHeight="1" outlineLevel="2">
      <c r="A56" s="63" t="s">
        <v>213</v>
      </c>
      <c r="B56" s="33">
        <v>16</v>
      </c>
      <c r="C56" s="33">
        <v>4860</v>
      </c>
      <c r="D56" s="233">
        <v>25486</v>
      </c>
      <c r="E56" s="238"/>
      <c r="F56" s="192"/>
      <c r="G56" s="192"/>
    </row>
    <row r="57" spans="1:7" ht="14.25" customHeight="1" outlineLevel="2">
      <c r="A57" s="2" t="s">
        <v>357</v>
      </c>
      <c r="B57" s="14">
        <v>14</v>
      </c>
      <c r="C57" s="14">
        <v>5713</v>
      </c>
      <c r="D57" s="72">
        <v>2610</v>
      </c>
      <c r="E57" s="239"/>
      <c r="F57" s="10"/>
      <c r="G57" s="10"/>
    </row>
    <row r="58" spans="1:7" ht="14.25" customHeight="1" outlineLevel="2">
      <c r="A58" s="2" t="s">
        <v>218</v>
      </c>
      <c r="B58" s="14">
        <v>88</v>
      </c>
      <c r="C58" s="14">
        <v>58234</v>
      </c>
      <c r="D58" s="234">
        <v>44717</v>
      </c>
      <c r="E58" s="240"/>
      <c r="F58" s="19"/>
      <c r="G58" s="19"/>
    </row>
    <row r="59" spans="1:7" ht="14.25" customHeight="1" outlineLevel="2">
      <c r="A59" s="2" t="s">
        <v>219</v>
      </c>
      <c r="B59" s="14">
        <v>17</v>
      </c>
      <c r="C59" s="14">
        <v>16124</v>
      </c>
      <c r="D59" s="72">
        <v>92098</v>
      </c>
      <c r="E59" s="239"/>
      <c r="F59" s="106"/>
      <c r="G59" s="106"/>
    </row>
    <row r="60" spans="1:7" ht="14.25" customHeight="1" outlineLevel="2">
      <c r="A60" s="2" t="s">
        <v>320</v>
      </c>
      <c r="B60" s="14">
        <v>28</v>
      </c>
      <c r="C60" s="14">
        <v>3877</v>
      </c>
      <c r="D60" s="72">
        <v>8652</v>
      </c>
      <c r="E60" s="239" t="s">
        <v>635</v>
      </c>
      <c r="F60" s="106"/>
      <c r="G60" s="106"/>
    </row>
    <row r="61" spans="1:7" ht="14.25" customHeight="1" outlineLevel="2">
      <c r="A61" s="2" t="s">
        <v>220</v>
      </c>
      <c r="B61" s="14">
        <v>39</v>
      </c>
      <c r="C61" s="14">
        <v>31932</v>
      </c>
      <c r="D61" s="72">
        <v>0</v>
      </c>
      <c r="E61" s="239"/>
      <c r="F61" s="106"/>
      <c r="G61" s="218"/>
    </row>
    <row r="62" spans="1:7" ht="14.25" customHeight="1" outlineLevel="2">
      <c r="A62" s="2" t="s">
        <v>283</v>
      </c>
      <c r="B62" s="14">
        <v>5</v>
      </c>
      <c r="C62" s="14">
        <v>2250</v>
      </c>
      <c r="D62" s="72">
        <v>5532</v>
      </c>
      <c r="E62" s="239" t="s">
        <v>635</v>
      </c>
      <c r="F62" s="106"/>
      <c r="G62" s="106"/>
    </row>
    <row r="63" spans="1:7" ht="14.25" customHeight="1" outlineLevel="2">
      <c r="A63" s="2" t="s">
        <v>223</v>
      </c>
      <c r="B63" s="14">
        <v>12</v>
      </c>
      <c r="C63" s="14">
        <v>4633</v>
      </c>
      <c r="D63" s="72">
        <v>4666</v>
      </c>
      <c r="E63" s="239" t="s">
        <v>635</v>
      </c>
      <c r="F63" s="10"/>
      <c r="G63" s="10"/>
    </row>
    <row r="64" spans="1:7" ht="14.25" customHeight="1" outlineLevel="2">
      <c r="A64" s="2" t="s">
        <v>224</v>
      </c>
      <c r="B64" s="14">
        <v>46</v>
      </c>
      <c r="C64" s="14">
        <v>63709</v>
      </c>
      <c r="D64" s="72">
        <v>0</v>
      </c>
      <c r="E64" s="239"/>
      <c r="F64" s="106"/>
      <c r="G64" s="106"/>
    </row>
    <row r="65" spans="1:5" ht="14.25" customHeight="1" outlineLevel="2">
      <c r="A65" s="2" t="s">
        <v>225</v>
      </c>
      <c r="B65" s="14">
        <v>42</v>
      </c>
      <c r="C65" s="14">
        <v>35255</v>
      </c>
      <c r="D65" s="72">
        <v>120357</v>
      </c>
    </row>
    <row r="66" spans="1:5" ht="14.25" customHeight="1" outlineLevel="2">
      <c r="A66" s="2" t="s">
        <v>226</v>
      </c>
      <c r="B66" s="14">
        <v>24</v>
      </c>
      <c r="C66" s="14">
        <v>12753</v>
      </c>
      <c r="D66" s="72">
        <v>11242</v>
      </c>
      <c r="E66" s="241" t="s">
        <v>635</v>
      </c>
    </row>
    <row r="67" spans="1:5" ht="14.25" customHeight="1" outlineLevel="2">
      <c r="A67" s="2" t="s">
        <v>228</v>
      </c>
      <c r="B67" s="14">
        <v>25</v>
      </c>
      <c r="C67" s="14">
        <v>8575</v>
      </c>
      <c r="D67" s="72">
        <v>8990</v>
      </c>
    </row>
    <row r="68" spans="1:5" ht="14.25" customHeight="1" outlineLevel="2">
      <c r="A68" s="2" t="s">
        <v>229</v>
      </c>
      <c r="B68" s="14">
        <v>41</v>
      </c>
      <c r="C68" s="14">
        <v>53047</v>
      </c>
      <c r="D68" s="72">
        <v>285878</v>
      </c>
    </row>
    <row r="69" spans="1:5" ht="14.25" customHeight="1" outlineLevel="2">
      <c r="A69" s="2" t="s">
        <v>322</v>
      </c>
      <c r="B69" s="14">
        <v>65</v>
      </c>
      <c r="C69" s="14">
        <v>45580</v>
      </c>
      <c r="D69" s="71">
        <v>113810</v>
      </c>
      <c r="E69" s="241" t="s">
        <v>635</v>
      </c>
    </row>
    <row r="70" spans="1:5" ht="14.25" customHeight="1" outlineLevel="2">
      <c r="A70" s="2" t="s">
        <v>323</v>
      </c>
      <c r="B70" s="14">
        <v>23</v>
      </c>
      <c r="C70" s="14">
        <v>7268</v>
      </c>
      <c r="D70" s="71">
        <v>9945</v>
      </c>
    </row>
    <row r="71" spans="1:5" ht="14.25" customHeight="1" outlineLevel="2">
      <c r="A71" s="2" t="s">
        <v>350</v>
      </c>
      <c r="B71" s="14">
        <v>83</v>
      </c>
      <c r="C71" s="14">
        <v>36950</v>
      </c>
      <c r="D71" s="71">
        <v>10985</v>
      </c>
      <c r="E71" s="241" t="s">
        <v>635</v>
      </c>
    </row>
    <row r="72" spans="1:5" ht="14.25" customHeight="1" outlineLevel="2">
      <c r="A72" s="2" t="s">
        <v>284</v>
      </c>
      <c r="B72" s="14">
        <v>65</v>
      </c>
      <c r="C72" s="14">
        <v>41532</v>
      </c>
      <c r="D72" s="71">
        <v>141352</v>
      </c>
      <c r="E72" s="241" t="s">
        <v>635</v>
      </c>
    </row>
    <row r="73" spans="1:5" ht="14.25" customHeight="1" outlineLevel="2">
      <c r="A73" s="2" t="s">
        <v>232</v>
      </c>
      <c r="B73" s="14">
        <v>28</v>
      </c>
      <c r="C73" s="14">
        <v>15688</v>
      </c>
      <c r="D73" s="71">
        <v>84734</v>
      </c>
    </row>
    <row r="74" spans="1:5" ht="14.25" customHeight="1" outlineLevel="2">
      <c r="A74" s="2" t="s">
        <v>233</v>
      </c>
      <c r="B74" s="14">
        <v>26</v>
      </c>
      <c r="C74" s="14">
        <v>18952</v>
      </c>
      <c r="D74" s="71">
        <v>49769</v>
      </c>
    </row>
    <row r="75" spans="1:5" ht="14.25" customHeight="1" outlineLevel="2">
      <c r="A75" s="2" t="s">
        <v>234</v>
      </c>
      <c r="B75" s="14">
        <v>11</v>
      </c>
      <c r="C75" s="14">
        <v>6328</v>
      </c>
      <c r="D75" s="71">
        <v>6719</v>
      </c>
    </row>
    <row r="76" spans="1:5" ht="14.25" customHeight="1" outlineLevel="2">
      <c r="A76" s="2" t="s">
        <v>236</v>
      </c>
      <c r="B76" s="14">
        <v>19</v>
      </c>
      <c r="C76" s="14">
        <v>0</v>
      </c>
      <c r="D76" s="71">
        <v>4442</v>
      </c>
      <c r="E76" s="241" t="s">
        <v>635</v>
      </c>
    </row>
    <row r="77" spans="1:5" ht="14.25" customHeight="1" outlineLevel="2">
      <c r="A77" s="2" t="s">
        <v>238</v>
      </c>
      <c r="B77" s="14">
        <v>10</v>
      </c>
      <c r="C77" s="14">
        <v>9607</v>
      </c>
      <c r="D77" s="71">
        <v>8567</v>
      </c>
    </row>
    <row r="78" spans="1:5" ht="14.25" customHeight="1" outlineLevel="2">
      <c r="A78" s="2" t="s">
        <v>239</v>
      </c>
      <c r="B78" s="14">
        <v>43</v>
      </c>
      <c r="C78" s="14">
        <v>33105</v>
      </c>
      <c r="D78" s="71">
        <v>151586</v>
      </c>
    </row>
    <row r="79" spans="1:5" ht="14.25" customHeight="1" outlineLevel="2">
      <c r="A79" s="2" t="s">
        <v>351</v>
      </c>
      <c r="B79" s="14">
        <v>215</v>
      </c>
      <c r="C79" s="14">
        <v>198666</v>
      </c>
      <c r="D79" s="71">
        <v>419364</v>
      </c>
    </row>
    <row r="80" spans="1:5" ht="14.25" customHeight="1" outlineLevel="2">
      <c r="A80" s="2" t="s">
        <v>244</v>
      </c>
      <c r="B80" s="14">
        <v>7</v>
      </c>
      <c r="C80" s="14">
        <v>2053</v>
      </c>
      <c r="D80" s="71">
        <v>0</v>
      </c>
    </row>
    <row r="81" spans="1:5" ht="14.25" customHeight="1" outlineLevel="2">
      <c r="A81" s="2" t="s">
        <v>326</v>
      </c>
      <c r="B81" s="14">
        <v>17</v>
      </c>
      <c r="C81" s="14">
        <v>2230</v>
      </c>
      <c r="D81" s="71">
        <v>2230</v>
      </c>
    </row>
    <row r="82" spans="1:5" ht="14.25" customHeight="1" outlineLevel="2">
      <c r="A82" s="2" t="s">
        <v>247</v>
      </c>
      <c r="B82" s="14">
        <v>16</v>
      </c>
      <c r="C82" s="14">
        <v>4238</v>
      </c>
      <c r="D82" s="71">
        <v>6349</v>
      </c>
    </row>
    <row r="83" spans="1:5" ht="14.25" customHeight="1" outlineLevel="2">
      <c r="A83" s="2" t="s">
        <v>249</v>
      </c>
      <c r="B83" s="14">
        <v>7</v>
      </c>
      <c r="C83" s="14">
        <v>0</v>
      </c>
      <c r="D83" s="71">
        <v>0</v>
      </c>
    </row>
    <row r="84" spans="1:5" ht="14.25" customHeight="1" outlineLevel="1">
      <c r="A84" s="2" t="s">
        <v>254</v>
      </c>
      <c r="B84" s="14">
        <v>25</v>
      </c>
      <c r="C84" s="14">
        <v>20414</v>
      </c>
      <c r="D84" s="71">
        <v>124421</v>
      </c>
    </row>
    <row r="85" spans="1:5" ht="14.25" customHeight="1" outlineLevel="1">
      <c r="A85" s="2" t="s">
        <v>256</v>
      </c>
      <c r="B85" s="14">
        <v>10</v>
      </c>
      <c r="C85" s="14">
        <v>729</v>
      </c>
      <c r="D85" s="71">
        <v>0</v>
      </c>
    </row>
    <row r="86" spans="1:5" ht="14.25" customHeight="1" outlineLevel="1">
      <c r="A86" s="2" t="s">
        <v>327</v>
      </c>
      <c r="B86" s="14">
        <v>54</v>
      </c>
      <c r="C86" s="14">
        <v>9729</v>
      </c>
      <c r="D86" s="71">
        <v>15487</v>
      </c>
      <c r="E86" s="241" t="s">
        <v>635</v>
      </c>
    </row>
    <row r="87" spans="1:5" ht="14.25" customHeight="1" outlineLevel="1">
      <c r="A87" s="2" t="s">
        <v>257</v>
      </c>
      <c r="B87" s="14">
        <v>56</v>
      </c>
      <c r="C87" s="14">
        <v>31067</v>
      </c>
      <c r="D87" s="71">
        <v>466271</v>
      </c>
    </row>
    <row r="88" spans="1:5" ht="14.25" customHeight="1" outlineLevel="1">
      <c r="A88" s="2" t="s">
        <v>258</v>
      </c>
      <c r="B88" s="14">
        <v>17</v>
      </c>
      <c r="C88" s="14">
        <v>5828</v>
      </c>
      <c r="D88" s="71">
        <v>21485</v>
      </c>
    </row>
    <row r="89" spans="1:5" ht="14.25" customHeight="1" outlineLevel="1">
      <c r="A89" s="2" t="s">
        <v>285</v>
      </c>
      <c r="B89" s="14">
        <v>30</v>
      </c>
      <c r="C89" s="14">
        <v>2548</v>
      </c>
      <c r="D89" s="71">
        <v>747</v>
      </c>
    </row>
    <row r="90" spans="1:5" ht="14.25" customHeight="1">
      <c r="A90" s="2" t="s">
        <v>260</v>
      </c>
      <c r="B90" s="14">
        <v>76</v>
      </c>
      <c r="C90" s="14">
        <v>51861</v>
      </c>
      <c r="D90" s="71">
        <v>40543</v>
      </c>
    </row>
    <row r="91" spans="1:5" ht="14.25" customHeight="1">
      <c r="A91" s="2" t="s">
        <v>261</v>
      </c>
      <c r="B91" s="14">
        <v>48</v>
      </c>
      <c r="C91" s="14">
        <v>17799</v>
      </c>
      <c r="D91" s="71">
        <v>172691</v>
      </c>
    </row>
    <row r="92" spans="1:5" ht="14.25" customHeight="1">
      <c r="A92" s="2" t="s">
        <v>286</v>
      </c>
      <c r="B92" s="14">
        <v>9</v>
      </c>
      <c r="C92" s="14">
        <v>3090</v>
      </c>
      <c r="D92" s="71">
        <v>736</v>
      </c>
    </row>
    <row r="93" spans="1:5" ht="14.25" customHeight="1">
      <c r="A93" s="2"/>
      <c r="B93" s="14"/>
      <c r="C93" s="14"/>
      <c r="D93" s="71"/>
    </row>
    <row r="94" spans="1:5" ht="14.25" customHeight="1">
      <c r="A94" s="7" t="s">
        <v>105</v>
      </c>
      <c r="B94" s="15">
        <v>24</v>
      </c>
      <c r="C94" s="15">
        <v>12753</v>
      </c>
      <c r="D94" s="73">
        <v>15487</v>
      </c>
    </row>
    <row r="95" spans="1:5" ht="14.25" customHeight="1">
      <c r="A95" s="7" t="s">
        <v>104</v>
      </c>
      <c r="B95" s="15">
        <v>36.719101123595507</v>
      </c>
      <c r="C95" s="15">
        <v>21731.134831460673</v>
      </c>
      <c r="D95" s="73">
        <v>129524.41573033707</v>
      </c>
    </row>
    <row r="96" spans="1:5" ht="14.25" customHeight="1">
      <c r="A96" s="7" t="s">
        <v>329</v>
      </c>
      <c r="B96" s="15">
        <v>3268</v>
      </c>
      <c r="C96" s="15">
        <v>1934071</v>
      </c>
      <c r="D96" s="73">
        <v>11527673</v>
      </c>
    </row>
    <row r="97" spans="1:4" ht="14.25" customHeight="1">
      <c r="A97" s="7"/>
      <c r="B97" s="15"/>
      <c r="C97" s="15"/>
      <c r="D97" s="73"/>
    </row>
    <row r="98" spans="1:4" ht="14.25" customHeight="1">
      <c r="A98" s="44" t="s">
        <v>636</v>
      </c>
      <c r="B98" s="2"/>
      <c r="C98" s="57"/>
      <c r="D98" s="10"/>
    </row>
    <row r="99" spans="1:4" ht="14.25" customHeight="1">
      <c r="A99" s="44" t="s">
        <v>637</v>
      </c>
      <c r="B99" s="2"/>
      <c r="C99" s="57"/>
      <c r="D99" s="10"/>
    </row>
    <row r="100" spans="1:4" ht="14.25" customHeight="1">
      <c r="A100" s="44"/>
      <c r="B100" s="2"/>
      <c r="C100" s="57"/>
      <c r="D100" s="10"/>
    </row>
    <row r="101" spans="1:4" ht="14.25" customHeight="1">
      <c r="B101" s="128"/>
    </row>
    <row r="355" ht="14.25" customHeight="1" outlineLevel="1"/>
    <row r="356" ht="14.25" customHeight="1" outlineLevel="1"/>
  </sheetData>
  <sortState xmlns:xlrd2="http://schemas.microsoft.com/office/spreadsheetml/2017/richdata2" ref="U5:V88">
    <sortCondition ref="U82:U88"/>
  </sortState>
  <phoneticPr fontId="51" type="noConversion"/>
  <conditionalFormatting sqref="B4:D50">
    <cfRule type="cellIs" dxfId="21" priority="2" operator="lessThan">
      <formula>0</formula>
    </cfRule>
  </conditionalFormatting>
  <conditionalFormatting sqref="B4:D93">
    <cfRule type="cellIs" dxfId="20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orientation="portrait" r:id="rId1"/>
  <headerFooter alignWithMargins="0">
    <oddFooter>&amp;L&amp;9Public Library Statistics 2022–23&amp;C&amp;9&amp;P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00"/>
  <sheetViews>
    <sheetView zoomScaleNormal="100" workbookViewId="0">
      <pane ySplit="4" topLeftCell="A5" activePane="bottomLeft" state="frozen"/>
      <selection pane="bottomLeft" activeCell="C6" sqref="A4:C93"/>
      <selection activeCell="G34" sqref="G34"/>
    </sheetView>
  </sheetViews>
  <sheetFormatPr defaultColWidth="8.85546875" defaultRowHeight="14.25" customHeight="1"/>
  <cols>
    <col min="1" max="1" width="22.5703125" customWidth="1"/>
    <col min="2" max="2" width="26" style="23" customWidth="1"/>
    <col min="3" max="3" width="28.42578125" style="33" customWidth="1"/>
    <col min="4" max="4" width="19.140625" bestFit="1" customWidth="1"/>
    <col min="5" max="5" width="20.42578125" bestFit="1" customWidth="1"/>
    <col min="6" max="6" width="22.85546875" bestFit="1" customWidth="1"/>
    <col min="7" max="7" width="35.5703125" bestFit="1" customWidth="1"/>
    <col min="9" max="9" width="21.5703125" bestFit="1" customWidth="1"/>
    <col min="10" max="10" width="20.42578125" bestFit="1" customWidth="1"/>
    <col min="11" max="11" width="32.5703125" customWidth="1"/>
  </cols>
  <sheetData>
    <row r="1" spans="1:4" ht="16.5" customHeight="1">
      <c r="A1" s="338" t="s">
        <v>638</v>
      </c>
      <c r="B1" s="50"/>
      <c r="C1" s="66"/>
    </row>
    <row r="2" spans="1:4" ht="14.25" customHeight="1">
      <c r="A2" s="3" t="s">
        <v>639</v>
      </c>
      <c r="B2" s="50"/>
      <c r="C2" s="66"/>
    </row>
    <row r="3" spans="1:4" ht="14.25" customHeight="1">
      <c r="A3" s="3"/>
      <c r="B3" s="50"/>
      <c r="C3" s="66"/>
    </row>
    <row r="4" spans="1:4" ht="14.25" customHeight="1">
      <c r="A4" s="384"/>
      <c r="B4" s="401" t="s">
        <v>640</v>
      </c>
      <c r="C4" s="388" t="s">
        <v>641</v>
      </c>
    </row>
    <row r="5" spans="1:4" ht="14.25" customHeight="1">
      <c r="A5" s="393" t="s">
        <v>346</v>
      </c>
      <c r="B5" s="248">
        <v>34995</v>
      </c>
      <c r="C5" s="248">
        <v>32562</v>
      </c>
      <c r="D5" s="2"/>
    </row>
    <row r="6" spans="1:4" ht="14.25" customHeight="1">
      <c r="A6" s="393" t="s">
        <v>278</v>
      </c>
      <c r="B6" s="248">
        <v>0</v>
      </c>
      <c r="C6" s="402">
        <v>0</v>
      </c>
      <c r="D6" s="2"/>
    </row>
    <row r="7" spans="1:4" ht="14.25" customHeight="1">
      <c r="A7" s="393" t="s">
        <v>123</v>
      </c>
      <c r="B7" s="248">
        <v>371.5</v>
      </c>
      <c r="C7" s="402">
        <v>371.5</v>
      </c>
      <c r="D7" s="2"/>
    </row>
    <row r="8" spans="1:4" ht="14.25" customHeight="1">
      <c r="A8" s="393" t="s">
        <v>124</v>
      </c>
      <c r="B8" s="248">
        <v>11648</v>
      </c>
      <c r="C8" s="402">
        <v>10608</v>
      </c>
      <c r="D8" s="2"/>
    </row>
    <row r="9" spans="1:4" ht="14.25" customHeight="1">
      <c r="A9" s="393" t="s">
        <v>126</v>
      </c>
      <c r="B9" s="248">
        <v>31920</v>
      </c>
      <c r="C9" s="402">
        <v>86292</v>
      </c>
      <c r="D9" s="2"/>
    </row>
    <row r="10" spans="1:4" ht="14.25" customHeight="1">
      <c r="A10" s="393" t="s">
        <v>127</v>
      </c>
      <c r="B10" s="248">
        <v>20240</v>
      </c>
      <c r="C10" s="248">
        <v>24468</v>
      </c>
      <c r="D10" s="2"/>
    </row>
    <row r="11" spans="1:4" ht="14.25" customHeight="1">
      <c r="A11" s="393" t="s">
        <v>305</v>
      </c>
      <c r="B11" s="248">
        <v>450</v>
      </c>
      <c r="C11" s="248">
        <v>113</v>
      </c>
      <c r="D11" s="2"/>
    </row>
    <row r="12" spans="1:4" ht="14.25" customHeight="1">
      <c r="A12" s="393" t="s">
        <v>133</v>
      </c>
      <c r="B12" s="248">
        <v>48230</v>
      </c>
      <c r="C12" s="248">
        <v>90103</v>
      </c>
      <c r="D12" s="2"/>
    </row>
    <row r="13" spans="1:4" ht="14.25" customHeight="1">
      <c r="A13" s="393" t="s">
        <v>137</v>
      </c>
      <c r="B13" s="248">
        <v>37167</v>
      </c>
      <c r="C13" s="248">
        <v>49127</v>
      </c>
      <c r="D13" s="2"/>
    </row>
    <row r="14" spans="1:4" ht="14.25" customHeight="1">
      <c r="A14" s="393" t="s">
        <v>139</v>
      </c>
      <c r="B14" s="248">
        <v>987</v>
      </c>
      <c r="C14" s="248">
        <v>1052</v>
      </c>
      <c r="D14" s="2"/>
    </row>
    <row r="15" spans="1:4" ht="14.25" customHeight="1">
      <c r="A15" s="393" t="s">
        <v>142</v>
      </c>
      <c r="B15" s="248">
        <v>5096</v>
      </c>
      <c r="C15" s="248">
        <v>7152</v>
      </c>
      <c r="D15" s="2"/>
    </row>
    <row r="16" spans="1:4" ht="14.25" customHeight="1">
      <c r="A16" s="393" t="s">
        <v>144</v>
      </c>
      <c r="B16" s="248">
        <v>15453</v>
      </c>
      <c r="C16" s="248">
        <v>44512</v>
      </c>
      <c r="D16" s="2"/>
    </row>
    <row r="17" spans="1:4" ht="14.25" customHeight="1">
      <c r="A17" s="393" t="s">
        <v>148</v>
      </c>
      <c r="B17" s="248">
        <v>11283</v>
      </c>
      <c r="C17" s="248">
        <v>0</v>
      </c>
      <c r="D17" s="2"/>
    </row>
    <row r="18" spans="1:4" ht="14.25" customHeight="1">
      <c r="A18" s="393" t="s">
        <v>149</v>
      </c>
      <c r="B18" s="248">
        <v>33961</v>
      </c>
      <c r="C18" s="248">
        <v>65972</v>
      </c>
      <c r="D18" s="2"/>
    </row>
    <row r="19" spans="1:4" ht="14.25" customHeight="1">
      <c r="A19" s="393" t="s">
        <v>151</v>
      </c>
      <c r="B19" s="248">
        <v>11363</v>
      </c>
      <c r="C19" s="248">
        <v>38020</v>
      </c>
      <c r="D19" s="2"/>
    </row>
    <row r="20" spans="1:4" ht="14.25" customHeight="1">
      <c r="A20" s="393" t="s">
        <v>152</v>
      </c>
      <c r="B20" s="248">
        <v>65767</v>
      </c>
      <c r="C20" s="248">
        <v>171366</v>
      </c>
      <c r="D20" s="2"/>
    </row>
    <row r="21" spans="1:4" ht="14.25" customHeight="1">
      <c r="A21" s="393" t="s">
        <v>154</v>
      </c>
      <c r="B21" s="248">
        <v>78925</v>
      </c>
      <c r="C21" s="248">
        <v>104150</v>
      </c>
      <c r="D21" s="2"/>
    </row>
    <row r="22" spans="1:4" ht="14.25" customHeight="1">
      <c r="A22" s="393" t="s">
        <v>347</v>
      </c>
      <c r="B22" s="248">
        <v>58149</v>
      </c>
      <c r="C22" s="248">
        <v>42705</v>
      </c>
      <c r="D22" s="2"/>
    </row>
    <row r="23" spans="1:4" ht="14.25" customHeight="1">
      <c r="A23" s="393" t="s">
        <v>312</v>
      </c>
      <c r="B23" s="248">
        <v>40927</v>
      </c>
      <c r="C23" s="248">
        <v>26336</v>
      </c>
      <c r="D23" s="2"/>
    </row>
    <row r="24" spans="1:4" ht="14.25" customHeight="1">
      <c r="A24" s="393" t="s">
        <v>155</v>
      </c>
      <c r="B24" s="248">
        <v>38008</v>
      </c>
      <c r="C24" s="248">
        <v>0</v>
      </c>
      <c r="D24" s="2"/>
    </row>
    <row r="25" spans="1:4" ht="14.25" customHeight="1">
      <c r="A25" s="393" t="s">
        <v>348</v>
      </c>
      <c r="B25" s="248">
        <v>45135</v>
      </c>
      <c r="C25" s="248">
        <v>62091</v>
      </c>
      <c r="D25" s="2"/>
    </row>
    <row r="26" spans="1:4" ht="14.25" customHeight="1">
      <c r="A26" s="393" t="s">
        <v>158</v>
      </c>
      <c r="B26" s="248">
        <v>6396</v>
      </c>
      <c r="C26" s="248">
        <v>5928</v>
      </c>
      <c r="D26" s="2"/>
    </row>
    <row r="27" spans="1:4" ht="14.25" customHeight="1">
      <c r="A27" s="393" t="s">
        <v>160</v>
      </c>
      <c r="B27" s="248">
        <v>18450</v>
      </c>
      <c r="C27" s="248">
        <v>45950</v>
      </c>
      <c r="D27" s="2"/>
    </row>
    <row r="28" spans="1:4" ht="14.25" customHeight="1">
      <c r="A28" s="393" t="s">
        <v>165</v>
      </c>
      <c r="B28" s="248">
        <v>4181</v>
      </c>
      <c r="C28" s="248">
        <v>9653</v>
      </c>
      <c r="D28" s="2"/>
    </row>
    <row r="29" spans="1:4" ht="14.25" customHeight="1">
      <c r="A29" s="393" t="s">
        <v>168</v>
      </c>
      <c r="B29" s="248">
        <v>169</v>
      </c>
      <c r="C29" s="248">
        <v>354</v>
      </c>
      <c r="D29" s="2"/>
    </row>
    <row r="30" spans="1:4" ht="14.25" customHeight="1">
      <c r="A30" s="393" t="s">
        <v>169</v>
      </c>
      <c r="B30" s="248">
        <v>21997</v>
      </c>
      <c r="C30" s="248">
        <v>24599</v>
      </c>
      <c r="D30" s="2"/>
    </row>
    <row r="31" spans="1:4" ht="14.25" customHeight="1">
      <c r="A31" s="393" t="s">
        <v>170</v>
      </c>
      <c r="B31" s="248">
        <v>29030</v>
      </c>
      <c r="C31" s="248">
        <v>66891</v>
      </c>
      <c r="D31" s="2"/>
    </row>
    <row r="32" spans="1:4" ht="14.25" customHeight="1">
      <c r="A32" s="393" t="s">
        <v>173</v>
      </c>
      <c r="B32" s="248">
        <v>16537</v>
      </c>
      <c r="C32" s="248">
        <v>62555</v>
      </c>
      <c r="D32" s="2"/>
    </row>
    <row r="33" spans="1:4" ht="14.25" customHeight="1">
      <c r="A33" s="393" t="s">
        <v>280</v>
      </c>
      <c r="B33" s="248">
        <v>280</v>
      </c>
      <c r="C33" s="248">
        <v>303</v>
      </c>
      <c r="D33" s="2"/>
    </row>
    <row r="34" spans="1:4" ht="14.25" customHeight="1">
      <c r="A34" s="393" t="s">
        <v>176</v>
      </c>
      <c r="B34" s="248">
        <v>5841</v>
      </c>
      <c r="C34" s="248">
        <v>16759</v>
      </c>
      <c r="D34" s="2"/>
    </row>
    <row r="35" spans="1:4" ht="14.25" customHeight="1">
      <c r="A35" s="393" t="s">
        <v>316</v>
      </c>
      <c r="B35" s="248">
        <v>247</v>
      </c>
      <c r="C35" s="248">
        <v>77</v>
      </c>
      <c r="D35" s="2"/>
    </row>
    <row r="36" spans="1:4" ht="14.25" customHeight="1">
      <c r="A36" s="393" t="s">
        <v>179</v>
      </c>
      <c r="B36" s="248">
        <v>1689</v>
      </c>
      <c r="C36" s="248">
        <v>6171</v>
      </c>
      <c r="D36" s="2"/>
    </row>
    <row r="37" spans="1:4" ht="14.25" customHeight="1">
      <c r="A37" s="393" t="s">
        <v>182</v>
      </c>
      <c r="B37" s="248">
        <v>15496</v>
      </c>
      <c r="C37" s="248">
        <v>18096</v>
      </c>
      <c r="D37" s="2"/>
    </row>
    <row r="38" spans="1:4" ht="14.25" customHeight="1">
      <c r="A38" s="393" t="s">
        <v>317</v>
      </c>
      <c r="B38" s="248">
        <v>37726</v>
      </c>
      <c r="C38" s="248">
        <v>84188</v>
      </c>
      <c r="D38" s="2"/>
    </row>
    <row r="39" spans="1:4" ht="14.25" customHeight="1">
      <c r="A39" s="393" t="s">
        <v>185</v>
      </c>
      <c r="B39" s="248">
        <v>12155</v>
      </c>
      <c r="C39" s="248">
        <v>15412</v>
      </c>
      <c r="D39" s="2"/>
    </row>
    <row r="40" spans="1:4" ht="14.25" customHeight="1">
      <c r="A40" s="393" t="s">
        <v>186</v>
      </c>
      <c r="B40" s="248">
        <v>26375</v>
      </c>
      <c r="C40" s="248">
        <v>86307</v>
      </c>
      <c r="D40" s="2"/>
    </row>
    <row r="41" spans="1:4" ht="14.25" customHeight="1">
      <c r="A41" s="393" t="s">
        <v>282</v>
      </c>
      <c r="B41" s="248">
        <v>102867</v>
      </c>
      <c r="C41" s="402">
        <v>102867</v>
      </c>
      <c r="D41" s="2"/>
    </row>
    <row r="42" spans="1:4" ht="14.25" customHeight="1">
      <c r="A42" s="393" t="s">
        <v>190</v>
      </c>
      <c r="B42" s="248">
        <v>6292</v>
      </c>
      <c r="C42" s="248">
        <v>18642</v>
      </c>
      <c r="D42" s="2"/>
    </row>
    <row r="43" spans="1:4" ht="14.25" customHeight="1">
      <c r="A43" s="393" t="s">
        <v>192</v>
      </c>
      <c r="B43" s="248">
        <v>25200</v>
      </c>
      <c r="C43" s="248">
        <v>19428</v>
      </c>
      <c r="D43" s="2"/>
    </row>
    <row r="44" spans="1:4" ht="14.25" customHeight="1">
      <c r="A44" s="393" t="s">
        <v>193</v>
      </c>
      <c r="B44" s="248">
        <v>21203</v>
      </c>
      <c r="C44" s="248">
        <v>23469</v>
      </c>
      <c r="D44" s="2"/>
    </row>
    <row r="45" spans="1:4" ht="14.25" customHeight="1">
      <c r="A45" s="393" t="s">
        <v>318</v>
      </c>
      <c r="B45" s="248">
        <v>24290</v>
      </c>
      <c r="C45" s="248">
        <v>34119</v>
      </c>
      <c r="D45" s="2"/>
    </row>
    <row r="46" spans="1:4" ht="14.25" customHeight="1">
      <c r="A46" s="393" t="s">
        <v>196</v>
      </c>
      <c r="B46" s="248">
        <v>2836</v>
      </c>
      <c r="C46" s="248">
        <v>3849</v>
      </c>
      <c r="D46" s="2"/>
    </row>
    <row r="47" spans="1:4" ht="14.25" customHeight="1">
      <c r="A47" s="393" t="s">
        <v>198</v>
      </c>
      <c r="B47" s="248">
        <v>52663</v>
      </c>
      <c r="C47" s="248">
        <v>64948</v>
      </c>
      <c r="D47" s="2"/>
    </row>
    <row r="48" spans="1:4" ht="14.25" customHeight="1">
      <c r="A48" s="393" t="s">
        <v>199</v>
      </c>
      <c r="B48" s="248">
        <v>57385</v>
      </c>
      <c r="C48" s="248">
        <v>0</v>
      </c>
      <c r="D48" s="2"/>
    </row>
    <row r="49" spans="1:4" ht="14.25" customHeight="1">
      <c r="A49" s="393" t="s">
        <v>202</v>
      </c>
      <c r="B49" s="248">
        <v>5063</v>
      </c>
      <c r="C49" s="248">
        <v>13370</v>
      </c>
      <c r="D49" s="2"/>
    </row>
    <row r="50" spans="1:4" ht="14.25" customHeight="1">
      <c r="A50" s="393" t="s">
        <v>203</v>
      </c>
      <c r="B50" s="248">
        <v>81172</v>
      </c>
      <c r="C50" s="248">
        <v>126464</v>
      </c>
      <c r="D50" s="2"/>
    </row>
    <row r="51" spans="1:4" ht="14.25" customHeight="1">
      <c r="A51" s="141" t="s">
        <v>319</v>
      </c>
      <c r="B51" s="248">
        <v>18929</v>
      </c>
      <c r="C51" s="248">
        <v>14373</v>
      </c>
      <c r="D51" s="2"/>
    </row>
    <row r="52" spans="1:4" ht="14.25" customHeight="1">
      <c r="A52" s="141" t="s">
        <v>206</v>
      </c>
      <c r="B52" s="403">
        <v>68419</v>
      </c>
      <c r="C52" s="403">
        <v>51766</v>
      </c>
      <c r="D52" s="2"/>
    </row>
    <row r="53" spans="1:4" ht="14.25" customHeight="1">
      <c r="A53" s="141" t="s">
        <v>642</v>
      </c>
      <c r="B53" s="403">
        <v>13970</v>
      </c>
      <c r="C53" s="403" t="s">
        <v>643</v>
      </c>
      <c r="D53" s="2"/>
    </row>
    <row r="54" spans="1:4" ht="14.25" customHeight="1">
      <c r="A54" s="141" t="s">
        <v>208</v>
      </c>
      <c r="B54" s="403">
        <v>3</v>
      </c>
      <c r="C54" s="403">
        <v>0</v>
      </c>
      <c r="D54" s="2"/>
    </row>
    <row r="55" spans="1:4" ht="14.25" customHeight="1">
      <c r="A55" s="141" t="s">
        <v>210</v>
      </c>
      <c r="B55" s="403">
        <v>24625</v>
      </c>
      <c r="C55" s="403">
        <v>7042</v>
      </c>
      <c r="D55" s="2"/>
    </row>
    <row r="56" spans="1:4" ht="14.25" customHeight="1">
      <c r="A56" s="141" t="s">
        <v>349</v>
      </c>
      <c r="B56" s="403">
        <v>2850</v>
      </c>
      <c r="C56" s="403">
        <v>300</v>
      </c>
      <c r="D56" s="2"/>
    </row>
    <row r="57" spans="1:4" ht="14.25" customHeight="1">
      <c r="A57" s="141" t="s">
        <v>213</v>
      </c>
      <c r="B57" s="403">
        <v>9269</v>
      </c>
      <c r="C57" s="403">
        <v>11661</v>
      </c>
      <c r="D57" s="2"/>
    </row>
    <row r="58" spans="1:4" ht="14.25" customHeight="1">
      <c r="A58" s="141" t="s">
        <v>357</v>
      </c>
      <c r="B58" s="403">
        <v>7163</v>
      </c>
      <c r="C58" s="403" t="s">
        <v>644</v>
      </c>
      <c r="D58" s="2"/>
    </row>
    <row r="59" spans="1:4" ht="14.25" customHeight="1">
      <c r="A59" s="141" t="s">
        <v>218</v>
      </c>
      <c r="B59" s="403">
        <v>135037</v>
      </c>
      <c r="C59" s="403">
        <v>0</v>
      </c>
      <c r="D59" s="2"/>
    </row>
    <row r="60" spans="1:4" ht="14.25" customHeight="1">
      <c r="A60" s="141" t="s">
        <v>219</v>
      </c>
      <c r="B60" s="403">
        <v>4336</v>
      </c>
      <c r="C60" s="403">
        <v>34355</v>
      </c>
      <c r="D60" s="2"/>
    </row>
    <row r="61" spans="1:4" ht="14.25" customHeight="1">
      <c r="A61" s="141" t="s">
        <v>320</v>
      </c>
      <c r="B61" s="403">
        <v>875</v>
      </c>
      <c r="C61" s="403">
        <v>1022</v>
      </c>
      <c r="D61" s="2"/>
    </row>
    <row r="62" spans="1:4" ht="14.25" customHeight="1">
      <c r="A62" s="141" t="s">
        <v>220</v>
      </c>
      <c r="B62" s="403">
        <v>32682</v>
      </c>
      <c r="C62" s="403">
        <v>100802</v>
      </c>
      <c r="D62" s="2"/>
    </row>
    <row r="63" spans="1:4" ht="14.25" customHeight="1">
      <c r="A63" s="141" t="s">
        <v>283</v>
      </c>
      <c r="B63" s="403">
        <v>864</v>
      </c>
      <c r="C63" s="403">
        <v>1152</v>
      </c>
      <c r="D63" s="2"/>
    </row>
    <row r="64" spans="1:4" ht="14.25" customHeight="1">
      <c r="A64" s="141" t="s">
        <v>223</v>
      </c>
      <c r="B64" s="300">
        <v>1370</v>
      </c>
      <c r="C64" s="300">
        <v>5449</v>
      </c>
      <c r="D64" s="2"/>
    </row>
    <row r="65" spans="1:4" ht="14.25" customHeight="1">
      <c r="A65" s="141" t="s">
        <v>645</v>
      </c>
      <c r="B65" s="300">
        <v>132947</v>
      </c>
      <c r="C65" s="300">
        <v>254835</v>
      </c>
      <c r="D65" s="2"/>
    </row>
    <row r="66" spans="1:4" ht="14.25" customHeight="1">
      <c r="A66" s="141" t="s">
        <v>225</v>
      </c>
      <c r="B66" s="300">
        <v>23452</v>
      </c>
      <c r="C66" s="300">
        <v>49400</v>
      </c>
      <c r="D66" s="2"/>
    </row>
    <row r="67" spans="1:4" ht="14.25" customHeight="1">
      <c r="A67" s="141" t="s">
        <v>226</v>
      </c>
      <c r="B67" s="300">
        <v>55705</v>
      </c>
      <c r="C67" s="300">
        <v>56576</v>
      </c>
      <c r="D67" s="2"/>
    </row>
    <row r="68" spans="1:4" ht="14.25" customHeight="1">
      <c r="A68" s="141" t="s">
        <v>228</v>
      </c>
      <c r="B68" s="300">
        <v>7884</v>
      </c>
      <c r="C68" s="300">
        <v>26413</v>
      </c>
      <c r="D68" s="2"/>
    </row>
    <row r="69" spans="1:4" ht="14.25" customHeight="1">
      <c r="A69" s="141" t="s">
        <v>229</v>
      </c>
      <c r="B69" s="300">
        <v>67179</v>
      </c>
      <c r="C69" s="300">
        <v>28304</v>
      </c>
      <c r="D69" s="2"/>
    </row>
    <row r="70" spans="1:4" ht="14.25" customHeight="1">
      <c r="A70" s="141" t="s">
        <v>322</v>
      </c>
      <c r="B70" s="300">
        <v>133536</v>
      </c>
      <c r="C70" s="300">
        <v>115440</v>
      </c>
      <c r="D70" s="2"/>
    </row>
    <row r="71" spans="1:4" ht="14.25" customHeight="1">
      <c r="A71" s="141" t="s">
        <v>323</v>
      </c>
      <c r="B71" s="300">
        <v>23725</v>
      </c>
      <c r="C71" s="300">
        <v>32006</v>
      </c>
      <c r="D71" s="2"/>
    </row>
    <row r="72" spans="1:4" ht="14.25" customHeight="1">
      <c r="A72" s="141" t="s">
        <v>350</v>
      </c>
      <c r="B72" s="300">
        <v>54513</v>
      </c>
      <c r="C72" s="300">
        <v>63263</v>
      </c>
      <c r="D72" s="2"/>
    </row>
    <row r="73" spans="1:4" ht="14.25" customHeight="1">
      <c r="A73" s="141" t="s">
        <v>284</v>
      </c>
      <c r="B73" s="300">
        <v>31161</v>
      </c>
      <c r="C73" s="300">
        <v>95524</v>
      </c>
      <c r="D73" s="2"/>
    </row>
    <row r="74" spans="1:4" ht="14.25" customHeight="1">
      <c r="A74" s="141" t="s">
        <v>232</v>
      </c>
      <c r="B74" s="300">
        <v>33547</v>
      </c>
      <c r="C74" s="300">
        <v>49536</v>
      </c>
      <c r="D74" s="2"/>
    </row>
    <row r="75" spans="1:4" ht="14.25" customHeight="1">
      <c r="A75" s="141" t="s">
        <v>233</v>
      </c>
      <c r="B75" s="300">
        <v>39661</v>
      </c>
      <c r="C75" s="300"/>
      <c r="D75" s="2"/>
    </row>
    <row r="76" spans="1:4" ht="14.25" customHeight="1">
      <c r="A76" s="141" t="s">
        <v>234</v>
      </c>
      <c r="B76" s="300">
        <v>354</v>
      </c>
      <c r="C76" s="300">
        <v>350</v>
      </c>
      <c r="D76" s="2"/>
    </row>
    <row r="77" spans="1:4" ht="14.25" customHeight="1">
      <c r="A77" s="141" t="s">
        <v>236</v>
      </c>
      <c r="B77" s="300"/>
      <c r="C77" s="300"/>
      <c r="D77" s="2"/>
    </row>
    <row r="78" spans="1:4" ht="14.25" customHeight="1">
      <c r="A78" s="141" t="s">
        <v>238</v>
      </c>
      <c r="B78" s="300">
        <v>9940</v>
      </c>
      <c r="C78" s="300">
        <v>11360</v>
      </c>
      <c r="D78" s="2"/>
    </row>
    <row r="79" spans="1:4" ht="14.25" customHeight="1">
      <c r="A79" s="141" t="s">
        <v>239</v>
      </c>
      <c r="B79" s="300">
        <v>38116</v>
      </c>
      <c r="C79" s="300">
        <v>94783</v>
      </c>
      <c r="D79" s="2"/>
    </row>
    <row r="80" spans="1:4" ht="14.25" customHeight="1">
      <c r="A80" s="141" t="s">
        <v>351</v>
      </c>
      <c r="B80" s="300">
        <v>99905</v>
      </c>
      <c r="C80" s="300"/>
      <c r="D80" s="2"/>
    </row>
    <row r="81" spans="1:4" ht="14.25" customHeight="1">
      <c r="A81" s="141" t="s">
        <v>244</v>
      </c>
      <c r="B81" s="300">
        <v>2067</v>
      </c>
      <c r="C81" s="300">
        <v>4133</v>
      </c>
      <c r="D81" s="2"/>
    </row>
    <row r="82" spans="1:4" ht="14.25" customHeight="1">
      <c r="A82" s="141" t="s">
        <v>326</v>
      </c>
      <c r="B82" s="300">
        <v>10566</v>
      </c>
      <c r="C82" s="300"/>
      <c r="D82" s="2"/>
    </row>
    <row r="83" spans="1:4" ht="14.25" customHeight="1">
      <c r="A83" s="141" t="s">
        <v>247</v>
      </c>
      <c r="B83" s="300">
        <v>4137</v>
      </c>
      <c r="C83" s="300">
        <v>2330</v>
      </c>
      <c r="D83" s="2"/>
    </row>
    <row r="84" spans="1:4" ht="14.25" customHeight="1">
      <c r="A84" s="141" t="s">
        <v>249</v>
      </c>
      <c r="B84" s="300">
        <v>28864</v>
      </c>
      <c r="C84" s="300">
        <v>40600</v>
      </c>
      <c r="D84" s="2"/>
    </row>
    <row r="85" spans="1:4" ht="14.25" customHeight="1">
      <c r="A85" s="141" t="s">
        <v>254</v>
      </c>
      <c r="B85" s="300">
        <v>116597</v>
      </c>
      <c r="C85" s="300">
        <v>110084</v>
      </c>
      <c r="D85" s="2"/>
    </row>
    <row r="86" spans="1:4" ht="14.25" customHeight="1">
      <c r="A86" s="141" t="s">
        <v>256</v>
      </c>
      <c r="B86" s="300">
        <v>857</v>
      </c>
      <c r="C86" s="300">
        <v>3088</v>
      </c>
      <c r="D86" s="2"/>
    </row>
    <row r="87" spans="1:4" ht="14.25" customHeight="1">
      <c r="A87" s="141" t="s">
        <v>327</v>
      </c>
      <c r="B87" s="300"/>
      <c r="C87" s="300"/>
      <c r="D87" s="2"/>
    </row>
    <row r="88" spans="1:4" ht="14.25" customHeight="1">
      <c r="A88" s="141" t="s">
        <v>257</v>
      </c>
      <c r="B88" s="300">
        <v>17940</v>
      </c>
      <c r="C88" s="300">
        <v>83369</v>
      </c>
      <c r="D88" s="2"/>
    </row>
    <row r="89" spans="1:4" ht="14.25" customHeight="1">
      <c r="A89" s="141" t="s">
        <v>258</v>
      </c>
      <c r="B89" s="300">
        <v>21112</v>
      </c>
      <c r="C89" s="300">
        <v>15431</v>
      </c>
      <c r="D89" s="2"/>
    </row>
    <row r="90" spans="1:4" ht="14.25" customHeight="1">
      <c r="A90" s="141" t="s">
        <v>285</v>
      </c>
      <c r="B90" s="300">
        <v>6032</v>
      </c>
      <c r="C90" s="300">
        <v>6145</v>
      </c>
      <c r="D90" s="2"/>
    </row>
    <row r="91" spans="1:4" ht="14.25" customHeight="1">
      <c r="A91" s="141" t="s">
        <v>260</v>
      </c>
      <c r="B91" s="300">
        <v>477220</v>
      </c>
      <c r="C91" s="300">
        <v>721396</v>
      </c>
      <c r="D91" s="2"/>
    </row>
    <row r="92" spans="1:4" ht="14.25" customHeight="1">
      <c r="A92" s="141" t="s">
        <v>261</v>
      </c>
      <c r="B92" s="300">
        <v>43134</v>
      </c>
      <c r="C92" s="300">
        <v>70291</v>
      </c>
      <c r="D92" s="2"/>
    </row>
    <row r="93" spans="1:4" ht="14.25" customHeight="1">
      <c r="A93" s="141" t="s">
        <v>286</v>
      </c>
      <c r="B93" s="300">
        <v>1957</v>
      </c>
      <c r="C93" s="300">
        <v>2154</v>
      </c>
      <c r="D93" s="2"/>
    </row>
    <row r="94" spans="1:4" ht="14.25" customHeight="1">
      <c r="A94" s="2"/>
      <c r="B94" s="300"/>
      <c r="C94" s="300"/>
      <c r="D94" s="2"/>
    </row>
    <row r="95" spans="1:4" ht="14.25" customHeight="1">
      <c r="A95" s="7" t="s">
        <v>329</v>
      </c>
      <c r="B95" s="301">
        <f>SUM(B5:B93)</f>
        <v>2968115.5</v>
      </c>
      <c r="C95" s="301">
        <f>SUM(C5:C93)</f>
        <v>3872132.5</v>
      </c>
      <c r="D95" s="2"/>
    </row>
    <row r="96" spans="1:4" ht="14.25" customHeight="1">
      <c r="A96" s="7"/>
      <c r="B96" s="301"/>
      <c r="C96" s="301"/>
      <c r="D96" s="2"/>
    </row>
    <row r="97" spans="1:4" ht="14.25" customHeight="1">
      <c r="A97" s="2"/>
      <c r="B97" s="301"/>
      <c r="C97" s="301"/>
      <c r="D97" s="2"/>
    </row>
    <row r="98" spans="1:4" ht="14.25" customHeight="1">
      <c r="B98" s="215"/>
      <c r="C98" s="215"/>
    </row>
    <row r="99" spans="1:4" ht="14.25" customHeight="1">
      <c r="B99" s="215"/>
      <c r="C99" s="215"/>
    </row>
    <row r="100" spans="1:4" ht="14.25" customHeight="1">
      <c r="B100" s="215"/>
      <c r="C100" s="215"/>
    </row>
  </sheetData>
  <sortState xmlns:xlrd2="http://schemas.microsoft.com/office/spreadsheetml/2017/richdata2" ref="A5:C51">
    <sortCondition ref="A5"/>
  </sortState>
  <phoneticPr fontId="51" type="noConversion"/>
  <conditionalFormatting sqref="B5:C51">
    <cfRule type="cellIs" dxfId="19" priority="2" operator="lessThan">
      <formula>0</formula>
    </cfRule>
  </conditionalFormatting>
  <conditionalFormatting sqref="B5:C63">
    <cfRule type="cellIs" dxfId="18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G98"/>
  <sheetViews>
    <sheetView zoomScaleNormal="100" workbookViewId="0">
      <pane ySplit="4" topLeftCell="A5" activePane="bottomLeft" state="frozen"/>
      <selection pane="bottomLeft"/>
      <selection activeCell="G34" sqref="G34"/>
    </sheetView>
  </sheetViews>
  <sheetFormatPr defaultColWidth="17.28515625" defaultRowHeight="14.25" customHeight="1"/>
  <sheetData>
    <row r="1" spans="1:7" ht="16.5" customHeight="1">
      <c r="A1" s="338" t="s">
        <v>646</v>
      </c>
    </row>
    <row r="2" spans="1:7" ht="14.25" customHeight="1">
      <c r="A2" s="3" t="s">
        <v>647</v>
      </c>
    </row>
    <row r="4" spans="1:7" ht="12.75">
      <c r="A4" s="7"/>
      <c r="B4" s="105" t="s">
        <v>648</v>
      </c>
      <c r="C4" s="105" t="s">
        <v>649</v>
      </c>
      <c r="D4" s="105"/>
      <c r="E4" s="7"/>
      <c r="F4" s="105"/>
      <c r="G4" s="105"/>
    </row>
    <row r="5" spans="1:7" ht="14.25" customHeight="1">
      <c r="A5" s="205" t="s">
        <v>346</v>
      </c>
      <c r="B5" s="231">
        <v>1549</v>
      </c>
      <c r="C5" s="231">
        <v>40718</v>
      </c>
      <c r="D5" s="206"/>
      <c r="E5" s="205"/>
      <c r="F5" s="226"/>
      <c r="G5" s="226"/>
    </row>
    <row r="6" spans="1:7" ht="14.25" customHeight="1">
      <c r="A6" s="205" t="s">
        <v>278</v>
      </c>
      <c r="B6" s="231">
        <v>388</v>
      </c>
      <c r="C6" s="231">
        <v>5049</v>
      </c>
      <c r="D6" s="206"/>
      <c r="E6" s="205"/>
      <c r="F6" s="226"/>
      <c r="G6" s="226"/>
    </row>
    <row r="7" spans="1:7" ht="14.25" customHeight="1">
      <c r="A7" s="205" t="s">
        <v>123</v>
      </c>
      <c r="B7" s="231">
        <v>250</v>
      </c>
      <c r="C7" s="231">
        <v>3058</v>
      </c>
      <c r="D7" s="205"/>
      <c r="E7" s="205"/>
      <c r="F7" s="226"/>
      <c r="G7" s="226"/>
    </row>
    <row r="8" spans="1:7" ht="14.25" customHeight="1">
      <c r="A8" s="205" t="s">
        <v>124</v>
      </c>
      <c r="B8" s="231">
        <v>274</v>
      </c>
      <c r="C8" s="231">
        <v>6433</v>
      </c>
      <c r="D8" s="206"/>
      <c r="E8" s="205"/>
      <c r="F8" s="226"/>
      <c r="G8" s="226"/>
    </row>
    <row r="9" spans="1:7" ht="14.25" customHeight="1">
      <c r="A9" s="205" t="s">
        <v>126</v>
      </c>
      <c r="B9" s="231">
        <v>1303</v>
      </c>
      <c r="C9" s="231">
        <v>23927</v>
      </c>
      <c r="D9" s="206"/>
      <c r="E9" s="205"/>
      <c r="F9" s="226"/>
      <c r="G9" s="226"/>
    </row>
    <row r="10" spans="1:7" ht="14.25" customHeight="1">
      <c r="A10" s="205" t="s">
        <v>127</v>
      </c>
      <c r="B10" s="231">
        <v>1096</v>
      </c>
      <c r="C10" s="231">
        <v>9771</v>
      </c>
      <c r="D10" s="206"/>
      <c r="E10" s="205"/>
      <c r="F10" s="226"/>
      <c r="G10" s="226"/>
    </row>
    <row r="11" spans="1:7" ht="14.25" customHeight="1">
      <c r="A11" s="205" t="s">
        <v>305</v>
      </c>
      <c r="B11" s="231">
        <v>154</v>
      </c>
      <c r="C11" s="231">
        <v>2224</v>
      </c>
      <c r="D11" s="206"/>
      <c r="E11" s="205"/>
      <c r="F11" s="226"/>
      <c r="G11" s="226"/>
    </row>
    <row r="12" spans="1:7" ht="14.25" customHeight="1">
      <c r="A12" s="205" t="s">
        <v>133</v>
      </c>
      <c r="B12" s="231">
        <v>6439</v>
      </c>
      <c r="C12" s="231">
        <v>95997</v>
      </c>
      <c r="D12" s="206"/>
      <c r="E12" s="205"/>
      <c r="F12" s="226"/>
      <c r="G12" s="226"/>
    </row>
    <row r="13" spans="1:7" ht="14.25" customHeight="1">
      <c r="A13" s="205" t="s">
        <v>137</v>
      </c>
      <c r="B13" s="231">
        <v>504</v>
      </c>
      <c r="C13" s="231">
        <v>18997</v>
      </c>
      <c r="D13" s="206"/>
      <c r="E13" s="205"/>
      <c r="F13" s="226"/>
      <c r="G13" s="226"/>
    </row>
    <row r="14" spans="1:7" ht="14.25" customHeight="1">
      <c r="A14" s="205" t="s">
        <v>139</v>
      </c>
      <c r="B14" s="231">
        <v>43</v>
      </c>
      <c r="C14" s="231">
        <v>329</v>
      </c>
      <c r="D14" s="206"/>
      <c r="E14" s="205"/>
      <c r="F14" s="226"/>
      <c r="G14" s="226"/>
    </row>
    <row r="15" spans="1:7" ht="14.25" customHeight="1">
      <c r="A15" s="205" t="s">
        <v>142</v>
      </c>
      <c r="B15" s="231">
        <v>334</v>
      </c>
      <c r="C15" s="231">
        <v>4760</v>
      </c>
      <c r="D15" s="205"/>
      <c r="E15" s="205"/>
      <c r="F15" s="226"/>
      <c r="G15" s="226"/>
    </row>
    <row r="16" spans="1:7" ht="14.25" customHeight="1">
      <c r="A16" s="205" t="s">
        <v>144</v>
      </c>
      <c r="B16" s="231">
        <v>595</v>
      </c>
      <c r="C16" s="231">
        <v>11877</v>
      </c>
      <c r="D16" s="205"/>
      <c r="E16" s="205"/>
      <c r="F16" s="226"/>
      <c r="G16" s="226"/>
    </row>
    <row r="17" spans="1:7" ht="14.25" customHeight="1">
      <c r="A17" s="205" t="s">
        <v>148</v>
      </c>
      <c r="B17" s="231">
        <v>1418</v>
      </c>
      <c r="C17" s="231">
        <v>33631</v>
      </c>
      <c r="D17" s="206"/>
      <c r="E17" s="205"/>
      <c r="F17" s="226"/>
      <c r="G17" s="226"/>
    </row>
    <row r="18" spans="1:7" ht="14.25" customHeight="1">
      <c r="A18" s="205" t="s">
        <v>149</v>
      </c>
      <c r="B18" s="231">
        <v>1286</v>
      </c>
      <c r="C18" s="231">
        <v>22200</v>
      </c>
      <c r="D18" s="206"/>
      <c r="E18" s="205"/>
      <c r="F18" s="226"/>
      <c r="G18" s="226"/>
    </row>
    <row r="19" spans="1:7" ht="14.25" customHeight="1">
      <c r="A19" s="205" t="s">
        <v>151</v>
      </c>
      <c r="B19" s="231">
        <v>742</v>
      </c>
      <c r="C19" s="231">
        <v>19833</v>
      </c>
      <c r="D19" s="206"/>
      <c r="E19" s="205"/>
      <c r="F19" s="226"/>
      <c r="G19" s="226"/>
    </row>
    <row r="20" spans="1:7" ht="14.25" customHeight="1">
      <c r="A20" s="205" t="s">
        <v>152</v>
      </c>
      <c r="B20" s="231">
        <v>7914</v>
      </c>
      <c r="C20" s="231">
        <v>102273</v>
      </c>
      <c r="D20" s="206"/>
      <c r="E20" s="205"/>
      <c r="F20" s="226"/>
      <c r="G20" s="226"/>
    </row>
    <row r="21" spans="1:7" ht="14.25" customHeight="1">
      <c r="A21" s="205" t="s">
        <v>154</v>
      </c>
      <c r="B21" s="231">
        <v>2428</v>
      </c>
      <c r="C21" s="231">
        <v>41933</v>
      </c>
      <c r="D21" s="206"/>
      <c r="E21" s="205"/>
      <c r="F21" s="226"/>
      <c r="G21" s="226"/>
    </row>
    <row r="22" spans="1:7" ht="14.25" customHeight="1">
      <c r="A22" s="205" t="s">
        <v>347</v>
      </c>
      <c r="B22" s="231">
        <v>2917</v>
      </c>
      <c r="C22" s="231">
        <v>35022</v>
      </c>
      <c r="D22" s="206"/>
      <c r="E22" s="205"/>
      <c r="F22" s="226"/>
      <c r="G22" s="226"/>
    </row>
    <row r="23" spans="1:7" ht="14.25" customHeight="1">
      <c r="A23" s="205" t="s">
        <v>312</v>
      </c>
      <c r="B23" s="231">
        <v>961</v>
      </c>
      <c r="C23" s="231">
        <v>16130</v>
      </c>
      <c r="D23" s="205"/>
      <c r="E23" s="205"/>
      <c r="F23" s="226"/>
      <c r="G23" s="226"/>
    </row>
    <row r="24" spans="1:7" ht="14.25" customHeight="1">
      <c r="A24" s="205" t="s">
        <v>155</v>
      </c>
      <c r="B24" s="231">
        <v>1417</v>
      </c>
      <c r="C24" s="231">
        <v>19114</v>
      </c>
      <c r="D24" s="206"/>
      <c r="E24" s="205"/>
      <c r="F24" s="226"/>
      <c r="G24" s="226"/>
    </row>
    <row r="25" spans="1:7" ht="14.25" customHeight="1">
      <c r="A25" s="205" t="s">
        <v>348</v>
      </c>
      <c r="B25" s="231">
        <v>1236</v>
      </c>
      <c r="C25" s="231">
        <v>17068</v>
      </c>
      <c r="D25" s="206"/>
      <c r="E25" s="205"/>
      <c r="F25" s="226"/>
      <c r="G25" s="226"/>
    </row>
    <row r="26" spans="1:7" ht="14.25" customHeight="1">
      <c r="A26" s="205" t="s">
        <v>158</v>
      </c>
      <c r="B26" s="231">
        <v>129</v>
      </c>
      <c r="C26" s="231">
        <v>1002</v>
      </c>
      <c r="D26" s="206"/>
      <c r="E26" s="205"/>
      <c r="F26" s="226"/>
      <c r="G26" s="226"/>
    </row>
    <row r="27" spans="1:7" ht="14.25" customHeight="1">
      <c r="A27" s="205" t="s">
        <v>160</v>
      </c>
      <c r="B27" s="231">
        <v>711</v>
      </c>
      <c r="C27" s="231">
        <v>16206</v>
      </c>
      <c r="D27" s="206"/>
      <c r="E27" s="205"/>
      <c r="F27" s="226"/>
      <c r="G27" s="226"/>
    </row>
    <row r="28" spans="1:7" ht="14.25" customHeight="1">
      <c r="A28" s="205" t="s">
        <v>165</v>
      </c>
      <c r="B28" s="231">
        <v>5538</v>
      </c>
      <c r="C28" s="231">
        <v>49475</v>
      </c>
      <c r="D28" s="205"/>
      <c r="E28" s="205"/>
      <c r="F28" s="226"/>
      <c r="G28" s="226"/>
    </row>
    <row r="29" spans="1:7" ht="14.25" customHeight="1">
      <c r="A29" s="205" t="s">
        <v>168</v>
      </c>
      <c r="B29" s="231">
        <v>330</v>
      </c>
      <c r="C29" s="231">
        <v>3111</v>
      </c>
      <c r="D29" s="206"/>
      <c r="E29" s="205"/>
      <c r="F29" s="226"/>
      <c r="G29" s="226"/>
    </row>
    <row r="30" spans="1:7" ht="14.25" customHeight="1">
      <c r="A30" s="205" t="s">
        <v>169</v>
      </c>
      <c r="B30" s="231">
        <v>645</v>
      </c>
      <c r="C30" s="231">
        <v>9191</v>
      </c>
      <c r="D30" s="206"/>
      <c r="E30" s="205"/>
      <c r="F30" s="226"/>
      <c r="G30" s="226"/>
    </row>
    <row r="31" spans="1:7" ht="14.25" customHeight="1">
      <c r="A31" s="205" t="s">
        <v>170</v>
      </c>
      <c r="B31" s="231">
        <v>3471</v>
      </c>
      <c r="C31" s="231">
        <v>40823</v>
      </c>
      <c r="D31" s="206"/>
      <c r="E31" s="205"/>
      <c r="F31" s="226"/>
      <c r="G31" s="226"/>
    </row>
    <row r="32" spans="1:7" ht="14.25" customHeight="1">
      <c r="A32" s="205" t="s">
        <v>173</v>
      </c>
      <c r="B32" s="231">
        <v>1435</v>
      </c>
      <c r="C32" s="231">
        <v>25922</v>
      </c>
      <c r="D32" s="206"/>
      <c r="E32" s="205"/>
      <c r="F32" s="226"/>
      <c r="G32" s="226"/>
    </row>
    <row r="33" spans="1:7" ht="14.25" customHeight="1">
      <c r="A33" s="205" t="s">
        <v>280</v>
      </c>
      <c r="B33" s="231">
        <v>348</v>
      </c>
      <c r="C33" s="231">
        <v>2026</v>
      </c>
      <c r="D33" s="206"/>
      <c r="E33" s="205"/>
      <c r="F33" s="226"/>
      <c r="G33" s="226"/>
    </row>
    <row r="34" spans="1:7" ht="14.25" customHeight="1">
      <c r="A34" s="205" t="s">
        <v>176</v>
      </c>
      <c r="B34" s="231">
        <v>646</v>
      </c>
      <c r="C34" s="231">
        <v>16567</v>
      </c>
      <c r="D34" s="206"/>
      <c r="E34" s="205"/>
      <c r="F34" s="226"/>
      <c r="G34" s="226"/>
    </row>
    <row r="35" spans="1:7" ht="14.25" customHeight="1">
      <c r="A35" s="205" t="s">
        <v>316</v>
      </c>
      <c r="B35" s="231">
        <v>88</v>
      </c>
      <c r="C35" s="231">
        <v>521</v>
      </c>
      <c r="D35" s="206"/>
      <c r="E35" s="205"/>
      <c r="F35" s="226"/>
      <c r="G35" s="226"/>
    </row>
    <row r="36" spans="1:7" ht="14.25" customHeight="1">
      <c r="A36" s="205" t="s">
        <v>179</v>
      </c>
      <c r="B36" s="231">
        <v>855</v>
      </c>
      <c r="C36" s="231">
        <v>10228</v>
      </c>
      <c r="D36" s="205"/>
      <c r="E36" s="205"/>
      <c r="F36" s="226"/>
      <c r="G36" s="226"/>
    </row>
    <row r="37" spans="1:7" ht="14.25" customHeight="1">
      <c r="A37" s="205" t="s">
        <v>182</v>
      </c>
      <c r="B37" s="231">
        <v>629</v>
      </c>
      <c r="C37" s="231">
        <v>12583</v>
      </c>
      <c r="D37" s="206"/>
      <c r="E37" s="205"/>
      <c r="F37" s="226"/>
      <c r="G37" s="226"/>
    </row>
    <row r="38" spans="1:7" ht="14.25" customHeight="1">
      <c r="A38" s="205" t="s">
        <v>317</v>
      </c>
      <c r="B38" s="231">
        <v>1024</v>
      </c>
      <c r="C38" s="231">
        <v>28625</v>
      </c>
      <c r="D38" s="206"/>
      <c r="E38" s="2"/>
      <c r="F38" s="226"/>
      <c r="G38" s="226"/>
    </row>
    <row r="39" spans="1:7" ht="14.25" customHeight="1">
      <c r="A39" s="205" t="s">
        <v>185</v>
      </c>
      <c r="B39" s="231">
        <v>404</v>
      </c>
      <c r="C39" s="231">
        <v>4099</v>
      </c>
      <c r="D39" s="206"/>
      <c r="E39" s="205"/>
      <c r="F39" s="226"/>
      <c r="G39" s="226"/>
    </row>
    <row r="40" spans="1:7" ht="14.25" customHeight="1">
      <c r="A40" s="205" t="s">
        <v>186</v>
      </c>
      <c r="B40" s="231">
        <v>1217</v>
      </c>
      <c r="C40" s="231">
        <v>17922</v>
      </c>
      <c r="D40" s="206"/>
      <c r="E40" s="205"/>
      <c r="F40" s="226"/>
      <c r="G40" s="226"/>
    </row>
    <row r="41" spans="1:7" ht="14.25" customHeight="1">
      <c r="A41" s="205" t="s">
        <v>282</v>
      </c>
      <c r="B41" s="231">
        <v>2223</v>
      </c>
      <c r="C41" s="231">
        <v>67613</v>
      </c>
      <c r="D41" s="205"/>
      <c r="E41" s="205"/>
      <c r="F41" s="226"/>
      <c r="G41" s="226"/>
    </row>
    <row r="42" spans="1:7" ht="14.25" customHeight="1">
      <c r="A42" s="205" t="s">
        <v>190</v>
      </c>
      <c r="B42" s="231">
        <v>335</v>
      </c>
      <c r="C42" s="231">
        <v>4745</v>
      </c>
      <c r="D42" s="206"/>
      <c r="E42" s="205"/>
      <c r="F42" s="226"/>
      <c r="G42" s="226"/>
    </row>
    <row r="43" spans="1:7" ht="14.25" customHeight="1">
      <c r="A43" s="205" t="s">
        <v>192</v>
      </c>
      <c r="B43" s="231">
        <v>125</v>
      </c>
      <c r="C43" s="231">
        <v>4109</v>
      </c>
      <c r="D43" s="206"/>
      <c r="E43" s="205"/>
      <c r="F43" s="226"/>
      <c r="G43" s="226"/>
    </row>
    <row r="44" spans="1:7" ht="14.25" customHeight="1">
      <c r="A44" s="205" t="s">
        <v>193</v>
      </c>
      <c r="B44" s="231">
        <v>354</v>
      </c>
      <c r="C44" s="231">
        <v>8092</v>
      </c>
      <c r="D44" s="206"/>
      <c r="E44" s="205"/>
      <c r="F44" s="226"/>
      <c r="G44" s="226"/>
    </row>
    <row r="45" spans="1:7" ht="14.25" customHeight="1">
      <c r="A45" s="205" t="s">
        <v>318</v>
      </c>
      <c r="B45" s="231">
        <v>864</v>
      </c>
      <c r="C45" s="231">
        <v>16513</v>
      </c>
      <c r="D45" s="206"/>
      <c r="E45" s="205"/>
      <c r="F45" s="226"/>
      <c r="G45" s="226"/>
    </row>
    <row r="46" spans="1:7" ht="14.25" customHeight="1">
      <c r="A46" s="205" t="s">
        <v>196</v>
      </c>
      <c r="B46" s="231">
        <v>232</v>
      </c>
      <c r="C46" s="231">
        <v>1893</v>
      </c>
      <c r="D46" s="206"/>
      <c r="E46" s="205"/>
      <c r="F46" s="226"/>
      <c r="G46" s="226"/>
    </row>
    <row r="47" spans="1:7" ht="14.25" customHeight="1">
      <c r="A47" s="205" t="s">
        <v>198</v>
      </c>
      <c r="B47" s="231">
        <v>2376</v>
      </c>
      <c r="C47" s="231">
        <v>32083</v>
      </c>
      <c r="D47" s="206"/>
      <c r="E47" s="205"/>
      <c r="F47" s="226"/>
      <c r="G47" s="226"/>
    </row>
    <row r="48" spans="1:7" ht="14.25" customHeight="1">
      <c r="A48" s="205" t="s">
        <v>199</v>
      </c>
      <c r="B48" s="231">
        <v>995</v>
      </c>
      <c r="C48" s="231">
        <v>25539</v>
      </c>
      <c r="D48" s="206"/>
      <c r="F48" s="15"/>
      <c r="G48" s="15"/>
    </row>
    <row r="49" spans="1:7" ht="14.25" customHeight="1">
      <c r="A49" s="205" t="s">
        <v>202</v>
      </c>
      <c r="B49" s="231">
        <v>522</v>
      </c>
      <c r="C49" s="231">
        <v>9413</v>
      </c>
      <c r="D49" s="206"/>
      <c r="E49" s="7"/>
      <c r="F49" s="15"/>
      <c r="G49" s="15"/>
    </row>
    <row r="50" spans="1:7" ht="14.25" customHeight="1">
      <c r="A50" s="205" t="s">
        <v>203</v>
      </c>
      <c r="B50" s="231">
        <v>2964</v>
      </c>
      <c r="C50" s="231">
        <v>61986</v>
      </c>
      <c r="D50" s="206"/>
      <c r="E50" s="7"/>
      <c r="F50" s="15"/>
      <c r="G50" s="15"/>
    </row>
    <row r="51" spans="1:7" ht="14.25" customHeight="1">
      <c r="A51" s="2" t="s">
        <v>319</v>
      </c>
      <c r="B51" s="231">
        <v>993</v>
      </c>
      <c r="C51" s="231">
        <v>14763</v>
      </c>
      <c r="D51" s="206"/>
      <c r="E51" s="7"/>
      <c r="F51" s="15"/>
      <c r="G51" s="15"/>
    </row>
    <row r="52" spans="1:7" ht="14.25" customHeight="1">
      <c r="A52" s="14" t="s">
        <v>206</v>
      </c>
      <c r="B52" s="14">
        <v>892</v>
      </c>
      <c r="C52" s="14">
        <v>14274</v>
      </c>
    </row>
    <row r="53" spans="1:7" ht="14.25" customHeight="1">
      <c r="A53" s="14" t="s">
        <v>207</v>
      </c>
      <c r="B53" s="14">
        <v>954</v>
      </c>
      <c r="C53" s="14">
        <v>12624</v>
      </c>
    </row>
    <row r="54" spans="1:7" ht="14.25" customHeight="1">
      <c r="A54" s="14" t="s">
        <v>208</v>
      </c>
      <c r="B54" s="14">
        <v>538</v>
      </c>
      <c r="C54" s="14">
        <v>6035</v>
      </c>
    </row>
    <row r="55" spans="1:7" ht="14.25" customHeight="1">
      <c r="A55" s="14" t="s">
        <v>210</v>
      </c>
      <c r="B55" s="14">
        <v>997</v>
      </c>
      <c r="C55" s="14">
        <v>22448</v>
      </c>
    </row>
    <row r="56" spans="1:7" ht="14.25" customHeight="1">
      <c r="A56" s="14" t="s">
        <v>349</v>
      </c>
      <c r="B56" s="14">
        <v>263</v>
      </c>
      <c r="C56" s="14">
        <v>2425</v>
      </c>
    </row>
    <row r="57" spans="1:7" ht="14.25" customHeight="1">
      <c r="A57" s="14" t="s">
        <v>213</v>
      </c>
      <c r="B57" s="14">
        <v>441</v>
      </c>
      <c r="C57" s="14">
        <v>6221</v>
      </c>
    </row>
    <row r="58" spans="1:7" ht="14.25" customHeight="1">
      <c r="A58" s="14" t="s">
        <v>357</v>
      </c>
      <c r="B58" s="14">
        <v>123</v>
      </c>
      <c r="C58" s="14">
        <v>1218</v>
      </c>
    </row>
    <row r="59" spans="1:7" ht="14.25" customHeight="1">
      <c r="A59" s="14" t="s">
        <v>218</v>
      </c>
      <c r="B59" s="14">
        <v>1930</v>
      </c>
      <c r="C59" s="14">
        <v>51587</v>
      </c>
    </row>
    <row r="60" spans="1:7" ht="14.25" customHeight="1">
      <c r="A60" s="14" t="s">
        <v>219</v>
      </c>
      <c r="B60" s="14">
        <v>887</v>
      </c>
      <c r="C60" s="14">
        <v>20552</v>
      </c>
    </row>
    <row r="61" spans="1:7" ht="14.25" customHeight="1">
      <c r="A61" s="14" t="s">
        <v>320</v>
      </c>
      <c r="B61" s="14">
        <v>457</v>
      </c>
      <c r="C61" s="14">
        <v>6573</v>
      </c>
    </row>
    <row r="62" spans="1:7" ht="14.25" customHeight="1">
      <c r="A62" s="14" t="s">
        <v>220</v>
      </c>
      <c r="B62" s="14">
        <v>3250</v>
      </c>
      <c r="C62" s="14">
        <v>56960</v>
      </c>
    </row>
    <row r="63" spans="1:7" ht="14.25" customHeight="1">
      <c r="A63" s="14" t="s">
        <v>283</v>
      </c>
      <c r="B63" s="14">
        <v>137</v>
      </c>
      <c r="C63" s="14">
        <v>3147</v>
      </c>
    </row>
    <row r="64" spans="1:7" ht="14.25" customHeight="1">
      <c r="A64" s="14" t="s">
        <v>223</v>
      </c>
      <c r="B64" s="14">
        <v>374</v>
      </c>
      <c r="C64" s="14">
        <v>6720</v>
      </c>
    </row>
    <row r="65" spans="1:3" ht="14.25" customHeight="1">
      <c r="A65" s="14" t="s">
        <v>224</v>
      </c>
      <c r="B65" s="14">
        <v>2051</v>
      </c>
      <c r="C65" s="14">
        <v>59231</v>
      </c>
    </row>
    <row r="66" spans="1:3" ht="14.25" customHeight="1">
      <c r="A66" s="14" t="s">
        <v>225</v>
      </c>
      <c r="B66" s="14">
        <v>518</v>
      </c>
      <c r="C66" s="14">
        <v>15326</v>
      </c>
    </row>
    <row r="67" spans="1:3" ht="14.25" customHeight="1">
      <c r="A67" s="14" t="s">
        <v>226</v>
      </c>
      <c r="B67" s="14">
        <v>733</v>
      </c>
      <c r="C67" s="14">
        <v>19786</v>
      </c>
    </row>
    <row r="68" spans="1:3" ht="14.25" customHeight="1">
      <c r="A68" s="14" t="s">
        <v>228</v>
      </c>
      <c r="B68" s="14">
        <v>440</v>
      </c>
      <c r="C68" s="14">
        <v>6350</v>
      </c>
    </row>
    <row r="69" spans="1:3" ht="14.25" customHeight="1">
      <c r="A69" s="14" t="s">
        <v>229</v>
      </c>
      <c r="B69" s="14">
        <v>2042</v>
      </c>
      <c r="C69" s="14">
        <v>39208</v>
      </c>
    </row>
    <row r="70" spans="1:3" ht="14.25" customHeight="1">
      <c r="A70" s="14" t="s">
        <v>322</v>
      </c>
      <c r="B70" s="14">
        <v>4056</v>
      </c>
      <c r="C70" s="14">
        <v>46417</v>
      </c>
    </row>
    <row r="71" spans="1:3" ht="14.25" customHeight="1">
      <c r="A71" s="14" t="s">
        <v>323</v>
      </c>
      <c r="B71" s="14">
        <v>1010</v>
      </c>
      <c r="C71" s="14">
        <v>8778</v>
      </c>
    </row>
    <row r="72" spans="1:3" ht="14.25" customHeight="1">
      <c r="A72" s="14" t="s">
        <v>350</v>
      </c>
      <c r="B72" s="14">
        <v>3028</v>
      </c>
      <c r="C72" s="14">
        <v>48463</v>
      </c>
    </row>
    <row r="73" spans="1:3" ht="14.25" customHeight="1">
      <c r="A73" s="14" t="s">
        <v>284</v>
      </c>
      <c r="B73" s="14">
        <v>1833</v>
      </c>
      <c r="C73" s="14">
        <v>46859</v>
      </c>
    </row>
    <row r="74" spans="1:3" ht="14.25" customHeight="1">
      <c r="A74" s="14" t="s">
        <v>232</v>
      </c>
      <c r="B74" s="14">
        <v>1407</v>
      </c>
      <c r="C74" s="14">
        <v>25275</v>
      </c>
    </row>
    <row r="75" spans="1:3" ht="14.25" customHeight="1">
      <c r="A75" s="14" t="s">
        <v>233</v>
      </c>
      <c r="B75" s="14">
        <v>624</v>
      </c>
      <c r="C75" s="14">
        <v>11542</v>
      </c>
    </row>
    <row r="76" spans="1:3" ht="14.25" customHeight="1">
      <c r="A76" s="14" t="s">
        <v>234</v>
      </c>
      <c r="B76" s="14">
        <v>1108</v>
      </c>
      <c r="C76" s="14">
        <v>16529</v>
      </c>
    </row>
    <row r="77" spans="1:3" ht="14.25" customHeight="1">
      <c r="A77" s="14" t="s">
        <v>236</v>
      </c>
      <c r="B77" s="14">
        <v>549</v>
      </c>
      <c r="C77" s="14">
        <v>8087</v>
      </c>
    </row>
    <row r="78" spans="1:3" ht="14.25" customHeight="1">
      <c r="A78" s="14" t="s">
        <v>238</v>
      </c>
      <c r="B78" s="14">
        <v>541</v>
      </c>
      <c r="C78" s="14">
        <v>6701</v>
      </c>
    </row>
    <row r="79" spans="1:3" ht="14.25" customHeight="1">
      <c r="A79" s="14" t="s">
        <v>239</v>
      </c>
      <c r="B79" s="14">
        <v>1890</v>
      </c>
      <c r="C79" s="14">
        <v>66725</v>
      </c>
    </row>
    <row r="80" spans="1:3" ht="14.25" customHeight="1">
      <c r="A80" s="14" t="s">
        <v>351</v>
      </c>
      <c r="B80" s="14">
        <v>824</v>
      </c>
      <c r="C80" s="14">
        <v>26380</v>
      </c>
    </row>
    <row r="81" spans="1:3" ht="14.25" customHeight="1">
      <c r="A81" s="14" t="s">
        <v>244</v>
      </c>
      <c r="B81" s="14">
        <v>66</v>
      </c>
      <c r="C81" s="14">
        <v>368</v>
      </c>
    </row>
    <row r="82" spans="1:3" ht="14.25" customHeight="1">
      <c r="A82" s="14" t="s">
        <v>326</v>
      </c>
      <c r="B82" s="14">
        <v>866</v>
      </c>
      <c r="C82" s="14">
        <v>8162</v>
      </c>
    </row>
    <row r="83" spans="1:3" ht="14.25" customHeight="1">
      <c r="A83" s="14" t="s">
        <v>247</v>
      </c>
      <c r="B83" s="14">
        <v>431</v>
      </c>
      <c r="C83" s="14">
        <v>4017</v>
      </c>
    </row>
    <row r="84" spans="1:3" ht="14.25" customHeight="1">
      <c r="A84" s="14" t="s">
        <v>249</v>
      </c>
      <c r="B84" s="14">
        <v>685</v>
      </c>
      <c r="C84" s="14">
        <v>17026</v>
      </c>
    </row>
    <row r="85" spans="1:3" ht="14.25" customHeight="1">
      <c r="A85" s="14" t="s">
        <v>254</v>
      </c>
      <c r="B85" s="14">
        <v>1171</v>
      </c>
      <c r="C85" s="14">
        <v>29764</v>
      </c>
    </row>
    <row r="86" spans="1:3" ht="14.25" customHeight="1">
      <c r="A86" s="14" t="s">
        <v>256</v>
      </c>
      <c r="B86" s="14">
        <v>496</v>
      </c>
      <c r="C86" s="14">
        <v>6562</v>
      </c>
    </row>
    <row r="87" spans="1:3" ht="14.25" customHeight="1">
      <c r="A87" s="14" t="s">
        <v>327</v>
      </c>
      <c r="B87" s="14">
        <v>1268</v>
      </c>
      <c r="C87" s="14">
        <v>22452</v>
      </c>
    </row>
    <row r="88" spans="1:3" ht="14.25" customHeight="1">
      <c r="A88" s="14" t="s">
        <v>257</v>
      </c>
      <c r="B88" s="14">
        <v>1637</v>
      </c>
      <c r="C88" s="14">
        <v>22352</v>
      </c>
    </row>
    <row r="89" spans="1:3" ht="14.25" customHeight="1">
      <c r="A89" s="14" t="s">
        <v>258</v>
      </c>
      <c r="B89" s="14">
        <v>763</v>
      </c>
      <c r="C89" s="14">
        <v>8824</v>
      </c>
    </row>
    <row r="90" spans="1:3" ht="14.25" customHeight="1">
      <c r="A90" s="14" t="s">
        <v>285</v>
      </c>
      <c r="B90" s="14">
        <v>387</v>
      </c>
      <c r="C90" s="14">
        <v>6447</v>
      </c>
    </row>
    <row r="91" spans="1:3" ht="14.25" customHeight="1">
      <c r="A91" s="14" t="s">
        <v>260</v>
      </c>
      <c r="B91" s="14">
        <v>2356</v>
      </c>
      <c r="C91" s="14">
        <v>63158</v>
      </c>
    </row>
    <row r="92" spans="1:3" ht="14.25" customHeight="1">
      <c r="A92" s="14" t="s">
        <v>261</v>
      </c>
      <c r="B92" s="14">
        <v>1180</v>
      </c>
      <c r="C92" s="14">
        <v>19063</v>
      </c>
    </row>
    <row r="93" spans="1:3" ht="14.25" customHeight="1">
      <c r="A93" s="14" t="s">
        <v>286</v>
      </c>
      <c r="B93" s="14">
        <v>248</v>
      </c>
      <c r="C93" s="14">
        <v>2724</v>
      </c>
    </row>
    <row r="94" spans="1:3" ht="14.25" customHeight="1">
      <c r="A94" s="14"/>
      <c r="B94" s="14"/>
      <c r="C94" s="14"/>
    </row>
    <row r="95" spans="1:3" ht="14.25" customHeight="1">
      <c r="A95" s="15" t="s">
        <v>105</v>
      </c>
      <c r="B95" s="15">
        <v>855</v>
      </c>
      <c r="C95" s="15">
        <v>16130</v>
      </c>
    </row>
    <row r="96" spans="1:3" ht="14.25" customHeight="1">
      <c r="A96" s="15" t="s">
        <v>104</v>
      </c>
      <c r="B96" s="15">
        <v>1215.1910112359551</v>
      </c>
      <c r="C96" s="15">
        <v>21221.955056179777</v>
      </c>
    </row>
    <row r="97" spans="1:3" ht="14.25" customHeight="1">
      <c r="A97" s="15" t="s">
        <v>329</v>
      </c>
      <c r="B97" s="15">
        <v>108152</v>
      </c>
      <c r="C97" s="15">
        <v>1888754</v>
      </c>
    </row>
    <row r="98" spans="1:3" ht="14.25" customHeight="1">
      <c r="A98" s="15"/>
      <c r="B98" s="15"/>
      <c r="C98" s="15"/>
    </row>
  </sheetData>
  <sortState xmlns:xlrd2="http://schemas.microsoft.com/office/spreadsheetml/2017/richdata2" ref="E5:G47">
    <sortCondition ref="E5:E47"/>
  </sortState>
  <conditionalFormatting sqref="F5:G47 B5:C51">
    <cfRule type="cellIs" dxfId="17" priority="1" operator="lessThan">
      <formula>0</formula>
    </cfRule>
    <cfRule type="cellIs" dxfId="16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6" orientation="portrait" r:id="rId1"/>
  <headerFooter alignWithMargins="0">
    <oddFooter>&amp;L&amp;9Public Library Statistics 2022–23&amp;C&amp;9&amp;P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535-E965-4379-AF54-F40664707C62}">
  <sheetPr>
    <pageSetUpPr fitToPage="1"/>
  </sheetPr>
  <dimension ref="A1:G98"/>
  <sheetViews>
    <sheetView zoomScaleNormal="100" workbookViewId="0">
      <selection activeCell="E12" sqref="E12"/>
    </sheetView>
  </sheetViews>
  <sheetFormatPr defaultColWidth="20.28515625" defaultRowHeight="12.75"/>
  <cols>
    <col min="1" max="16384" width="20.28515625" style="383"/>
  </cols>
  <sheetData>
    <row r="1" spans="1:7" ht="16.5" customHeight="1">
      <c r="A1" s="381" t="s">
        <v>650</v>
      </c>
    </row>
    <row r="2" spans="1:7" ht="12.75" customHeight="1">
      <c r="A2" s="384" t="s">
        <v>651</v>
      </c>
    </row>
    <row r="4" spans="1:7" ht="27.75" customHeight="1">
      <c r="A4" s="392"/>
      <c r="B4" s="387" t="s">
        <v>652</v>
      </c>
      <c r="C4" s="387" t="s">
        <v>653</v>
      </c>
      <c r="D4" s="387"/>
      <c r="E4" s="392"/>
      <c r="F4" s="387"/>
      <c r="G4" s="387"/>
    </row>
    <row r="5" spans="1:7" ht="14.25" customHeight="1">
      <c r="A5" s="393" t="s">
        <v>346</v>
      </c>
      <c r="B5" s="248">
        <v>4</v>
      </c>
      <c r="C5" s="248">
        <v>221</v>
      </c>
      <c r="D5" s="394"/>
      <c r="E5" s="393"/>
      <c r="F5" s="192"/>
      <c r="G5" s="192"/>
    </row>
    <row r="6" spans="1:7" ht="14.25" customHeight="1">
      <c r="A6" s="393" t="s">
        <v>278</v>
      </c>
      <c r="B6" s="248">
        <v>10</v>
      </c>
      <c r="C6" s="248">
        <v>122</v>
      </c>
      <c r="D6" s="393"/>
      <c r="E6" s="393"/>
      <c r="F6" s="192"/>
      <c r="G6" s="192"/>
    </row>
    <row r="7" spans="1:7" ht="14.25" customHeight="1">
      <c r="A7" s="393" t="s">
        <v>123</v>
      </c>
      <c r="B7" s="248">
        <v>0</v>
      </c>
      <c r="C7" s="248">
        <v>0</v>
      </c>
      <c r="D7" s="393"/>
      <c r="E7" s="393"/>
      <c r="F7" s="192"/>
      <c r="G7" s="192"/>
    </row>
    <row r="8" spans="1:7" ht="14.25" customHeight="1">
      <c r="A8" s="393" t="s">
        <v>124</v>
      </c>
      <c r="B8" s="248">
        <v>0</v>
      </c>
      <c r="C8" s="248">
        <v>0</v>
      </c>
      <c r="D8" s="394"/>
      <c r="E8" s="393"/>
      <c r="F8" s="192"/>
      <c r="G8" s="192"/>
    </row>
    <row r="9" spans="1:7" ht="14.25" customHeight="1">
      <c r="A9" s="393" t="s">
        <v>126</v>
      </c>
      <c r="B9" s="248">
        <v>0</v>
      </c>
      <c r="C9" s="248">
        <v>0</v>
      </c>
      <c r="D9" s="394"/>
      <c r="E9" s="393"/>
      <c r="F9" s="192"/>
      <c r="G9" s="192"/>
    </row>
    <row r="10" spans="1:7" ht="14.25" customHeight="1">
      <c r="A10" s="393" t="s">
        <v>127</v>
      </c>
      <c r="B10" s="248">
        <v>0</v>
      </c>
      <c r="C10" s="248">
        <v>0</v>
      </c>
      <c r="D10" s="394"/>
      <c r="E10" s="393"/>
      <c r="F10" s="192"/>
      <c r="G10" s="192"/>
    </row>
    <row r="11" spans="1:7" ht="14.25" customHeight="1">
      <c r="A11" s="393" t="s">
        <v>305</v>
      </c>
      <c r="B11" s="248">
        <v>13</v>
      </c>
      <c r="C11" s="248">
        <v>17857</v>
      </c>
      <c r="D11" s="393"/>
      <c r="E11" s="393"/>
      <c r="F11" s="192"/>
      <c r="G11" s="192"/>
    </row>
    <row r="12" spans="1:7" ht="14.25" customHeight="1">
      <c r="A12" s="393" t="s">
        <v>133</v>
      </c>
      <c r="B12" s="248">
        <v>0</v>
      </c>
      <c r="C12" s="248">
        <v>0</v>
      </c>
      <c r="D12" s="393"/>
      <c r="E12" s="393"/>
      <c r="F12" s="192"/>
      <c r="G12" s="192"/>
    </row>
    <row r="13" spans="1:7" ht="14.25" customHeight="1">
      <c r="A13" s="393" t="s">
        <v>137</v>
      </c>
      <c r="B13" s="248">
        <v>6</v>
      </c>
      <c r="C13" s="248">
        <v>45</v>
      </c>
      <c r="D13" s="393"/>
      <c r="E13" s="393"/>
      <c r="F13" s="192"/>
      <c r="G13" s="192"/>
    </row>
    <row r="14" spans="1:7" ht="14.25" customHeight="1">
      <c r="A14" s="393" t="s">
        <v>139</v>
      </c>
      <c r="B14" s="248">
        <v>0</v>
      </c>
      <c r="C14" s="248">
        <v>0</v>
      </c>
      <c r="D14" s="394"/>
      <c r="E14" s="393"/>
      <c r="F14" s="192"/>
      <c r="G14" s="192"/>
    </row>
    <row r="15" spans="1:7" ht="14.25" customHeight="1">
      <c r="A15" s="393" t="s">
        <v>142</v>
      </c>
      <c r="B15" s="248">
        <v>1</v>
      </c>
      <c r="C15" s="248">
        <v>15</v>
      </c>
      <c r="D15" s="394"/>
      <c r="E15" s="393"/>
      <c r="F15" s="192"/>
      <c r="G15" s="192"/>
    </row>
    <row r="16" spans="1:7" ht="14.25" customHeight="1">
      <c r="A16" s="393" t="s">
        <v>144</v>
      </c>
      <c r="B16" s="248">
        <v>0</v>
      </c>
      <c r="C16" s="248">
        <v>0</v>
      </c>
      <c r="D16" s="393"/>
      <c r="E16" s="393"/>
      <c r="F16" s="192"/>
      <c r="G16" s="192"/>
    </row>
    <row r="17" spans="1:7" ht="14.25" customHeight="1">
      <c r="A17" s="393" t="s">
        <v>148</v>
      </c>
      <c r="B17" s="248">
        <v>72</v>
      </c>
      <c r="C17" s="248">
        <v>376</v>
      </c>
      <c r="D17" s="394"/>
      <c r="E17" s="393"/>
      <c r="F17" s="192"/>
      <c r="G17" s="192"/>
    </row>
    <row r="18" spans="1:7" ht="14.25" customHeight="1">
      <c r="A18" s="393" t="s">
        <v>149</v>
      </c>
      <c r="B18" s="248">
        <v>0</v>
      </c>
      <c r="C18" s="248">
        <v>0</v>
      </c>
      <c r="D18" s="394"/>
      <c r="E18" s="393"/>
      <c r="F18" s="192"/>
      <c r="G18" s="192"/>
    </row>
    <row r="19" spans="1:7" ht="14.25" customHeight="1">
      <c r="A19" s="393" t="s">
        <v>151</v>
      </c>
      <c r="B19" s="248">
        <v>0</v>
      </c>
      <c r="C19" s="248">
        <v>0</v>
      </c>
      <c r="D19" s="394"/>
      <c r="E19" s="393"/>
      <c r="F19" s="192"/>
      <c r="G19" s="192"/>
    </row>
    <row r="20" spans="1:7" ht="14.25" customHeight="1">
      <c r="A20" s="393" t="s">
        <v>152</v>
      </c>
      <c r="B20" s="248">
        <v>4</v>
      </c>
      <c r="C20" s="248">
        <v>66</v>
      </c>
      <c r="D20" s="394"/>
      <c r="E20" s="393"/>
      <c r="F20" s="192"/>
      <c r="G20" s="192"/>
    </row>
    <row r="21" spans="1:7" ht="14.25" customHeight="1">
      <c r="A21" s="393" t="s">
        <v>154</v>
      </c>
      <c r="B21" s="248">
        <v>302</v>
      </c>
      <c r="C21" s="248">
        <v>37446</v>
      </c>
      <c r="D21" s="394"/>
      <c r="E21" s="393"/>
      <c r="F21" s="192"/>
      <c r="G21" s="192"/>
    </row>
    <row r="22" spans="1:7" ht="14.25" customHeight="1">
      <c r="A22" s="393" t="s">
        <v>347</v>
      </c>
      <c r="B22" s="248">
        <v>0</v>
      </c>
      <c r="C22" s="248">
        <v>0</v>
      </c>
      <c r="D22" s="394"/>
      <c r="E22" s="393"/>
      <c r="F22" s="192"/>
      <c r="G22" s="192"/>
    </row>
    <row r="23" spans="1:7" ht="14.25" customHeight="1">
      <c r="A23" s="393" t="s">
        <v>312</v>
      </c>
      <c r="B23" s="248">
        <v>1</v>
      </c>
      <c r="C23" s="248">
        <v>50</v>
      </c>
      <c r="D23" s="393"/>
      <c r="E23" s="393"/>
      <c r="F23" s="192"/>
      <c r="G23" s="192"/>
    </row>
    <row r="24" spans="1:7" ht="14.25" customHeight="1">
      <c r="A24" s="393" t="s">
        <v>155</v>
      </c>
      <c r="B24" s="248">
        <v>0</v>
      </c>
      <c r="C24" s="248">
        <v>0</v>
      </c>
      <c r="D24" s="394"/>
      <c r="E24" s="393"/>
      <c r="F24" s="192"/>
      <c r="G24" s="192"/>
    </row>
    <row r="25" spans="1:7" ht="14.25" customHeight="1">
      <c r="A25" s="393" t="s">
        <v>348</v>
      </c>
      <c r="B25" s="248">
        <v>0</v>
      </c>
      <c r="C25" s="248">
        <v>0</v>
      </c>
      <c r="D25" s="393"/>
      <c r="E25" s="393"/>
      <c r="F25" s="192"/>
      <c r="G25" s="192"/>
    </row>
    <row r="26" spans="1:7" ht="14.25" customHeight="1">
      <c r="A26" s="393" t="s">
        <v>158</v>
      </c>
      <c r="B26" s="248">
        <v>9</v>
      </c>
      <c r="C26" s="248">
        <v>94</v>
      </c>
      <c r="D26" s="394"/>
      <c r="E26" s="393"/>
      <c r="F26" s="192"/>
      <c r="G26" s="192"/>
    </row>
    <row r="27" spans="1:7" ht="14.25" customHeight="1">
      <c r="A27" s="393" t="s">
        <v>160</v>
      </c>
      <c r="B27" s="248">
        <v>0</v>
      </c>
      <c r="C27" s="248">
        <v>0</v>
      </c>
      <c r="D27" s="394"/>
      <c r="E27" s="393"/>
      <c r="F27" s="192"/>
      <c r="G27" s="192"/>
    </row>
    <row r="28" spans="1:7" ht="14.25" customHeight="1">
      <c r="A28" s="393" t="s">
        <v>165</v>
      </c>
      <c r="B28" s="248">
        <v>0</v>
      </c>
      <c r="C28" s="248">
        <v>0</v>
      </c>
      <c r="D28" s="393"/>
      <c r="E28" s="393"/>
      <c r="F28" s="192"/>
      <c r="G28" s="192"/>
    </row>
    <row r="29" spans="1:7" ht="14.25" customHeight="1">
      <c r="A29" s="393" t="s">
        <v>168</v>
      </c>
      <c r="B29" s="248">
        <v>11</v>
      </c>
      <c r="C29" s="248">
        <v>233</v>
      </c>
      <c r="D29" s="394"/>
      <c r="E29" s="393"/>
      <c r="F29" s="192"/>
      <c r="G29" s="192"/>
    </row>
    <row r="30" spans="1:7" ht="14.25" customHeight="1">
      <c r="A30" s="393" t="s">
        <v>169</v>
      </c>
      <c r="B30" s="248">
        <v>1</v>
      </c>
      <c r="C30" s="248">
        <v>5</v>
      </c>
      <c r="D30" s="394"/>
      <c r="E30" s="393"/>
      <c r="F30" s="192"/>
      <c r="G30" s="192"/>
    </row>
    <row r="31" spans="1:7" ht="14.25" customHeight="1">
      <c r="A31" s="393" t="s">
        <v>170</v>
      </c>
      <c r="B31" s="248">
        <v>4</v>
      </c>
      <c r="C31" s="248">
        <v>63</v>
      </c>
      <c r="D31" s="393"/>
      <c r="E31" s="393"/>
      <c r="F31" s="192"/>
      <c r="G31" s="192"/>
    </row>
    <row r="32" spans="1:7" ht="14.25" customHeight="1">
      <c r="A32" s="393" t="s">
        <v>173</v>
      </c>
      <c r="B32" s="248">
        <v>28</v>
      </c>
      <c r="C32" s="248">
        <v>42</v>
      </c>
      <c r="D32" s="394"/>
      <c r="E32" s="393"/>
      <c r="F32" s="192"/>
      <c r="G32" s="192"/>
    </row>
    <row r="33" spans="1:7" ht="14.25" customHeight="1">
      <c r="A33" s="393" t="s">
        <v>280</v>
      </c>
      <c r="B33" s="248">
        <v>0</v>
      </c>
      <c r="C33" s="248">
        <v>0</v>
      </c>
      <c r="D33" s="394"/>
      <c r="E33" s="393"/>
      <c r="F33" s="192"/>
      <c r="G33" s="192"/>
    </row>
    <row r="34" spans="1:7" ht="14.25" customHeight="1">
      <c r="A34" s="393" t="s">
        <v>176</v>
      </c>
      <c r="B34" s="248">
        <v>0</v>
      </c>
      <c r="C34" s="248">
        <v>0</v>
      </c>
      <c r="D34" s="394"/>
      <c r="E34" s="393"/>
      <c r="F34" s="192"/>
      <c r="G34" s="192"/>
    </row>
    <row r="35" spans="1:7" ht="14.25" customHeight="1">
      <c r="A35" s="393" t="s">
        <v>316</v>
      </c>
      <c r="B35" s="248">
        <v>0</v>
      </c>
      <c r="C35" s="248">
        <v>0</v>
      </c>
      <c r="D35" s="393"/>
      <c r="E35" s="393"/>
      <c r="F35" s="192"/>
      <c r="G35" s="192"/>
    </row>
    <row r="36" spans="1:7" ht="14.25" customHeight="1">
      <c r="A36" s="393" t="s">
        <v>179</v>
      </c>
      <c r="B36" s="248">
        <v>13</v>
      </c>
      <c r="C36" s="248">
        <v>252</v>
      </c>
      <c r="D36" s="393"/>
      <c r="E36" s="393"/>
      <c r="F36" s="192"/>
      <c r="G36" s="192"/>
    </row>
    <row r="37" spans="1:7" ht="14.25" customHeight="1">
      <c r="A37" s="393" t="s">
        <v>182</v>
      </c>
      <c r="B37" s="248">
        <v>0</v>
      </c>
      <c r="C37" s="248">
        <v>0</v>
      </c>
      <c r="D37" s="393"/>
      <c r="E37" s="393"/>
      <c r="F37" s="192"/>
      <c r="G37" s="192"/>
    </row>
    <row r="38" spans="1:7" ht="14.25" customHeight="1">
      <c r="A38" s="393" t="s">
        <v>317</v>
      </c>
      <c r="B38" s="248">
        <v>0</v>
      </c>
      <c r="C38" s="248">
        <v>0</v>
      </c>
      <c r="D38" s="394"/>
      <c r="E38" s="141"/>
      <c r="F38" s="192"/>
      <c r="G38" s="192"/>
    </row>
    <row r="39" spans="1:7" ht="14.25" customHeight="1">
      <c r="A39" s="393" t="s">
        <v>185</v>
      </c>
      <c r="B39" s="248">
        <v>0</v>
      </c>
      <c r="C39" s="248">
        <v>0</v>
      </c>
      <c r="D39" s="394"/>
      <c r="E39" s="393"/>
      <c r="F39" s="192"/>
      <c r="G39" s="192"/>
    </row>
    <row r="40" spans="1:7" ht="14.25" customHeight="1">
      <c r="A40" s="393" t="s">
        <v>186</v>
      </c>
      <c r="B40" s="248">
        <v>6</v>
      </c>
      <c r="C40" s="248">
        <v>2598</v>
      </c>
      <c r="D40" s="393"/>
      <c r="E40" s="393"/>
      <c r="F40" s="192"/>
      <c r="G40" s="192"/>
    </row>
    <row r="41" spans="1:7" ht="14.25" customHeight="1">
      <c r="A41" s="393" t="s">
        <v>282</v>
      </c>
      <c r="B41" s="248">
        <v>0</v>
      </c>
      <c r="C41" s="248">
        <v>0</v>
      </c>
      <c r="D41" s="394"/>
      <c r="E41" s="393"/>
      <c r="F41" s="192"/>
      <c r="G41" s="192"/>
    </row>
    <row r="42" spans="1:7" ht="14.25" customHeight="1">
      <c r="A42" s="393" t="s">
        <v>190</v>
      </c>
      <c r="B42" s="248">
        <v>0</v>
      </c>
      <c r="C42" s="248">
        <v>0</v>
      </c>
      <c r="D42" s="394"/>
      <c r="E42" s="393"/>
      <c r="F42" s="192"/>
      <c r="G42" s="192"/>
    </row>
    <row r="43" spans="1:7" ht="14.25" customHeight="1">
      <c r="A43" s="393" t="s">
        <v>192</v>
      </c>
      <c r="B43" s="248">
        <v>4</v>
      </c>
      <c r="C43" s="248">
        <v>1208</v>
      </c>
      <c r="D43" s="393"/>
      <c r="E43" s="393"/>
      <c r="F43" s="192"/>
      <c r="G43" s="192"/>
    </row>
    <row r="44" spans="1:7" ht="14.25" customHeight="1">
      <c r="A44" s="393" t="s">
        <v>193</v>
      </c>
      <c r="B44" s="248">
        <v>0</v>
      </c>
      <c r="C44" s="248">
        <v>0</v>
      </c>
      <c r="D44" s="393"/>
      <c r="E44" s="393"/>
      <c r="F44" s="192"/>
      <c r="G44" s="192"/>
    </row>
    <row r="45" spans="1:7" ht="14.25" customHeight="1">
      <c r="A45" s="393" t="s">
        <v>318</v>
      </c>
      <c r="B45" s="248">
        <v>0</v>
      </c>
      <c r="C45" s="248">
        <v>0</v>
      </c>
      <c r="D45" s="393"/>
      <c r="E45" s="393"/>
      <c r="F45" s="192"/>
      <c r="G45" s="192"/>
    </row>
    <row r="46" spans="1:7" ht="14.25" customHeight="1">
      <c r="A46" s="393" t="s">
        <v>196</v>
      </c>
      <c r="B46" s="248">
        <v>0</v>
      </c>
      <c r="C46" s="248">
        <v>0</v>
      </c>
      <c r="D46" s="394"/>
      <c r="E46" s="393"/>
      <c r="F46" s="192"/>
      <c r="G46" s="192"/>
    </row>
    <row r="47" spans="1:7" ht="14.25" customHeight="1">
      <c r="A47" s="393" t="s">
        <v>198</v>
      </c>
      <c r="B47" s="248">
        <v>13</v>
      </c>
      <c r="C47" s="248">
        <v>279</v>
      </c>
      <c r="D47" s="394"/>
      <c r="E47" s="393"/>
      <c r="F47" s="393"/>
      <c r="G47" s="393"/>
    </row>
    <row r="48" spans="1:7" ht="14.25" customHeight="1">
      <c r="A48" s="393" t="s">
        <v>199</v>
      </c>
      <c r="B48" s="248">
        <v>0</v>
      </c>
      <c r="C48" s="248">
        <v>0</v>
      </c>
      <c r="D48" s="394"/>
      <c r="F48" s="301"/>
    </row>
    <row r="49" spans="1:7" ht="14.25" customHeight="1">
      <c r="A49" s="393" t="s">
        <v>202</v>
      </c>
      <c r="B49" s="248">
        <v>0</v>
      </c>
      <c r="C49" s="248">
        <v>0</v>
      </c>
      <c r="D49" s="394"/>
      <c r="E49" s="392"/>
      <c r="F49" s="301"/>
      <c r="G49" s="301"/>
    </row>
    <row r="50" spans="1:7" ht="14.25" customHeight="1">
      <c r="A50" s="393" t="s">
        <v>203</v>
      </c>
      <c r="B50" s="248"/>
      <c r="C50" s="248"/>
      <c r="D50" s="393"/>
      <c r="E50" s="392"/>
      <c r="F50" s="301"/>
      <c r="G50" s="301"/>
    </row>
    <row r="51" spans="1:7" ht="14.25" customHeight="1">
      <c r="A51" s="141" t="s">
        <v>319</v>
      </c>
      <c r="B51" s="248">
        <v>0</v>
      </c>
      <c r="C51" s="248">
        <v>0</v>
      </c>
      <c r="D51" s="394"/>
      <c r="E51" s="392"/>
      <c r="F51" s="301"/>
      <c r="G51" s="301"/>
    </row>
    <row r="52" spans="1:7">
      <c r="A52" s="300" t="s">
        <v>206</v>
      </c>
      <c r="B52" s="300">
        <v>0</v>
      </c>
      <c r="C52" s="300">
        <v>0</v>
      </c>
    </row>
    <row r="53" spans="1:7">
      <c r="A53" s="300" t="s">
        <v>207</v>
      </c>
      <c r="B53" s="300">
        <v>0</v>
      </c>
      <c r="C53" s="300">
        <v>0</v>
      </c>
    </row>
    <row r="54" spans="1:7">
      <c r="A54" s="300" t="s">
        <v>208</v>
      </c>
      <c r="B54" s="300">
        <v>0</v>
      </c>
      <c r="C54" s="300">
        <v>0</v>
      </c>
    </row>
    <row r="55" spans="1:7">
      <c r="A55" s="300" t="s">
        <v>210</v>
      </c>
      <c r="B55" s="300">
        <v>0</v>
      </c>
      <c r="C55" s="300">
        <v>0</v>
      </c>
    </row>
    <row r="56" spans="1:7">
      <c r="A56" s="300" t="s">
        <v>349</v>
      </c>
      <c r="B56" s="300">
        <v>0</v>
      </c>
      <c r="C56" s="300">
        <v>0</v>
      </c>
    </row>
    <row r="57" spans="1:7">
      <c r="A57" s="300" t="s">
        <v>213</v>
      </c>
      <c r="B57" s="300">
        <v>0</v>
      </c>
      <c r="C57" s="300">
        <v>0</v>
      </c>
    </row>
    <row r="58" spans="1:7">
      <c r="A58" s="300" t="s">
        <v>357</v>
      </c>
      <c r="B58" s="300">
        <v>0</v>
      </c>
      <c r="C58" s="300">
        <v>0</v>
      </c>
    </row>
    <row r="59" spans="1:7">
      <c r="A59" s="300" t="s">
        <v>218</v>
      </c>
      <c r="B59" s="300">
        <v>0</v>
      </c>
      <c r="C59" s="300">
        <v>0</v>
      </c>
    </row>
    <row r="60" spans="1:7">
      <c r="A60" s="300" t="s">
        <v>219</v>
      </c>
      <c r="B60" s="300">
        <v>0</v>
      </c>
      <c r="C60" s="300">
        <v>0</v>
      </c>
    </row>
    <row r="61" spans="1:7">
      <c r="A61" s="300" t="s">
        <v>320</v>
      </c>
      <c r="B61" s="300">
        <v>0</v>
      </c>
      <c r="C61" s="300">
        <v>0</v>
      </c>
    </row>
    <row r="62" spans="1:7">
      <c r="A62" s="300" t="s">
        <v>220</v>
      </c>
      <c r="B62" s="300">
        <v>0</v>
      </c>
      <c r="C62" s="300">
        <v>0</v>
      </c>
    </row>
    <row r="63" spans="1:7">
      <c r="A63" s="300" t="s">
        <v>283</v>
      </c>
      <c r="B63" s="300">
        <v>0</v>
      </c>
      <c r="C63" s="300">
        <v>0</v>
      </c>
    </row>
    <row r="64" spans="1:7">
      <c r="A64" s="300" t="s">
        <v>223</v>
      </c>
      <c r="B64" s="300">
        <v>6</v>
      </c>
      <c r="C64" s="300">
        <v>45</v>
      </c>
    </row>
    <row r="65" spans="1:3">
      <c r="A65" s="300" t="s">
        <v>224</v>
      </c>
      <c r="B65" s="300">
        <v>0</v>
      </c>
      <c r="C65" s="300">
        <v>0</v>
      </c>
    </row>
    <row r="66" spans="1:3">
      <c r="A66" s="300" t="s">
        <v>225</v>
      </c>
      <c r="B66" s="300">
        <v>3</v>
      </c>
      <c r="C66" s="300">
        <v>32</v>
      </c>
    </row>
    <row r="67" spans="1:3">
      <c r="A67" s="300" t="s">
        <v>226</v>
      </c>
      <c r="B67" s="300">
        <v>4</v>
      </c>
      <c r="C67" s="300">
        <v>200</v>
      </c>
    </row>
    <row r="68" spans="1:3">
      <c r="A68" s="300" t="s">
        <v>228</v>
      </c>
      <c r="B68" s="300">
        <v>0</v>
      </c>
      <c r="C68" s="300">
        <v>0</v>
      </c>
    </row>
    <row r="69" spans="1:3">
      <c r="A69" s="300" t="s">
        <v>229</v>
      </c>
      <c r="B69" s="300">
        <v>59</v>
      </c>
      <c r="C69" s="300">
        <v>1021</v>
      </c>
    </row>
    <row r="70" spans="1:3">
      <c r="A70" s="300" t="s">
        <v>322</v>
      </c>
      <c r="B70" s="300">
        <v>0</v>
      </c>
      <c r="C70" s="300">
        <v>0</v>
      </c>
    </row>
    <row r="71" spans="1:3">
      <c r="A71" s="300" t="s">
        <v>323</v>
      </c>
      <c r="B71" s="300">
        <v>0</v>
      </c>
      <c r="C71" s="300">
        <v>0</v>
      </c>
    </row>
    <row r="72" spans="1:3">
      <c r="A72" s="300" t="s">
        <v>350</v>
      </c>
      <c r="B72" s="300">
        <v>0</v>
      </c>
      <c r="C72" s="300">
        <v>0</v>
      </c>
    </row>
    <row r="73" spans="1:3">
      <c r="A73" s="300" t="s">
        <v>284</v>
      </c>
      <c r="B73" s="300">
        <v>6</v>
      </c>
      <c r="C73" s="300">
        <v>56</v>
      </c>
    </row>
    <row r="74" spans="1:3">
      <c r="A74" s="300" t="s">
        <v>232</v>
      </c>
      <c r="B74" s="300">
        <v>0</v>
      </c>
      <c r="C74" s="300">
        <v>0</v>
      </c>
    </row>
    <row r="75" spans="1:3">
      <c r="A75" s="300" t="s">
        <v>233</v>
      </c>
      <c r="B75" s="300">
        <v>0</v>
      </c>
      <c r="C75" s="300">
        <v>0</v>
      </c>
    </row>
    <row r="76" spans="1:3">
      <c r="A76" s="300" t="s">
        <v>234</v>
      </c>
      <c r="B76" s="300">
        <v>13</v>
      </c>
      <c r="C76" s="300">
        <v>26</v>
      </c>
    </row>
    <row r="77" spans="1:3">
      <c r="A77" s="300" t="s">
        <v>236</v>
      </c>
      <c r="B77" s="300">
        <v>0</v>
      </c>
      <c r="C77" s="300">
        <v>0</v>
      </c>
    </row>
    <row r="78" spans="1:3">
      <c r="A78" s="300" t="s">
        <v>238</v>
      </c>
      <c r="B78" s="300">
        <v>0</v>
      </c>
      <c r="C78" s="300">
        <v>0</v>
      </c>
    </row>
    <row r="79" spans="1:3">
      <c r="A79" s="300" t="s">
        <v>239</v>
      </c>
      <c r="B79" s="300">
        <v>27</v>
      </c>
      <c r="C79" s="300">
        <v>1425</v>
      </c>
    </row>
    <row r="80" spans="1:3">
      <c r="A80" s="300" t="s">
        <v>351</v>
      </c>
      <c r="B80" s="300">
        <v>13</v>
      </c>
      <c r="C80" s="300">
        <v>129</v>
      </c>
    </row>
    <row r="81" spans="1:3">
      <c r="A81" s="300" t="s">
        <v>244</v>
      </c>
      <c r="B81" s="300">
        <v>16</v>
      </c>
      <c r="C81" s="300">
        <v>61</v>
      </c>
    </row>
    <row r="82" spans="1:3">
      <c r="A82" s="300" t="s">
        <v>326</v>
      </c>
      <c r="B82" s="300">
        <v>0</v>
      </c>
      <c r="C82" s="300">
        <v>0</v>
      </c>
    </row>
    <row r="83" spans="1:3">
      <c r="A83" s="300" t="s">
        <v>247</v>
      </c>
      <c r="B83" s="300">
        <v>0</v>
      </c>
      <c r="C83" s="300">
        <v>0</v>
      </c>
    </row>
    <row r="84" spans="1:3">
      <c r="A84" s="300" t="s">
        <v>249</v>
      </c>
      <c r="B84" s="300">
        <v>3</v>
      </c>
      <c r="C84" s="300">
        <v>24</v>
      </c>
    </row>
    <row r="85" spans="1:3">
      <c r="A85" s="300" t="s">
        <v>254</v>
      </c>
      <c r="B85" s="300">
        <v>0</v>
      </c>
      <c r="C85" s="300">
        <v>0</v>
      </c>
    </row>
    <row r="86" spans="1:3">
      <c r="A86" s="300" t="s">
        <v>256</v>
      </c>
      <c r="B86" s="300">
        <v>0</v>
      </c>
      <c r="C86" s="300">
        <v>0</v>
      </c>
    </row>
    <row r="87" spans="1:3">
      <c r="A87" s="300" t="s">
        <v>327</v>
      </c>
      <c r="B87" s="300">
        <v>1</v>
      </c>
      <c r="C87" s="300">
        <v>0</v>
      </c>
    </row>
    <row r="88" spans="1:3">
      <c r="A88" s="300" t="s">
        <v>257</v>
      </c>
      <c r="B88" s="300">
        <v>0</v>
      </c>
      <c r="C88" s="300">
        <v>0</v>
      </c>
    </row>
    <row r="89" spans="1:3">
      <c r="A89" s="300" t="s">
        <v>258</v>
      </c>
      <c r="B89" s="300">
        <v>3</v>
      </c>
      <c r="C89" s="300">
        <v>33</v>
      </c>
    </row>
    <row r="90" spans="1:3">
      <c r="A90" s="300" t="s">
        <v>285</v>
      </c>
      <c r="B90" s="300">
        <v>0</v>
      </c>
      <c r="C90" s="300">
        <v>0</v>
      </c>
    </row>
    <row r="91" spans="1:3">
      <c r="A91" s="300" t="s">
        <v>260</v>
      </c>
      <c r="B91" s="300">
        <v>0</v>
      </c>
      <c r="C91" s="300">
        <v>0</v>
      </c>
    </row>
    <row r="92" spans="1:3">
      <c r="A92" s="300" t="s">
        <v>261</v>
      </c>
      <c r="B92" s="300">
        <v>17</v>
      </c>
      <c r="C92" s="300">
        <v>582</v>
      </c>
    </row>
    <row r="93" spans="1:3">
      <c r="A93" s="300" t="s">
        <v>286</v>
      </c>
      <c r="B93" s="300">
        <v>0</v>
      </c>
      <c r="C93" s="300">
        <v>0</v>
      </c>
    </row>
    <row r="94" spans="1:3">
      <c r="A94" s="300"/>
      <c r="B94" s="300"/>
      <c r="C94" s="300"/>
    </row>
    <row r="95" spans="1:3">
      <c r="A95" s="301" t="s">
        <v>105</v>
      </c>
      <c r="B95" s="301">
        <v>0</v>
      </c>
      <c r="C95" s="301">
        <v>0</v>
      </c>
    </row>
    <row r="96" spans="1:3">
      <c r="A96" s="301" t="s">
        <v>104</v>
      </c>
      <c r="B96" s="301">
        <v>7.6477272727272725</v>
      </c>
      <c r="C96" s="301">
        <v>734.15909090909088</v>
      </c>
    </row>
    <row r="97" spans="1:3">
      <c r="A97" s="301" t="s">
        <v>329</v>
      </c>
      <c r="B97" s="301">
        <v>673</v>
      </c>
      <c r="C97" s="301">
        <v>64606</v>
      </c>
    </row>
    <row r="98" spans="1:3">
      <c r="A98" s="301"/>
      <c r="B98" s="301"/>
      <c r="C98" s="301"/>
    </row>
  </sheetData>
  <sortState xmlns:xlrd2="http://schemas.microsoft.com/office/spreadsheetml/2017/richdata2" ref="E5:G47">
    <sortCondition ref="E5:E47"/>
  </sortState>
  <conditionalFormatting sqref="A52:C98">
    <cfRule type="cellIs" dxfId="15" priority="1" operator="equal">
      <formula>0</formula>
    </cfRule>
  </conditionalFormatting>
  <conditionalFormatting sqref="F5:G47 B5:C51">
    <cfRule type="cellIs" dxfId="14" priority="2" operator="lessThan">
      <formula>0</formula>
    </cfRule>
    <cfRule type="cellIs" dxfId="13" priority="3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9" orientation="portrait" r:id="rId1"/>
  <headerFooter alignWithMargins="0">
    <oddFooter>&amp;L&amp;9Public Library Statistics 2022–23&amp;C&amp;9&amp;P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91E9-0E89-45E3-A61C-90F2A5B57C9D}">
  <sheetPr>
    <pageSetUpPr fitToPage="1"/>
  </sheetPr>
  <dimension ref="A1:R98"/>
  <sheetViews>
    <sheetView topLeftCell="A3" zoomScaleNormal="100" workbookViewId="0">
      <selection activeCell="F46" sqref="A4:Q93"/>
    </sheetView>
  </sheetViews>
  <sheetFormatPr defaultColWidth="14.5703125" defaultRowHeight="12.75"/>
  <cols>
    <col min="1" max="1" width="18" style="383" customWidth="1"/>
    <col min="2" max="16384" width="14.5703125" style="383"/>
  </cols>
  <sheetData>
    <row r="1" spans="1:18" ht="15">
      <c r="A1" s="381" t="s">
        <v>654</v>
      </c>
      <c r="B1" s="381"/>
      <c r="C1" s="381"/>
      <c r="D1" s="381"/>
      <c r="E1" s="381"/>
      <c r="F1" s="381"/>
      <c r="G1" s="381"/>
      <c r="H1" s="382"/>
      <c r="I1" s="382"/>
    </row>
    <row r="2" spans="1:18" ht="14.25">
      <c r="A2" s="384" t="s">
        <v>655</v>
      </c>
      <c r="B2" s="385"/>
      <c r="C2" s="385"/>
      <c r="D2" s="385"/>
      <c r="E2" s="385"/>
      <c r="F2" s="385"/>
      <c r="G2" s="385"/>
      <c r="H2" s="382"/>
      <c r="I2" s="382"/>
    </row>
    <row r="3" spans="1:18" ht="14.25">
      <c r="A3" s="385"/>
      <c r="B3" s="382"/>
      <c r="C3" s="382"/>
      <c r="D3" s="382"/>
      <c r="E3" s="382"/>
      <c r="F3" s="382"/>
      <c r="G3" s="382"/>
      <c r="H3" s="382"/>
      <c r="I3" s="382"/>
    </row>
    <row r="4" spans="1:18" s="391" customFormat="1" ht="33">
      <c r="A4" s="386"/>
      <c r="B4" s="387" t="s">
        <v>656</v>
      </c>
      <c r="C4" s="387" t="s">
        <v>657</v>
      </c>
      <c r="D4" s="387" t="s">
        <v>658</v>
      </c>
      <c r="E4" s="387" t="s">
        <v>659</v>
      </c>
      <c r="F4" s="387" t="s">
        <v>660</v>
      </c>
      <c r="G4" s="387" t="s">
        <v>661</v>
      </c>
      <c r="H4" s="387" t="s">
        <v>662</v>
      </c>
      <c r="I4" s="387" t="s">
        <v>663</v>
      </c>
      <c r="J4" s="388" t="s">
        <v>664</v>
      </c>
      <c r="K4" s="389" t="s">
        <v>665</v>
      </c>
      <c r="L4" s="389" t="s">
        <v>666</v>
      </c>
      <c r="M4" s="389" t="s">
        <v>667</v>
      </c>
      <c r="N4" s="389" t="s">
        <v>668</v>
      </c>
      <c r="O4" s="389" t="s">
        <v>669</v>
      </c>
      <c r="P4" s="389" t="s">
        <v>670</v>
      </c>
      <c r="Q4" s="389" t="s">
        <v>671</v>
      </c>
      <c r="R4" s="390"/>
    </row>
    <row r="5" spans="1:18">
      <c r="A5" s="141" t="s">
        <v>346</v>
      </c>
      <c r="B5" s="248">
        <v>299</v>
      </c>
      <c r="C5" s="248">
        <v>8166</v>
      </c>
      <c r="D5" s="248">
        <v>420</v>
      </c>
      <c r="E5" s="248">
        <v>16006</v>
      </c>
      <c r="F5" s="248">
        <v>156</v>
      </c>
      <c r="G5" s="248">
        <v>1287</v>
      </c>
      <c r="H5" s="248">
        <v>380</v>
      </c>
      <c r="I5" s="248">
        <v>5598</v>
      </c>
      <c r="J5" s="300">
        <v>168</v>
      </c>
      <c r="K5" s="300">
        <v>6614</v>
      </c>
      <c r="L5" s="300">
        <v>15</v>
      </c>
      <c r="M5" s="300">
        <v>891</v>
      </c>
      <c r="N5" s="300">
        <v>111</v>
      </c>
      <c r="O5" s="300">
        <v>2156</v>
      </c>
      <c r="P5" s="300">
        <v>0</v>
      </c>
      <c r="Q5" s="300">
        <v>0</v>
      </c>
    </row>
    <row r="6" spans="1:18">
      <c r="A6" s="141" t="s">
        <v>278</v>
      </c>
      <c r="B6" s="248">
        <v>82</v>
      </c>
      <c r="C6" s="248">
        <v>1506</v>
      </c>
      <c r="D6" s="248">
        <v>80</v>
      </c>
      <c r="E6" s="248">
        <v>1832</v>
      </c>
      <c r="F6" s="248">
        <v>63</v>
      </c>
      <c r="G6" s="248">
        <v>403</v>
      </c>
      <c r="H6" s="248">
        <v>120</v>
      </c>
      <c r="I6" s="248">
        <v>815</v>
      </c>
      <c r="J6" s="300">
        <v>16</v>
      </c>
      <c r="K6" s="300">
        <v>110</v>
      </c>
      <c r="L6" s="300">
        <v>1</v>
      </c>
      <c r="M6" s="300">
        <v>12</v>
      </c>
      <c r="N6" s="300">
        <v>2</v>
      </c>
      <c r="O6" s="300">
        <v>32</v>
      </c>
      <c r="P6" s="300">
        <v>24</v>
      </c>
      <c r="Q6" s="300">
        <v>339</v>
      </c>
    </row>
    <row r="7" spans="1:18">
      <c r="A7" s="141" t="s">
        <v>123</v>
      </c>
      <c r="B7" s="248">
        <v>14</v>
      </c>
      <c r="C7" s="248">
        <v>108</v>
      </c>
      <c r="D7" s="248">
        <v>136</v>
      </c>
      <c r="E7" s="248">
        <v>2176</v>
      </c>
      <c r="F7" s="248">
        <v>52</v>
      </c>
      <c r="G7" s="248">
        <v>364</v>
      </c>
      <c r="H7" s="248">
        <v>22</v>
      </c>
      <c r="I7" s="248">
        <v>130</v>
      </c>
      <c r="J7" s="300">
        <v>23</v>
      </c>
      <c r="K7" s="300">
        <v>196</v>
      </c>
      <c r="L7" s="300">
        <v>2</v>
      </c>
      <c r="M7" s="300">
        <v>12</v>
      </c>
      <c r="N7" s="300">
        <v>0</v>
      </c>
      <c r="O7" s="300">
        <v>0</v>
      </c>
      <c r="P7" s="300">
        <v>1</v>
      </c>
      <c r="Q7" s="300">
        <v>72</v>
      </c>
    </row>
    <row r="8" spans="1:18">
      <c r="A8" s="141" t="s">
        <v>124</v>
      </c>
      <c r="B8" s="248">
        <v>77</v>
      </c>
      <c r="C8" s="248">
        <v>2355</v>
      </c>
      <c r="D8" s="248">
        <v>74</v>
      </c>
      <c r="E8" s="248">
        <v>1970</v>
      </c>
      <c r="F8" s="248">
        <v>9</v>
      </c>
      <c r="G8" s="248">
        <v>107</v>
      </c>
      <c r="H8" s="248">
        <v>37</v>
      </c>
      <c r="I8" s="248">
        <v>822</v>
      </c>
      <c r="J8" s="300">
        <v>63</v>
      </c>
      <c r="K8" s="300">
        <v>595</v>
      </c>
      <c r="L8" s="300">
        <v>2</v>
      </c>
      <c r="M8" s="300">
        <v>57</v>
      </c>
      <c r="N8" s="300">
        <v>0</v>
      </c>
      <c r="O8" s="300">
        <v>0</v>
      </c>
      <c r="P8" s="300">
        <v>12</v>
      </c>
      <c r="Q8" s="300">
        <v>527</v>
      </c>
    </row>
    <row r="9" spans="1:18">
      <c r="A9" s="141" t="s">
        <v>126</v>
      </c>
      <c r="B9" s="248">
        <v>714</v>
      </c>
      <c r="C9" s="248">
        <v>14605</v>
      </c>
      <c r="D9" s="248">
        <v>163</v>
      </c>
      <c r="E9" s="248">
        <v>4189</v>
      </c>
      <c r="F9" s="248">
        <v>23</v>
      </c>
      <c r="G9" s="248">
        <v>303</v>
      </c>
      <c r="H9" s="248">
        <v>198</v>
      </c>
      <c r="I9" s="248">
        <v>3213</v>
      </c>
      <c r="J9" s="300">
        <v>60</v>
      </c>
      <c r="K9" s="300">
        <v>254</v>
      </c>
      <c r="L9" s="300">
        <v>1</v>
      </c>
      <c r="M9" s="300">
        <v>35</v>
      </c>
      <c r="N9" s="300">
        <v>144</v>
      </c>
      <c r="O9" s="300">
        <v>1328</v>
      </c>
      <c r="P9" s="300">
        <v>0</v>
      </c>
      <c r="Q9" s="300">
        <v>0</v>
      </c>
    </row>
    <row r="10" spans="1:18">
      <c r="A10" s="141" t="s">
        <v>127</v>
      </c>
      <c r="B10" s="248">
        <v>491</v>
      </c>
      <c r="C10" s="248">
        <v>4022</v>
      </c>
      <c r="D10" s="248">
        <v>84</v>
      </c>
      <c r="E10" s="248">
        <v>724</v>
      </c>
      <c r="F10" s="248">
        <v>35</v>
      </c>
      <c r="G10" s="248">
        <v>185</v>
      </c>
      <c r="H10" s="248">
        <v>386</v>
      </c>
      <c r="I10" s="248">
        <v>3763</v>
      </c>
      <c r="J10" s="300">
        <v>28</v>
      </c>
      <c r="K10" s="300">
        <v>156</v>
      </c>
      <c r="L10" s="300">
        <v>0</v>
      </c>
      <c r="M10" s="300">
        <v>0</v>
      </c>
      <c r="N10" s="300">
        <v>69</v>
      </c>
      <c r="O10" s="300">
        <v>818</v>
      </c>
      <c r="P10" s="300">
        <v>3</v>
      </c>
      <c r="Q10" s="300">
        <v>103</v>
      </c>
    </row>
    <row r="11" spans="1:18">
      <c r="A11" s="141" t="s">
        <v>305</v>
      </c>
      <c r="B11" s="248">
        <v>49</v>
      </c>
      <c r="C11" s="248">
        <v>312</v>
      </c>
      <c r="D11" s="248">
        <v>54</v>
      </c>
      <c r="E11" s="248">
        <v>1402</v>
      </c>
      <c r="F11" s="248">
        <v>0</v>
      </c>
      <c r="G11" s="248">
        <v>0</v>
      </c>
      <c r="H11" s="248">
        <v>51</v>
      </c>
      <c r="I11" s="248">
        <v>510</v>
      </c>
      <c r="J11" s="300">
        <v>0</v>
      </c>
      <c r="K11" s="300">
        <v>0</v>
      </c>
      <c r="L11" s="300">
        <v>0</v>
      </c>
      <c r="M11" s="300">
        <v>0</v>
      </c>
      <c r="N11" s="300">
        <v>0</v>
      </c>
      <c r="O11" s="300">
        <v>0</v>
      </c>
      <c r="P11" s="300">
        <v>0</v>
      </c>
      <c r="Q11" s="300">
        <v>0</v>
      </c>
    </row>
    <row r="12" spans="1:18">
      <c r="A12" s="141" t="s">
        <v>133</v>
      </c>
      <c r="B12" s="248">
        <v>1887</v>
      </c>
      <c r="C12" s="248">
        <v>50641</v>
      </c>
      <c r="D12" s="248">
        <v>246</v>
      </c>
      <c r="E12" s="248">
        <v>5126</v>
      </c>
      <c r="F12" s="248">
        <v>96</v>
      </c>
      <c r="G12" s="248">
        <v>822</v>
      </c>
      <c r="H12" s="248">
        <v>3336</v>
      </c>
      <c r="I12" s="248">
        <v>29741</v>
      </c>
      <c r="J12" s="300">
        <v>239</v>
      </c>
      <c r="K12" s="300">
        <v>2005</v>
      </c>
      <c r="L12" s="300">
        <v>4</v>
      </c>
      <c r="M12" s="300">
        <v>29</v>
      </c>
      <c r="N12" s="300">
        <v>265</v>
      </c>
      <c r="O12" s="300">
        <v>5509</v>
      </c>
      <c r="P12" s="300">
        <v>366</v>
      </c>
      <c r="Q12" s="300">
        <v>2124</v>
      </c>
    </row>
    <row r="13" spans="1:18">
      <c r="A13" s="141" t="s">
        <v>137</v>
      </c>
      <c r="B13" s="248">
        <v>232</v>
      </c>
      <c r="C13" s="248">
        <v>9117</v>
      </c>
      <c r="D13" s="248">
        <v>34</v>
      </c>
      <c r="E13" s="248">
        <v>846</v>
      </c>
      <c r="F13" s="248">
        <v>39</v>
      </c>
      <c r="G13" s="248">
        <v>474</v>
      </c>
      <c r="H13" s="248">
        <v>55</v>
      </c>
      <c r="I13" s="248">
        <v>504</v>
      </c>
      <c r="J13" s="300">
        <v>5</v>
      </c>
      <c r="K13" s="300">
        <v>192</v>
      </c>
      <c r="L13" s="300">
        <v>0</v>
      </c>
      <c r="M13" s="300">
        <v>0</v>
      </c>
      <c r="N13" s="300">
        <v>0</v>
      </c>
      <c r="O13" s="300">
        <v>0</v>
      </c>
      <c r="P13" s="300">
        <v>139</v>
      </c>
      <c r="Q13" s="300">
        <v>7864</v>
      </c>
    </row>
    <row r="14" spans="1:18">
      <c r="A14" s="141" t="s">
        <v>139</v>
      </c>
      <c r="B14" s="248">
        <v>2</v>
      </c>
      <c r="C14" s="248">
        <v>32</v>
      </c>
      <c r="D14" s="248">
        <v>19</v>
      </c>
      <c r="E14" s="248">
        <v>191</v>
      </c>
      <c r="F14" s="248">
        <v>1</v>
      </c>
      <c r="G14" s="248">
        <v>6</v>
      </c>
      <c r="H14" s="248">
        <v>20</v>
      </c>
      <c r="I14" s="248">
        <v>91</v>
      </c>
      <c r="J14" s="300">
        <v>0</v>
      </c>
      <c r="K14" s="300">
        <v>0</v>
      </c>
      <c r="L14" s="300">
        <v>0</v>
      </c>
      <c r="M14" s="300">
        <v>0</v>
      </c>
      <c r="N14" s="300">
        <v>0</v>
      </c>
      <c r="O14" s="300">
        <v>0</v>
      </c>
      <c r="P14" s="300">
        <v>1</v>
      </c>
      <c r="Q14" s="300">
        <v>9</v>
      </c>
    </row>
    <row r="15" spans="1:18">
      <c r="A15" s="141" t="s">
        <v>142</v>
      </c>
      <c r="B15" s="248">
        <v>158</v>
      </c>
      <c r="C15" s="248">
        <v>3007</v>
      </c>
      <c r="D15" s="248">
        <v>22</v>
      </c>
      <c r="E15" s="248">
        <v>305</v>
      </c>
      <c r="F15" s="248">
        <v>0</v>
      </c>
      <c r="G15" s="248">
        <v>0</v>
      </c>
      <c r="H15" s="248">
        <v>64</v>
      </c>
      <c r="I15" s="248">
        <v>243</v>
      </c>
      <c r="J15" s="300">
        <v>0</v>
      </c>
      <c r="K15" s="300">
        <v>0</v>
      </c>
      <c r="L15" s="300">
        <v>0</v>
      </c>
      <c r="M15" s="300">
        <v>0</v>
      </c>
      <c r="N15" s="300">
        <v>0</v>
      </c>
      <c r="O15" s="300">
        <v>0</v>
      </c>
      <c r="P15" s="300">
        <v>90</v>
      </c>
      <c r="Q15" s="300">
        <v>1205</v>
      </c>
    </row>
    <row r="16" spans="1:18">
      <c r="A16" s="141" t="s">
        <v>144</v>
      </c>
      <c r="B16" s="248">
        <v>101</v>
      </c>
      <c r="C16" s="248">
        <v>3487</v>
      </c>
      <c r="D16" s="248">
        <v>67</v>
      </c>
      <c r="E16" s="248">
        <v>1270</v>
      </c>
      <c r="F16" s="248">
        <v>5</v>
      </c>
      <c r="G16" s="248">
        <v>128</v>
      </c>
      <c r="H16" s="248">
        <v>151</v>
      </c>
      <c r="I16" s="248">
        <v>3310</v>
      </c>
      <c r="J16" s="300">
        <v>35</v>
      </c>
      <c r="K16" s="300">
        <v>308</v>
      </c>
      <c r="L16" s="300">
        <v>0</v>
      </c>
      <c r="M16" s="300">
        <v>0</v>
      </c>
      <c r="N16" s="300">
        <v>213</v>
      </c>
      <c r="O16" s="300">
        <v>1793</v>
      </c>
      <c r="P16" s="300">
        <v>23</v>
      </c>
      <c r="Q16" s="300">
        <v>1581</v>
      </c>
    </row>
    <row r="17" spans="1:17">
      <c r="A17" s="141" t="s">
        <v>148</v>
      </c>
      <c r="B17" s="248">
        <v>590</v>
      </c>
      <c r="C17" s="248">
        <v>24474</v>
      </c>
      <c r="D17" s="248">
        <v>212</v>
      </c>
      <c r="E17" s="248">
        <v>2902</v>
      </c>
      <c r="F17" s="248">
        <v>134</v>
      </c>
      <c r="G17" s="248">
        <v>2492</v>
      </c>
      <c r="H17" s="248">
        <v>358</v>
      </c>
      <c r="I17" s="248">
        <v>3094</v>
      </c>
      <c r="J17" s="300">
        <v>74</v>
      </c>
      <c r="K17" s="300">
        <v>187</v>
      </c>
      <c r="L17" s="300">
        <v>2</v>
      </c>
      <c r="M17" s="300">
        <v>70</v>
      </c>
      <c r="N17" s="300">
        <v>29</v>
      </c>
      <c r="O17" s="300">
        <v>141</v>
      </c>
      <c r="P17" s="300">
        <v>19</v>
      </c>
      <c r="Q17" s="300">
        <v>271</v>
      </c>
    </row>
    <row r="18" spans="1:17">
      <c r="A18" s="141" t="s">
        <v>149</v>
      </c>
      <c r="B18" s="248">
        <v>452</v>
      </c>
      <c r="C18" s="248">
        <v>9699</v>
      </c>
      <c r="D18" s="248">
        <v>261</v>
      </c>
      <c r="E18" s="248">
        <v>5150</v>
      </c>
      <c r="F18" s="248">
        <v>68</v>
      </c>
      <c r="G18" s="248">
        <v>1019</v>
      </c>
      <c r="H18" s="248">
        <v>313</v>
      </c>
      <c r="I18" s="248">
        <v>3666</v>
      </c>
      <c r="J18" s="300">
        <v>30</v>
      </c>
      <c r="K18" s="300">
        <v>207</v>
      </c>
      <c r="L18" s="300">
        <v>1</v>
      </c>
      <c r="M18" s="300">
        <v>144</v>
      </c>
      <c r="N18" s="300">
        <v>108</v>
      </c>
      <c r="O18" s="300">
        <v>685</v>
      </c>
      <c r="P18" s="300">
        <v>53</v>
      </c>
      <c r="Q18" s="300">
        <v>1630</v>
      </c>
    </row>
    <row r="19" spans="1:17">
      <c r="A19" s="141" t="s">
        <v>151</v>
      </c>
      <c r="B19" s="248">
        <v>200</v>
      </c>
      <c r="C19" s="248">
        <v>13006</v>
      </c>
      <c r="D19" s="248">
        <v>63</v>
      </c>
      <c r="E19" s="248">
        <v>790</v>
      </c>
      <c r="F19" s="248">
        <v>82</v>
      </c>
      <c r="G19" s="248">
        <v>1189</v>
      </c>
      <c r="H19" s="248">
        <v>217</v>
      </c>
      <c r="I19" s="248">
        <v>2239</v>
      </c>
      <c r="J19" s="300">
        <v>78</v>
      </c>
      <c r="K19" s="300">
        <v>1009</v>
      </c>
      <c r="L19" s="300">
        <v>1</v>
      </c>
      <c r="M19" s="300">
        <v>37</v>
      </c>
      <c r="N19" s="300">
        <v>69</v>
      </c>
      <c r="O19" s="300">
        <v>645</v>
      </c>
      <c r="P19" s="300">
        <v>32</v>
      </c>
      <c r="Q19" s="300">
        <v>918</v>
      </c>
    </row>
    <row r="20" spans="1:17">
      <c r="A20" s="141" t="s">
        <v>152</v>
      </c>
      <c r="B20" s="248">
        <v>2263</v>
      </c>
      <c r="C20" s="248">
        <v>34607</v>
      </c>
      <c r="D20" s="248">
        <v>2158</v>
      </c>
      <c r="E20" s="248">
        <v>26380</v>
      </c>
      <c r="F20" s="248">
        <v>198</v>
      </c>
      <c r="G20" s="248">
        <v>1747</v>
      </c>
      <c r="H20" s="248">
        <v>1537</v>
      </c>
      <c r="I20" s="248">
        <v>16642</v>
      </c>
      <c r="J20" s="300">
        <v>887</v>
      </c>
      <c r="K20" s="300">
        <v>11040</v>
      </c>
      <c r="L20" s="300">
        <v>0</v>
      </c>
      <c r="M20" s="300">
        <v>0</v>
      </c>
      <c r="N20" s="300">
        <v>871</v>
      </c>
      <c r="O20" s="300">
        <v>11857</v>
      </c>
      <c r="P20" s="300">
        <v>0</v>
      </c>
      <c r="Q20" s="300">
        <v>0</v>
      </c>
    </row>
    <row r="21" spans="1:17">
      <c r="A21" s="141" t="s">
        <v>154</v>
      </c>
      <c r="B21" s="248">
        <v>1252</v>
      </c>
      <c r="C21" s="248">
        <v>30007</v>
      </c>
      <c r="D21" s="248">
        <v>196</v>
      </c>
      <c r="E21" s="248">
        <v>2321</v>
      </c>
      <c r="F21" s="248">
        <v>61</v>
      </c>
      <c r="G21" s="248">
        <v>529</v>
      </c>
      <c r="H21" s="248">
        <v>518</v>
      </c>
      <c r="I21" s="248">
        <v>4586</v>
      </c>
      <c r="J21" s="300">
        <v>196</v>
      </c>
      <c r="K21" s="300">
        <v>1131</v>
      </c>
      <c r="L21" s="300">
        <v>2</v>
      </c>
      <c r="M21" s="300">
        <v>25</v>
      </c>
      <c r="N21" s="300">
        <v>0</v>
      </c>
      <c r="O21" s="300">
        <v>0</v>
      </c>
      <c r="P21" s="300">
        <v>203</v>
      </c>
      <c r="Q21" s="300">
        <v>3334</v>
      </c>
    </row>
    <row r="22" spans="1:17">
      <c r="A22" s="141" t="s">
        <v>347</v>
      </c>
      <c r="B22" s="248">
        <v>911</v>
      </c>
      <c r="C22" s="248">
        <v>12169</v>
      </c>
      <c r="D22" s="248">
        <v>643</v>
      </c>
      <c r="E22" s="248">
        <v>9346</v>
      </c>
      <c r="F22" s="248">
        <v>50</v>
      </c>
      <c r="G22" s="248">
        <v>409</v>
      </c>
      <c r="H22" s="248">
        <v>474</v>
      </c>
      <c r="I22" s="248">
        <v>3824</v>
      </c>
      <c r="J22" s="300">
        <v>374</v>
      </c>
      <c r="K22" s="300">
        <v>2654</v>
      </c>
      <c r="L22" s="300">
        <v>7</v>
      </c>
      <c r="M22" s="300">
        <v>231</v>
      </c>
      <c r="N22" s="300">
        <v>0</v>
      </c>
      <c r="O22" s="300">
        <v>0</v>
      </c>
      <c r="P22" s="300">
        <v>458</v>
      </c>
      <c r="Q22" s="300">
        <v>6389</v>
      </c>
    </row>
    <row r="23" spans="1:17">
      <c r="A23" s="141" t="s">
        <v>312</v>
      </c>
      <c r="B23" s="248">
        <v>511</v>
      </c>
      <c r="C23" s="248">
        <v>10686</v>
      </c>
      <c r="D23" s="248">
        <v>254</v>
      </c>
      <c r="E23" s="248">
        <v>3149</v>
      </c>
      <c r="F23" s="248">
        <v>53</v>
      </c>
      <c r="G23" s="248">
        <v>904</v>
      </c>
      <c r="H23" s="248">
        <v>69</v>
      </c>
      <c r="I23" s="248">
        <v>777</v>
      </c>
      <c r="J23" s="300">
        <v>64</v>
      </c>
      <c r="K23" s="300">
        <v>345</v>
      </c>
      <c r="L23" s="300">
        <v>0</v>
      </c>
      <c r="M23" s="300">
        <v>0</v>
      </c>
      <c r="N23" s="300">
        <v>0</v>
      </c>
      <c r="O23" s="300">
        <v>0</v>
      </c>
      <c r="P23" s="300">
        <v>10</v>
      </c>
      <c r="Q23" s="300">
        <v>269</v>
      </c>
    </row>
    <row r="24" spans="1:17">
      <c r="A24" s="141" t="s">
        <v>155</v>
      </c>
      <c r="B24" s="248">
        <v>269</v>
      </c>
      <c r="C24" s="248">
        <v>6995</v>
      </c>
      <c r="D24" s="248">
        <v>356</v>
      </c>
      <c r="E24" s="248">
        <v>5102</v>
      </c>
      <c r="F24" s="248">
        <v>232</v>
      </c>
      <c r="G24" s="248">
        <v>2152</v>
      </c>
      <c r="H24" s="248">
        <v>461</v>
      </c>
      <c r="I24" s="248">
        <v>3280</v>
      </c>
      <c r="J24" s="300">
        <v>76</v>
      </c>
      <c r="K24" s="300">
        <v>613</v>
      </c>
      <c r="L24" s="300">
        <v>9</v>
      </c>
      <c r="M24" s="300">
        <v>296</v>
      </c>
      <c r="N24" s="300">
        <v>0</v>
      </c>
      <c r="O24" s="300">
        <v>0</v>
      </c>
      <c r="P24" s="300">
        <v>14</v>
      </c>
      <c r="Q24" s="300">
        <v>676</v>
      </c>
    </row>
    <row r="25" spans="1:17">
      <c r="A25" s="141" t="s">
        <v>348</v>
      </c>
      <c r="B25" s="248">
        <v>167</v>
      </c>
      <c r="C25" s="248">
        <v>7534</v>
      </c>
      <c r="D25" s="248">
        <v>348</v>
      </c>
      <c r="E25" s="248">
        <v>3144</v>
      </c>
      <c r="F25" s="248">
        <v>6</v>
      </c>
      <c r="G25" s="248">
        <v>714</v>
      </c>
      <c r="H25" s="248">
        <v>279</v>
      </c>
      <c r="I25" s="248">
        <v>1604</v>
      </c>
      <c r="J25" s="300">
        <v>196</v>
      </c>
      <c r="K25" s="300">
        <v>1806</v>
      </c>
      <c r="L25" s="300">
        <v>32</v>
      </c>
      <c r="M25" s="300">
        <v>174</v>
      </c>
      <c r="N25" s="300">
        <v>0</v>
      </c>
      <c r="O25" s="300">
        <v>0</v>
      </c>
      <c r="P25" s="300">
        <v>208</v>
      </c>
      <c r="Q25" s="300">
        <v>2092</v>
      </c>
    </row>
    <row r="26" spans="1:17">
      <c r="A26" s="141" t="s">
        <v>158</v>
      </c>
      <c r="B26" s="248">
        <v>63</v>
      </c>
      <c r="C26" s="248">
        <v>385</v>
      </c>
      <c r="D26" s="248">
        <v>30</v>
      </c>
      <c r="E26" s="248">
        <v>136</v>
      </c>
      <c r="F26" s="248">
        <v>0</v>
      </c>
      <c r="G26" s="248">
        <v>0</v>
      </c>
      <c r="H26" s="248">
        <v>27</v>
      </c>
      <c r="I26" s="248">
        <v>146</v>
      </c>
      <c r="J26" s="300">
        <v>7</v>
      </c>
      <c r="K26" s="300">
        <v>38</v>
      </c>
      <c r="L26" s="300">
        <v>0</v>
      </c>
      <c r="M26" s="300">
        <v>0</v>
      </c>
      <c r="N26" s="300">
        <v>0</v>
      </c>
      <c r="O26" s="300">
        <v>0</v>
      </c>
      <c r="P26" s="300">
        <v>2</v>
      </c>
      <c r="Q26" s="300">
        <v>297</v>
      </c>
    </row>
    <row r="27" spans="1:17">
      <c r="A27" s="141" t="s">
        <v>160</v>
      </c>
      <c r="B27" s="248">
        <v>343</v>
      </c>
      <c r="C27" s="248">
        <v>10379</v>
      </c>
      <c r="D27" s="248">
        <v>39</v>
      </c>
      <c r="E27" s="248">
        <v>946</v>
      </c>
      <c r="F27" s="248">
        <v>7</v>
      </c>
      <c r="G27" s="248">
        <v>255</v>
      </c>
      <c r="H27" s="248">
        <v>249</v>
      </c>
      <c r="I27" s="248">
        <v>3018</v>
      </c>
      <c r="J27" s="300">
        <v>32</v>
      </c>
      <c r="K27" s="300">
        <v>426</v>
      </c>
      <c r="L27" s="300">
        <v>1</v>
      </c>
      <c r="M27" s="300">
        <v>170</v>
      </c>
      <c r="N27" s="300">
        <v>38</v>
      </c>
      <c r="O27" s="300">
        <v>506</v>
      </c>
      <c r="P27" s="300">
        <v>2</v>
      </c>
      <c r="Q27" s="300">
        <v>506</v>
      </c>
    </row>
    <row r="28" spans="1:17">
      <c r="A28" s="141" t="s">
        <v>165</v>
      </c>
      <c r="B28" s="248">
        <v>929</v>
      </c>
      <c r="C28" s="248">
        <v>11714</v>
      </c>
      <c r="D28" s="248">
        <v>704</v>
      </c>
      <c r="E28" s="248">
        <v>3540</v>
      </c>
      <c r="F28" s="248">
        <v>33</v>
      </c>
      <c r="G28" s="248">
        <v>379</v>
      </c>
      <c r="H28" s="248">
        <v>796</v>
      </c>
      <c r="I28" s="248">
        <v>5982</v>
      </c>
      <c r="J28" s="300">
        <v>20</v>
      </c>
      <c r="K28" s="300">
        <v>126</v>
      </c>
      <c r="L28" s="300">
        <v>8</v>
      </c>
      <c r="M28" s="300">
        <v>254</v>
      </c>
      <c r="N28" s="300">
        <v>273</v>
      </c>
      <c r="O28" s="300">
        <v>2286</v>
      </c>
      <c r="P28" s="300">
        <v>2775</v>
      </c>
      <c r="Q28" s="300">
        <v>25194</v>
      </c>
    </row>
    <row r="29" spans="1:17">
      <c r="A29" s="141" t="s">
        <v>168</v>
      </c>
      <c r="B29" s="248">
        <v>96</v>
      </c>
      <c r="C29" s="248">
        <v>1444</v>
      </c>
      <c r="D29" s="248">
        <v>114</v>
      </c>
      <c r="E29" s="248">
        <v>720</v>
      </c>
      <c r="F29" s="248">
        <v>2</v>
      </c>
      <c r="G29" s="248">
        <v>5</v>
      </c>
      <c r="H29" s="248">
        <v>53</v>
      </c>
      <c r="I29" s="248">
        <v>212</v>
      </c>
      <c r="J29" s="300">
        <v>9</v>
      </c>
      <c r="K29" s="300">
        <v>69</v>
      </c>
      <c r="L29" s="300">
        <v>0</v>
      </c>
      <c r="M29" s="300">
        <v>0</v>
      </c>
      <c r="N29" s="300">
        <v>0</v>
      </c>
      <c r="O29" s="300">
        <v>0</v>
      </c>
      <c r="P29" s="300">
        <v>56</v>
      </c>
      <c r="Q29" s="300">
        <v>661</v>
      </c>
    </row>
    <row r="30" spans="1:17">
      <c r="A30" s="141" t="s">
        <v>169</v>
      </c>
      <c r="B30" s="248">
        <v>235</v>
      </c>
      <c r="C30" s="248">
        <v>3218</v>
      </c>
      <c r="D30" s="248">
        <v>58</v>
      </c>
      <c r="E30" s="248">
        <v>1221</v>
      </c>
      <c r="F30" s="248">
        <v>16</v>
      </c>
      <c r="G30" s="248">
        <v>807</v>
      </c>
      <c r="H30" s="248">
        <v>268</v>
      </c>
      <c r="I30" s="248">
        <v>2599</v>
      </c>
      <c r="J30" s="300">
        <v>25</v>
      </c>
      <c r="K30" s="300">
        <v>185</v>
      </c>
      <c r="L30" s="300">
        <v>5</v>
      </c>
      <c r="M30" s="300">
        <v>67</v>
      </c>
      <c r="N30" s="300">
        <v>0</v>
      </c>
      <c r="O30" s="300">
        <v>0</v>
      </c>
      <c r="P30" s="300">
        <v>38</v>
      </c>
      <c r="Q30" s="300">
        <v>1094</v>
      </c>
    </row>
    <row r="31" spans="1:17">
      <c r="A31" s="141" t="s">
        <v>170</v>
      </c>
      <c r="B31" s="248">
        <v>664</v>
      </c>
      <c r="C31" s="248">
        <v>15682</v>
      </c>
      <c r="D31" s="248">
        <v>964</v>
      </c>
      <c r="E31" s="248">
        <v>10908</v>
      </c>
      <c r="F31" s="248">
        <v>159</v>
      </c>
      <c r="G31" s="248">
        <v>712</v>
      </c>
      <c r="H31" s="248">
        <v>1421</v>
      </c>
      <c r="I31" s="248">
        <v>10432</v>
      </c>
      <c r="J31" s="300">
        <v>153</v>
      </c>
      <c r="K31" s="300">
        <v>1679</v>
      </c>
      <c r="L31" s="300">
        <v>7</v>
      </c>
      <c r="M31" s="300">
        <v>264</v>
      </c>
      <c r="N31" s="300">
        <v>52</v>
      </c>
      <c r="O31" s="300">
        <v>492</v>
      </c>
      <c r="P31" s="300">
        <v>51</v>
      </c>
      <c r="Q31" s="300">
        <v>654</v>
      </c>
    </row>
    <row r="32" spans="1:17">
      <c r="A32" s="141" t="s">
        <v>173</v>
      </c>
      <c r="B32" s="248">
        <v>559</v>
      </c>
      <c r="C32" s="248">
        <v>15214</v>
      </c>
      <c r="D32" s="248">
        <v>168</v>
      </c>
      <c r="E32" s="248">
        <v>2200</v>
      </c>
      <c r="F32" s="248">
        <v>70</v>
      </c>
      <c r="G32" s="248">
        <v>1213</v>
      </c>
      <c r="H32" s="248">
        <v>264</v>
      </c>
      <c r="I32" s="248">
        <v>3311</v>
      </c>
      <c r="J32" s="300">
        <v>95</v>
      </c>
      <c r="K32" s="300">
        <v>1070</v>
      </c>
      <c r="L32" s="300">
        <v>2</v>
      </c>
      <c r="M32" s="300">
        <v>151</v>
      </c>
      <c r="N32" s="300">
        <v>262</v>
      </c>
      <c r="O32" s="300">
        <v>2138</v>
      </c>
      <c r="P32" s="300">
        <v>15</v>
      </c>
      <c r="Q32" s="300">
        <v>625</v>
      </c>
    </row>
    <row r="33" spans="1:17">
      <c r="A33" s="141" t="s">
        <v>280</v>
      </c>
      <c r="B33" s="248">
        <v>70</v>
      </c>
      <c r="C33" s="248">
        <v>549</v>
      </c>
      <c r="D33" s="248">
        <v>119</v>
      </c>
      <c r="E33" s="248">
        <v>695</v>
      </c>
      <c r="F33" s="248">
        <v>5</v>
      </c>
      <c r="G33" s="248">
        <v>47</v>
      </c>
      <c r="H33" s="248">
        <v>65</v>
      </c>
      <c r="I33" s="248">
        <v>505</v>
      </c>
      <c r="J33" s="300">
        <v>88</v>
      </c>
      <c r="K33" s="300">
        <v>223</v>
      </c>
      <c r="L33" s="300">
        <v>1</v>
      </c>
      <c r="M33" s="300">
        <v>7</v>
      </c>
      <c r="N33" s="300">
        <v>0</v>
      </c>
      <c r="O33" s="300">
        <v>0</v>
      </c>
      <c r="P33" s="300">
        <v>0</v>
      </c>
      <c r="Q33" s="300">
        <v>0</v>
      </c>
    </row>
    <row r="34" spans="1:17">
      <c r="A34" s="141" t="s">
        <v>176</v>
      </c>
      <c r="B34" s="248">
        <v>301</v>
      </c>
      <c r="C34" s="248">
        <v>8393</v>
      </c>
      <c r="D34" s="248">
        <v>89</v>
      </c>
      <c r="E34" s="248">
        <v>2258</v>
      </c>
      <c r="F34" s="248">
        <v>44</v>
      </c>
      <c r="G34" s="248">
        <v>719</v>
      </c>
      <c r="H34" s="248">
        <v>109</v>
      </c>
      <c r="I34" s="248">
        <v>3397</v>
      </c>
      <c r="J34" s="300">
        <v>94</v>
      </c>
      <c r="K34" s="300">
        <v>727</v>
      </c>
      <c r="L34" s="300">
        <v>1</v>
      </c>
      <c r="M34" s="300">
        <v>32</v>
      </c>
      <c r="N34" s="300">
        <v>2</v>
      </c>
      <c r="O34" s="300">
        <v>8</v>
      </c>
      <c r="P34" s="300">
        <v>6</v>
      </c>
      <c r="Q34" s="300">
        <v>1033</v>
      </c>
    </row>
    <row r="35" spans="1:17">
      <c r="A35" s="141" t="s">
        <v>316</v>
      </c>
      <c r="B35" s="248">
        <v>14</v>
      </c>
      <c r="C35" s="248">
        <v>106</v>
      </c>
      <c r="D35" s="248">
        <v>1</v>
      </c>
      <c r="E35" s="248">
        <v>8</v>
      </c>
      <c r="F35" s="248">
        <v>0</v>
      </c>
      <c r="G35" s="248">
        <v>0</v>
      </c>
      <c r="H35" s="248">
        <v>0</v>
      </c>
      <c r="I35" s="248">
        <v>0</v>
      </c>
      <c r="J35" s="300">
        <v>73</v>
      </c>
      <c r="K35" s="300">
        <v>407</v>
      </c>
      <c r="L35" s="300">
        <v>0</v>
      </c>
      <c r="M35" s="300">
        <v>0</v>
      </c>
      <c r="N35" s="300">
        <v>0</v>
      </c>
      <c r="O35" s="300">
        <v>0</v>
      </c>
      <c r="P35" s="300">
        <v>0</v>
      </c>
      <c r="Q35" s="300">
        <v>0</v>
      </c>
    </row>
    <row r="36" spans="1:17">
      <c r="A36" s="141" t="s">
        <v>179</v>
      </c>
      <c r="B36" s="248">
        <v>172</v>
      </c>
      <c r="C36" s="248">
        <v>3899</v>
      </c>
      <c r="D36" s="248">
        <v>121</v>
      </c>
      <c r="E36" s="248">
        <v>1065</v>
      </c>
      <c r="F36" s="248">
        <v>0</v>
      </c>
      <c r="G36" s="248">
        <v>0</v>
      </c>
      <c r="H36" s="248">
        <v>245</v>
      </c>
      <c r="I36" s="248">
        <v>1932</v>
      </c>
      <c r="J36" s="300">
        <v>272</v>
      </c>
      <c r="K36" s="300">
        <v>3057</v>
      </c>
      <c r="L36" s="300">
        <v>0</v>
      </c>
      <c r="M36" s="300">
        <v>0</v>
      </c>
      <c r="N36" s="300">
        <v>0</v>
      </c>
      <c r="O36" s="300">
        <v>0</v>
      </c>
      <c r="P36" s="300">
        <v>45</v>
      </c>
      <c r="Q36" s="300">
        <v>275</v>
      </c>
    </row>
    <row r="37" spans="1:17">
      <c r="A37" s="141" t="s">
        <v>182</v>
      </c>
      <c r="B37" s="248">
        <v>113</v>
      </c>
      <c r="C37" s="248">
        <v>2725</v>
      </c>
      <c r="D37" s="248">
        <v>98</v>
      </c>
      <c r="E37" s="248">
        <v>1870</v>
      </c>
      <c r="F37" s="248">
        <v>2</v>
      </c>
      <c r="G37" s="248">
        <v>26</v>
      </c>
      <c r="H37" s="248">
        <v>38</v>
      </c>
      <c r="I37" s="248">
        <v>986</v>
      </c>
      <c r="J37" s="300">
        <v>27</v>
      </c>
      <c r="K37" s="300">
        <v>538</v>
      </c>
      <c r="L37" s="300">
        <v>2</v>
      </c>
      <c r="M37" s="300">
        <v>204</v>
      </c>
      <c r="N37" s="300">
        <v>0</v>
      </c>
      <c r="O37" s="300">
        <v>0</v>
      </c>
      <c r="P37" s="300">
        <v>349</v>
      </c>
      <c r="Q37" s="300">
        <v>6234</v>
      </c>
    </row>
    <row r="38" spans="1:17">
      <c r="A38" s="141" t="s">
        <v>317</v>
      </c>
      <c r="B38" s="248">
        <v>648</v>
      </c>
      <c r="C38" s="248">
        <v>20198</v>
      </c>
      <c r="D38" s="248">
        <v>84</v>
      </c>
      <c r="E38" s="248">
        <v>2687</v>
      </c>
      <c r="F38" s="248">
        <v>15</v>
      </c>
      <c r="G38" s="248">
        <v>376</v>
      </c>
      <c r="H38" s="248">
        <v>211</v>
      </c>
      <c r="I38" s="248">
        <v>2797</v>
      </c>
      <c r="J38" s="300">
        <v>13</v>
      </c>
      <c r="K38" s="300">
        <v>560</v>
      </c>
      <c r="L38" s="300">
        <v>5</v>
      </c>
      <c r="M38" s="300">
        <v>265</v>
      </c>
      <c r="N38" s="300">
        <v>40</v>
      </c>
      <c r="O38" s="300">
        <v>377</v>
      </c>
      <c r="P38" s="300">
        <v>8</v>
      </c>
      <c r="Q38" s="300">
        <v>1365</v>
      </c>
    </row>
    <row r="39" spans="1:17">
      <c r="A39" s="141" t="s">
        <v>185</v>
      </c>
      <c r="B39" s="248">
        <v>145</v>
      </c>
      <c r="C39" s="248">
        <v>1847</v>
      </c>
      <c r="D39" s="248">
        <v>80</v>
      </c>
      <c r="E39" s="248">
        <v>1213</v>
      </c>
      <c r="F39" s="248">
        <v>23</v>
      </c>
      <c r="G39" s="248">
        <v>159</v>
      </c>
      <c r="H39" s="248">
        <v>152</v>
      </c>
      <c r="I39" s="248">
        <v>825</v>
      </c>
      <c r="J39" s="300">
        <v>3</v>
      </c>
      <c r="K39" s="300">
        <v>55</v>
      </c>
      <c r="L39" s="300">
        <v>1</v>
      </c>
      <c r="M39" s="300">
        <v>0</v>
      </c>
      <c r="N39" s="300">
        <v>0</v>
      </c>
      <c r="O39" s="300">
        <v>0</v>
      </c>
      <c r="P39" s="300">
        <v>0</v>
      </c>
      <c r="Q39" s="300">
        <v>0</v>
      </c>
    </row>
    <row r="40" spans="1:17">
      <c r="A40" s="141" t="s">
        <v>186</v>
      </c>
      <c r="B40" s="248">
        <v>349</v>
      </c>
      <c r="C40" s="248">
        <v>8616</v>
      </c>
      <c r="D40" s="248">
        <v>470</v>
      </c>
      <c r="E40" s="248">
        <v>2782</v>
      </c>
      <c r="F40" s="248">
        <v>5</v>
      </c>
      <c r="G40" s="248">
        <v>89</v>
      </c>
      <c r="H40" s="248">
        <v>172</v>
      </c>
      <c r="I40" s="248">
        <v>1248</v>
      </c>
      <c r="J40" s="300">
        <v>38</v>
      </c>
      <c r="K40" s="300">
        <v>248</v>
      </c>
      <c r="L40" s="300">
        <v>0</v>
      </c>
      <c r="M40" s="300">
        <v>0</v>
      </c>
      <c r="N40" s="300">
        <v>8</v>
      </c>
      <c r="O40" s="300">
        <v>157</v>
      </c>
      <c r="P40" s="300">
        <v>175</v>
      </c>
      <c r="Q40" s="300">
        <v>4782</v>
      </c>
    </row>
    <row r="41" spans="1:17">
      <c r="A41" s="141" t="s">
        <v>282</v>
      </c>
      <c r="B41" s="248">
        <v>1112</v>
      </c>
      <c r="C41" s="248">
        <v>48646</v>
      </c>
      <c r="D41" s="248">
        <v>82</v>
      </c>
      <c r="E41" s="248">
        <v>3404</v>
      </c>
      <c r="F41" s="248">
        <v>87</v>
      </c>
      <c r="G41" s="248">
        <v>2684</v>
      </c>
      <c r="H41" s="248">
        <v>837</v>
      </c>
      <c r="I41" s="248">
        <v>11100</v>
      </c>
      <c r="J41" s="300">
        <v>80</v>
      </c>
      <c r="K41" s="300">
        <v>923</v>
      </c>
      <c r="L41" s="300">
        <v>1</v>
      </c>
      <c r="M41" s="300">
        <v>28</v>
      </c>
      <c r="N41" s="300">
        <v>11</v>
      </c>
      <c r="O41" s="300">
        <v>49</v>
      </c>
      <c r="P41" s="300">
        <v>13</v>
      </c>
      <c r="Q41" s="300">
        <v>779</v>
      </c>
    </row>
    <row r="42" spans="1:17">
      <c r="A42" s="141" t="s">
        <v>190</v>
      </c>
      <c r="B42" s="248">
        <v>184</v>
      </c>
      <c r="C42" s="248">
        <v>2873</v>
      </c>
      <c r="D42" s="248">
        <v>55</v>
      </c>
      <c r="E42" s="248">
        <v>701</v>
      </c>
      <c r="F42" s="248">
        <v>0</v>
      </c>
      <c r="G42" s="248">
        <v>0</v>
      </c>
      <c r="H42" s="248">
        <v>61</v>
      </c>
      <c r="I42" s="248">
        <v>666</v>
      </c>
      <c r="J42" s="300">
        <v>33</v>
      </c>
      <c r="K42" s="300">
        <v>287</v>
      </c>
      <c r="L42" s="300">
        <v>1</v>
      </c>
      <c r="M42" s="300">
        <v>11</v>
      </c>
      <c r="N42" s="300">
        <v>0</v>
      </c>
      <c r="O42" s="300">
        <v>0</v>
      </c>
      <c r="P42" s="300">
        <v>1</v>
      </c>
      <c r="Q42" s="300">
        <v>207</v>
      </c>
    </row>
    <row r="43" spans="1:17">
      <c r="A43" s="141" t="s">
        <v>192</v>
      </c>
      <c r="B43" s="248">
        <v>53</v>
      </c>
      <c r="C43" s="248">
        <v>1149</v>
      </c>
      <c r="D43" s="248">
        <v>14</v>
      </c>
      <c r="E43" s="248">
        <v>1169</v>
      </c>
      <c r="F43" s="248">
        <v>8</v>
      </c>
      <c r="G43" s="248">
        <v>97</v>
      </c>
      <c r="H43" s="248">
        <v>0</v>
      </c>
      <c r="I43" s="248">
        <v>0</v>
      </c>
      <c r="J43" s="300">
        <v>6</v>
      </c>
      <c r="K43" s="300">
        <v>115</v>
      </c>
      <c r="L43" s="300">
        <v>1</v>
      </c>
      <c r="M43" s="300">
        <v>17</v>
      </c>
      <c r="N43" s="300">
        <v>0</v>
      </c>
      <c r="O43" s="300">
        <v>0</v>
      </c>
      <c r="P43" s="300">
        <v>43</v>
      </c>
      <c r="Q43" s="300">
        <v>1562</v>
      </c>
    </row>
    <row r="44" spans="1:17">
      <c r="A44" s="141" t="s">
        <v>193</v>
      </c>
      <c r="B44" s="248">
        <v>156</v>
      </c>
      <c r="C44" s="248">
        <v>3563</v>
      </c>
      <c r="D44" s="248">
        <v>76</v>
      </c>
      <c r="E44" s="248">
        <v>1046</v>
      </c>
      <c r="F44" s="248">
        <v>8</v>
      </c>
      <c r="G44" s="248">
        <v>101</v>
      </c>
      <c r="H44" s="248">
        <v>63</v>
      </c>
      <c r="I44" s="248">
        <v>2004</v>
      </c>
      <c r="J44" s="300">
        <v>29</v>
      </c>
      <c r="K44" s="300">
        <v>207</v>
      </c>
      <c r="L44" s="300">
        <v>0</v>
      </c>
      <c r="M44" s="300">
        <v>0</v>
      </c>
      <c r="N44" s="300">
        <v>0</v>
      </c>
      <c r="O44" s="300">
        <v>0</v>
      </c>
      <c r="P44" s="300">
        <v>22</v>
      </c>
      <c r="Q44" s="300">
        <v>1171</v>
      </c>
    </row>
    <row r="45" spans="1:17">
      <c r="A45" s="141" t="s">
        <v>318</v>
      </c>
      <c r="B45" s="248">
        <v>580</v>
      </c>
      <c r="C45" s="248">
        <v>11699</v>
      </c>
      <c r="D45" s="248">
        <v>192</v>
      </c>
      <c r="E45" s="248">
        <v>1640</v>
      </c>
      <c r="F45" s="248">
        <v>15</v>
      </c>
      <c r="G45" s="248">
        <v>343</v>
      </c>
      <c r="H45" s="248">
        <v>24</v>
      </c>
      <c r="I45" s="248">
        <v>1275</v>
      </c>
      <c r="J45" s="300">
        <v>13</v>
      </c>
      <c r="K45" s="300">
        <v>175</v>
      </c>
      <c r="L45" s="300">
        <v>0</v>
      </c>
      <c r="M45" s="300">
        <v>0</v>
      </c>
      <c r="N45" s="300">
        <v>20</v>
      </c>
      <c r="O45" s="300">
        <v>304</v>
      </c>
      <c r="P45" s="300">
        <v>20</v>
      </c>
      <c r="Q45" s="300">
        <v>1077</v>
      </c>
    </row>
    <row r="46" spans="1:17">
      <c r="A46" s="141" t="s">
        <v>196</v>
      </c>
      <c r="B46" s="248">
        <v>109</v>
      </c>
      <c r="C46" s="248">
        <v>1079</v>
      </c>
      <c r="D46" s="248">
        <v>3</v>
      </c>
      <c r="E46" s="248">
        <v>32</v>
      </c>
      <c r="F46" s="248">
        <v>0</v>
      </c>
      <c r="G46" s="248">
        <v>0</v>
      </c>
      <c r="H46" s="248">
        <v>53</v>
      </c>
      <c r="I46" s="248">
        <v>301</v>
      </c>
      <c r="J46" s="300">
        <v>64</v>
      </c>
      <c r="K46" s="300">
        <v>449</v>
      </c>
      <c r="L46" s="300">
        <v>3</v>
      </c>
      <c r="M46" s="300">
        <v>32</v>
      </c>
      <c r="N46" s="300">
        <v>0</v>
      </c>
      <c r="O46" s="300">
        <v>0</v>
      </c>
      <c r="P46" s="300">
        <v>0</v>
      </c>
      <c r="Q46" s="300">
        <v>0</v>
      </c>
    </row>
    <row r="47" spans="1:17">
      <c r="A47" s="141" t="s">
        <v>198</v>
      </c>
      <c r="B47" s="248">
        <v>814</v>
      </c>
      <c r="C47" s="248">
        <v>15916</v>
      </c>
      <c r="D47" s="248">
        <v>321</v>
      </c>
      <c r="E47" s="248">
        <v>4960</v>
      </c>
      <c r="F47" s="248">
        <v>35</v>
      </c>
      <c r="G47" s="248">
        <v>1154</v>
      </c>
      <c r="H47" s="248">
        <v>601</v>
      </c>
      <c r="I47" s="248">
        <v>5914</v>
      </c>
      <c r="J47" s="300">
        <v>421</v>
      </c>
      <c r="K47" s="300">
        <v>1573</v>
      </c>
      <c r="L47" s="300">
        <v>6</v>
      </c>
      <c r="M47" s="300">
        <v>300</v>
      </c>
      <c r="N47" s="300">
        <v>0</v>
      </c>
      <c r="O47" s="300">
        <v>0</v>
      </c>
      <c r="P47" s="300">
        <v>178</v>
      </c>
      <c r="Q47" s="300">
        <v>2266</v>
      </c>
    </row>
    <row r="48" spans="1:17">
      <c r="A48" s="141" t="s">
        <v>199</v>
      </c>
      <c r="B48" s="248">
        <v>377</v>
      </c>
      <c r="C48" s="248">
        <v>13311</v>
      </c>
      <c r="D48" s="248">
        <v>184</v>
      </c>
      <c r="E48" s="248">
        <v>4343</v>
      </c>
      <c r="F48" s="248">
        <v>13</v>
      </c>
      <c r="G48" s="248">
        <v>406</v>
      </c>
      <c r="H48" s="248">
        <v>134</v>
      </c>
      <c r="I48" s="248">
        <v>3135</v>
      </c>
      <c r="J48" s="300">
        <v>77</v>
      </c>
      <c r="K48" s="300">
        <v>696</v>
      </c>
      <c r="L48" s="300">
        <v>2</v>
      </c>
      <c r="M48" s="300">
        <v>29</v>
      </c>
      <c r="N48" s="300">
        <v>180</v>
      </c>
      <c r="O48" s="300">
        <v>2399</v>
      </c>
      <c r="P48" s="300">
        <v>28</v>
      </c>
      <c r="Q48" s="300">
        <v>1220</v>
      </c>
    </row>
    <row r="49" spans="1:17">
      <c r="A49" s="141" t="s">
        <v>202</v>
      </c>
      <c r="B49" s="248">
        <v>180</v>
      </c>
      <c r="C49" s="248">
        <v>3633</v>
      </c>
      <c r="D49" s="248">
        <v>123</v>
      </c>
      <c r="E49" s="248">
        <v>3881</v>
      </c>
      <c r="F49" s="248">
        <v>43</v>
      </c>
      <c r="G49" s="248">
        <v>270</v>
      </c>
      <c r="H49" s="248">
        <v>174</v>
      </c>
      <c r="I49" s="248">
        <v>1574</v>
      </c>
      <c r="J49" s="300">
        <v>2</v>
      </c>
      <c r="K49" s="300">
        <v>55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</row>
    <row r="50" spans="1:17">
      <c r="A50" s="141" t="s">
        <v>203</v>
      </c>
      <c r="B50" s="248">
        <v>1117</v>
      </c>
      <c r="C50" s="248">
        <v>30927</v>
      </c>
      <c r="D50" s="248">
        <v>381</v>
      </c>
      <c r="E50" s="248">
        <v>5495</v>
      </c>
      <c r="F50" s="248">
        <v>124</v>
      </c>
      <c r="G50" s="248">
        <v>1450</v>
      </c>
      <c r="H50" s="248">
        <v>579</v>
      </c>
      <c r="I50" s="248">
        <v>4211</v>
      </c>
      <c r="J50" s="300">
        <v>68</v>
      </c>
      <c r="K50" s="300">
        <v>1312</v>
      </c>
      <c r="L50" s="300">
        <v>1</v>
      </c>
      <c r="M50" s="300">
        <v>12</v>
      </c>
      <c r="N50" s="300">
        <v>95</v>
      </c>
      <c r="O50" s="300">
        <v>836</v>
      </c>
      <c r="P50" s="300">
        <v>599</v>
      </c>
      <c r="Q50" s="300">
        <v>17743</v>
      </c>
    </row>
    <row r="51" spans="1:17">
      <c r="A51" s="141" t="s">
        <v>319</v>
      </c>
      <c r="B51" s="248">
        <v>309</v>
      </c>
      <c r="C51" s="248">
        <v>7995</v>
      </c>
      <c r="D51" s="248">
        <v>279</v>
      </c>
      <c r="E51" s="248">
        <v>4257</v>
      </c>
      <c r="F51" s="248">
        <v>25</v>
      </c>
      <c r="G51" s="248">
        <v>150</v>
      </c>
      <c r="H51" s="248">
        <v>204</v>
      </c>
      <c r="I51" s="248">
        <v>1353</v>
      </c>
      <c r="J51" s="300">
        <v>160</v>
      </c>
      <c r="K51" s="300">
        <v>672</v>
      </c>
      <c r="L51" s="300">
        <v>10</v>
      </c>
      <c r="M51" s="300">
        <v>119</v>
      </c>
      <c r="N51" s="300">
        <v>2</v>
      </c>
      <c r="O51" s="300">
        <v>39</v>
      </c>
      <c r="P51" s="300">
        <v>4</v>
      </c>
      <c r="Q51" s="300">
        <v>178</v>
      </c>
    </row>
    <row r="52" spans="1:17">
      <c r="A52" s="300" t="s">
        <v>206</v>
      </c>
      <c r="B52" s="300">
        <v>426</v>
      </c>
      <c r="C52" s="300">
        <v>7835</v>
      </c>
      <c r="D52" s="300">
        <v>135</v>
      </c>
      <c r="E52" s="300">
        <v>2106</v>
      </c>
      <c r="F52" s="300">
        <v>10</v>
      </c>
      <c r="G52" s="300">
        <v>211</v>
      </c>
      <c r="H52" s="300">
        <v>90</v>
      </c>
      <c r="I52" s="300">
        <v>1440</v>
      </c>
      <c r="J52" s="300">
        <v>203</v>
      </c>
      <c r="K52" s="300">
        <v>1779</v>
      </c>
      <c r="L52" s="300">
        <v>8</v>
      </c>
      <c r="M52" s="300">
        <v>202</v>
      </c>
      <c r="N52" s="300">
        <v>2</v>
      </c>
      <c r="O52" s="300">
        <v>11</v>
      </c>
      <c r="P52" s="300">
        <v>18</v>
      </c>
      <c r="Q52" s="300">
        <v>690</v>
      </c>
    </row>
    <row r="53" spans="1:17">
      <c r="A53" s="300" t="s">
        <v>207</v>
      </c>
      <c r="B53" s="300">
        <v>467</v>
      </c>
      <c r="C53" s="300">
        <v>7270</v>
      </c>
      <c r="D53" s="300">
        <v>103</v>
      </c>
      <c r="E53" s="300">
        <v>1634</v>
      </c>
      <c r="F53" s="300">
        <v>4</v>
      </c>
      <c r="G53" s="300">
        <v>122</v>
      </c>
      <c r="H53" s="300">
        <v>246</v>
      </c>
      <c r="I53" s="300">
        <v>2172</v>
      </c>
      <c r="J53" s="300">
        <v>105</v>
      </c>
      <c r="K53" s="300">
        <v>728</v>
      </c>
      <c r="L53" s="300">
        <v>10</v>
      </c>
      <c r="M53" s="300">
        <v>149</v>
      </c>
      <c r="N53" s="300">
        <v>0</v>
      </c>
      <c r="O53" s="300">
        <v>0</v>
      </c>
      <c r="P53" s="300">
        <v>19</v>
      </c>
      <c r="Q53" s="300">
        <v>549</v>
      </c>
    </row>
    <row r="54" spans="1:17">
      <c r="A54" s="300" t="s">
        <v>208</v>
      </c>
      <c r="B54" s="300">
        <v>252</v>
      </c>
      <c r="C54" s="300">
        <v>3743</v>
      </c>
      <c r="D54" s="300">
        <v>133</v>
      </c>
      <c r="E54" s="300">
        <v>1308</v>
      </c>
      <c r="F54" s="300">
        <v>17</v>
      </c>
      <c r="G54" s="300">
        <v>125</v>
      </c>
      <c r="H54" s="300">
        <v>121</v>
      </c>
      <c r="I54" s="300">
        <v>859</v>
      </c>
      <c r="J54" s="300">
        <v>15</v>
      </c>
      <c r="K54" s="300">
        <v>0</v>
      </c>
      <c r="L54" s="300">
        <v>0</v>
      </c>
      <c r="M54" s="300">
        <v>0</v>
      </c>
      <c r="N54" s="300">
        <v>0</v>
      </c>
      <c r="O54" s="300">
        <v>0</v>
      </c>
      <c r="P54" s="300">
        <v>0</v>
      </c>
      <c r="Q54" s="300">
        <v>0</v>
      </c>
    </row>
    <row r="55" spans="1:17">
      <c r="A55" s="300" t="s">
        <v>210</v>
      </c>
      <c r="B55" s="300">
        <v>222</v>
      </c>
      <c r="C55" s="300">
        <v>10748</v>
      </c>
      <c r="D55" s="300">
        <v>360</v>
      </c>
      <c r="E55" s="300">
        <v>8236</v>
      </c>
      <c r="F55" s="300">
        <v>10</v>
      </c>
      <c r="G55" s="300">
        <v>323</v>
      </c>
      <c r="H55" s="300">
        <v>397</v>
      </c>
      <c r="I55" s="300">
        <v>2960</v>
      </c>
      <c r="J55" s="300">
        <v>6</v>
      </c>
      <c r="K55" s="300">
        <v>123</v>
      </c>
      <c r="L55" s="300">
        <v>2</v>
      </c>
      <c r="M55" s="300">
        <v>58</v>
      </c>
      <c r="N55" s="300">
        <v>0</v>
      </c>
      <c r="O55" s="300">
        <v>0</v>
      </c>
      <c r="P55" s="300">
        <v>0</v>
      </c>
      <c r="Q55" s="300">
        <v>0</v>
      </c>
    </row>
    <row r="56" spans="1:17">
      <c r="A56" s="300" t="s">
        <v>349</v>
      </c>
      <c r="B56" s="300">
        <v>52</v>
      </c>
      <c r="C56" s="300">
        <v>474</v>
      </c>
      <c r="D56" s="300">
        <v>68</v>
      </c>
      <c r="E56" s="300">
        <v>1188</v>
      </c>
      <c r="F56" s="300">
        <v>0</v>
      </c>
      <c r="G56" s="300">
        <v>0</v>
      </c>
      <c r="H56" s="300">
        <v>111</v>
      </c>
      <c r="I56" s="300">
        <v>453</v>
      </c>
      <c r="J56" s="300">
        <v>20</v>
      </c>
      <c r="K56" s="300">
        <v>124</v>
      </c>
      <c r="L56" s="300">
        <v>0</v>
      </c>
      <c r="M56" s="300">
        <v>0</v>
      </c>
      <c r="N56" s="300">
        <v>0</v>
      </c>
      <c r="O56" s="300">
        <v>0</v>
      </c>
      <c r="P56" s="300">
        <v>12</v>
      </c>
      <c r="Q56" s="300">
        <v>186</v>
      </c>
    </row>
    <row r="57" spans="1:17">
      <c r="A57" s="300" t="s">
        <v>213</v>
      </c>
      <c r="B57" s="300">
        <v>173</v>
      </c>
      <c r="C57" s="300">
        <v>2777</v>
      </c>
      <c r="D57" s="300">
        <v>95</v>
      </c>
      <c r="E57" s="300">
        <v>1435</v>
      </c>
      <c r="F57" s="300">
        <v>1</v>
      </c>
      <c r="G57" s="300">
        <v>15</v>
      </c>
      <c r="H57" s="300">
        <v>56</v>
      </c>
      <c r="I57" s="300">
        <v>555</v>
      </c>
      <c r="J57" s="300">
        <v>34</v>
      </c>
      <c r="K57" s="300">
        <v>171</v>
      </c>
      <c r="L57" s="300">
        <v>0</v>
      </c>
      <c r="M57" s="300">
        <v>0</v>
      </c>
      <c r="N57" s="300">
        <v>4</v>
      </c>
      <c r="O57" s="300">
        <v>189</v>
      </c>
      <c r="P57" s="300">
        <v>78</v>
      </c>
      <c r="Q57" s="300">
        <v>1079</v>
      </c>
    </row>
    <row r="58" spans="1:17">
      <c r="A58" s="300" t="s">
        <v>357</v>
      </c>
      <c r="B58" s="300">
        <v>91</v>
      </c>
      <c r="C58" s="300">
        <v>771</v>
      </c>
      <c r="D58" s="300">
        <v>9</v>
      </c>
      <c r="E58" s="300">
        <v>210</v>
      </c>
      <c r="F58" s="300">
        <v>2</v>
      </c>
      <c r="G58" s="300">
        <v>19</v>
      </c>
      <c r="H58" s="300">
        <v>15</v>
      </c>
      <c r="I58" s="300">
        <v>179</v>
      </c>
      <c r="J58" s="300">
        <v>5</v>
      </c>
      <c r="K58" s="300">
        <v>27</v>
      </c>
      <c r="L58" s="300">
        <v>0</v>
      </c>
      <c r="M58" s="300">
        <v>0</v>
      </c>
      <c r="N58" s="300">
        <v>0</v>
      </c>
      <c r="O58" s="300">
        <v>0</v>
      </c>
      <c r="P58" s="300">
        <v>1</v>
      </c>
      <c r="Q58" s="300">
        <v>12</v>
      </c>
    </row>
    <row r="59" spans="1:17">
      <c r="A59" s="300" t="s">
        <v>218</v>
      </c>
      <c r="B59" s="300">
        <v>610</v>
      </c>
      <c r="C59" s="300">
        <v>14954</v>
      </c>
      <c r="D59" s="300">
        <v>187</v>
      </c>
      <c r="E59" s="300">
        <v>5246</v>
      </c>
      <c r="F59" s="300">
        <v>128</v>
      </c>
      <c r="G59" s="300">
        <v>931</v>
      </c>
      <c r="H59" s="300">
        <v>574</v>
      </c>
      <c r="I59" s="300">
        <v>13989</v>
      </c>
      <c r="J59" s="300">
        <v>183</v>
      </c>
      <c r="K59" s="300">
        <v>1589</v>
      </c>
      <c r="L59" s="300">
        <v>10</v>
      </c>
      <c r="M59" s="300">
        <v>210</v>
      </c>
      <c r="N59" s="300">
        <v>39</v>
      </c>
      <c r="O59" s="300">
        <v>809</v>
      </c>
      <c r="P59" s="300">
        <v>199</v>
      </c>
      <c r="Q59" s="300">
        <v>13859</v>
      </c>
    </row>
    <row r="60" spans="1:17">
      <c r="A60" s="300" t="s">
        <v>219</v>
      </c>
      <c r="B60" s="300">
        <v>230</v>
      </c>
      <c r="C60" s="300">
        <v>10541</v>
      </c>
      <c r="D60" s="300">
        <v>89</v>
      </c>
      <c r="E60" s="300">
        <v>2703</v>
      </c>
      <c r="F60" s="300">
        <v>17</v>
      </c>
      <c r="G60" s="300">
        <v>744</v>
      </c>
      <c r="H60" s="300">
        <v>327</v>
      </c>
      <c r="I60" s="300">
        <v>5290</v>
      </c>
      <c r="J60" s="300">
        <v>179</v>
      </c>
      <c r="K60" s="300">
        <v>337</v>
      </c>
      <c r="L60" s="300">
        <v>0</v>
      </c>
      <c r="M60" s="300">
        <v>0</v>
      </c>
      <c r="N60" s="300">
        <v>12</v>
      </c>
      <c r="O60" s="300">
        <v>47</v>
      </c>
      <c r="P60" s="300">
        <v>33</v>
      </c>
      <c r="Q60" s="300">
        <v>890</v>
      </c>
    </row>
    <row r="61" spans="1:17">
      <c r="A61" s="300" t="s">
        <v>320</v>
      </c>
      <c r="B61" s="300">
        <v>164</v>
      </c>
      <c r="C61" s="300">
        <v>2633</v>
      </c>
      <c r="D61" s="300">
        <v>181</v>
      </c>
      <c r="E61" s="300">
        <v>2991</v>
      </c>
      <c r="F61" s="300">
        <v>9</v>
      </c>
      <c r="G61" s="300">
        <v>142</v>
      </c>
      <c r="H61" s="300">
        <v>47</v>
      </c>
      <c r="I61" s="300">
        <v>272</v>
      </c>
      <c r="J61" s="300">
        <v>40</v>
      </c>
      <c r="K61" s="300">
        <v>363</v>
      </c>
      <c r="L61" s="300">
        <v>0</v>
      </c>
      <c r="M61" s="300">
        <v>0</v>
      </c>
      <c r="N61" s="300">
        <v>0</v>
      </c>
      <c r="O61" s="300">
        <v>0</v>
      </c>
      <c r="P61" s="300">
        <v>16</v>
      </c>
      <c r="Q61" s="300">
        <v>172</v>
      </c>
    </row>
    <row r="62" spans="1:17">
      <c r="A62" s="300" t="s">
        <v>220</v>
      </c>
      <c r="B62" s="300">
        <v>1256</v>
      </c>
      <c r="C62" s="300">
        <v>34028</v>
      </c>
      <c r="D62" s="300">
        <v>403</v>
      </c>
      <c r="E62" s="300">
        <v>8852</v>
      </c>
      <c r="F62" s="300">
        <v>174</v>
      </c>
      <c r="G62" s="300">
        <v>1728</v>
      </c>
      <c r="H62" s="300">
        <v>388</v>
      </c>
      <c r="I62" s="300">
        <v>4590</v>
      </c>
      <c r="J62" s="300">
        <v>931</v>
      </c>
      <c r="K62" s="300">
        <v>2607</v>
      </c>
      <c r="L62" s="300">
        <v>26</v>
      </c>
      <c r="M62" s="300">
        <v>958</v>
      </c>
      <c r="N62" s="300">
        <v>32</v>
      </c>
      <c r="O62" s="300">
        <v>1243</v>
      </c>
      <c r="P62" s="300">
        <v>40</v>
      </c>
      <c r="Q62" s="300">
        <v>2954</v>
      </c>
    </row>
    <row r="63" spans="1:17">
      <c r="A63" s="300" t="s">
        <v>283</v>
      </c>
      <c r="B63" s="300">
        <v>14</v>
      </c>
      <c r="C63" s="300">
        <v>244</v>
      </c>
      <c r="D63" s="300">
        <v>21</v>
      </c>
      <c r="E63" s="300">
        <v>394</v>
      </c>
      <c r="F63" s="300">
        <v>2</v>
      </c>
      <c r="G63" s="300">
        <v>250</v>
      </c>
      <c r="H63" s="300">
        <v>15</v>
      </c>
      <c r="I63" s="300">
        <v>456</v>
      </c>
      <c r="J63" s="300">
        <v>72</v>
      </c>
      <c r="K63" s="300">
        <v>1080</v>
      </c>
      <c r="L63" s="300">
        <v>2</v>
      </c>
      <c r="M63" s="300">
        <v>200</v>
      </c>
      <c r="N63" s="300">
        <v>0</v>
      </c>
      <c r="O63" s="300">
        <v>0</v>
      </c>
      <c r="P63" s="300">
        <v>11</v>
      </c>
      <c r="Q63" s="300">
        <v>523</v>
      </c>
    </row>
    <row r="64" spans="1:17">
      <c r="A64" s="300" t="s">
        <v>223</v>
      </c>
      <c r="B64" s="300">
        <v>189</v>
      </c>
      <c r="C64" s="300">
        <v>3795</v>
      </c>
      <c r="D64" s="300">
        <v>38</v>
      </c>
      <c r="E64" s="300">
        <v>987</v>
      </c>
      <c r="F64" s="300">
        <v>20</v>
      </c>
      <c r="G64" s="300">
        <v>112</v>
      </c>
      <c r="H64" s="300">
        <v>105</v>
      </c>
      <c r="I64" s="300">
        <v>1254</v>
      </c>
      <c r="J64" s="300">
        <v>7</v>
      </c>
      <c r="K64" s="300">
        <v>67</v>
      </c>
      <c r="L64" s="300">
        <v>4</v>
      </c>
      <c r="M64" s="300">
        <v>142</v>
      </c>
      <c r="N64" s="300">
        <v>9</v>
      </c>
      <c r="O64" s="300">
        <v>102</v>
      </c>
      <c r="P64" s="300">
        <v>2</v>
      </c>
      <c r="Q64" s="300">
        <v>261</v>
      </c>
    </row>
    <row r="65" spans="1:17">
      <c r="A65" s="300" t="s">
        <v>224</v>
      </c>
      <c r="B65" s="300">
        <v>886</v>
      </c>
      <c r="C65" s="300">
        <v>45500</v>
      </c>
      <c r="D65" s="300">
        <v>284</v>
      </c>
      <c r="E65" s="300">
        <v>3987</v>
      </c>
      <c r="F65" s="300">
        <v>54</v>
      </c>
      <c r="G65" s="300">
        <v>463</v>
      </c>
      <c r="H65" s="300">
        <v>535</v>
      </c>
      <c r="I65" s="300">
        <v>5124</v>
      </c>
      <c r="J65" s="300">
        <v>52</v>
      </c>
      <c r="K65" s="300">
        <v>470</v>
      </c>
      <c r="L65" s="300">
        <v>0</v>
      </c>
      <c r="M65" s="300">
        <v>0</v>
      </c>
      <c r="N65" s="300">
        <v>147</v>
      </c>
      <c r="O65" s="300">
        <v>1502</v>
      </c>
      <c r="P65" s="300">
        <v>93</v>
      </c>
      <c r="Q65" s="300">
        <v>2185</v>
      </c>
    </row>
    <row r="66" spans="1:17">
      <c r="A66" s="300" t="s">
        <v>225</v>
      </c>
      <c r="B66" s="300">
        <v>253</v>
      </c>
      <c r="C66" s="300">
        <v>10664</v>
      </c>
      <c r="D66" s="300">
        <v>64</v>
      </c>
      <c r="E66" s="300">
        <v>1933</v>
      </c>
      <c r="F66" s="300">
        <v>22</v>
      </c>
      <c r="G66" s="300">
        <v>260</v>
      </c>
      <c r="H66" s="300">
        <v>140</v>
      </c>
      <c r="I66" s="300">
        <v>2089</v>
      </c>
      <c r="J66" s="300">
        <v>39</v>
      </c>
      <c r="K66" s="300">
        <v>380</v>
      </c>
      <c r="L66" s="300">
        <v>0</v>
      </c>
      <c r="M66" s="300">
        <v>0</v>
      </c>
      <c r="N66" s="300">
        <v>0</v>
      </c>
      <c r="O66" s="300">
        <v>0</v>
      </c>
      <c r="P66" s="300">
        <v>0</v>
      </c>
      <c r="Q66" s="300">
        <v>0</v>
      </c>
    </row>
    <row r="67" spans="1:17">
      <c r="A67" s="300" t="s">
        <v>226</v>
      </c>
      <c r="B67" s="300">
        <v>371</v>
      </c>
      <c r="C67" s="300">
        <v>11649</v>
      </c>
      <c r="D67" s="300">
        <v>123</v>
      </c>
      <c r="E67" s="300">
        <v>4012</v>
      </c>
      <c r="F67" s="300">
        <v>8</v>
      </c>
      <c r="G67" s="300">
        <v>92</v>
      </c>
      <c r="H67" s="300">
        <v>145</v>
      </c>
      <c r="I67" s="300">
        <v>2123</v>
      </c>
      <c r="J67" s="300">
        <v>39</v>
      </c>
      <c r="K67" s="300">
        <v>431</v>
      </c>
      <c r="L67" s="300">
        <v>5</v>
      </c>
      <c r="M67" s="300">
        <v>163</v>
      </c>
      <c r="N67" s="300">
        <v>1</v>
      </c>
      <c r="O67" s="300">
        <v>200</v>
      </c>
      <c r="P67" s="300">
        <v>41</v>
      </c>
      <c r="Q67" s="300">
        <v>1116</v>
      </c>
    </row>
    <row r="68" spans="1:17">
      <c r="A68" s="300" t="s">
        <v>228</v>
      </c>
      <c r="B68" s="300">
        <v>260</v>
      </c>
      <c r="C68" s="300">
        <v>4078</v>
      </c>
      <c r="D68" s="300">
        <v>40</v>
      </c>
      <c r="E68" s="300">
        <v>506</v>
      </c>
      <c r="F68" s="300">
        <v>2</v>
      </c>
      <c r="G68" s="300">
        <v>37</v>
      </c>
      <c r="H68" s="300">
        <v>70</v>
      </c>
      <c r="I68" s="300">
        <v>925</v>
      </c>
      <c r="J68" s="300">
        <v>44</v>
      </c>
      <c r="K68" s="300">
        <v>472</v>
      </c>
      <c r="L68" s="300">
        <v>3</v>
      </c>
      <c r="M68" s="300">
        <v>13</v>
      </c>
      <c r="N68" s="300">
        <v>2</v>
      </c>
      <c r="O68" s="300">
        <v>62</v>
      </c>
      <c r="P68" s="300">
        <v>19</v>
      </c>
      <c r="Q68" s="300">
        <v>257</v>
      </c>
    </row>
    <row r="69" spans="1:17">
      <c r="A69" s="300" t="s">
        <v>229</v>
      </c>
      <c r="B69" s="300">
        <v>555</v>
      </c>
      <c r="C69" s="300">
        <v>17028</v>
      </c>
      <c r="D69" s="300">
        <v>146</v>
      </c>
      <c r="E69" s="300">
        <v>3836</v>
      </c>
      <c r="F69" s="300">
        <v>66</v>
      </c>
      <c r="G69" s="300">
        <v>1109</v>
      </c>
      <c r="H69" s="300">
        <v>927</v>
      </c>
      <c r="I69" s="300">
        <v>12786</v>
      </c>
      <c r="J69" s="300">
        <v>14</v>
      </c>
      <c r="K69" s="300">
        <v>141</v>
      </c>
      <c r="L69" s="300">
        <v>0</v>
      </c>
      <c r="M69" s="300">
        <v>0</v>
      </c>
      <c r="N69" s="300">
        <v>305</v>
      </c>
      <c r="O69" s="300">
        <v>3223</v>
      </c>
      <c r="P69" s="300">
        <v>29</v>
      </c>
      <c r="Q69" s="300">
        <v>1085</v>
      </c>
    </row>
    <row r="70" spans="1:17">
      <c r="A70" s="300" t="s">
        <v>322</v>
      </c>
      <c r="B70" s="300">
        <v>744</v>
      </c>
      <c r="C70" s="300">
        <v>13767</v>
      </c>
      <c r="D70" s="300">
        <v>1190</v>
      </c>
      <c r="E70" s="300">
        <v>18017</v>
      </c>
      <c r="F70" s="300">
        <v>114</v>
      </c>
      <c r="G70" s="300">
        <v>1150</v>
      </c>
      <c r="H70" s="300">
        <v>1381</v>
      </c>
      <c r="I70" s="300">
        <v>8963</v>
      </c>
      <c r="J70" s="300">
        <v>572</v>
      </c>
      <c r="K70" s="300">
        <v>3522</v>
      </c>
      <c r="L70" s="300">
        <v>0</v>
      </c>
      <c r="M70" s="300">
        <v>0</v>
      </c>
      <c r="N70" s="300">
        <v>0</v>
      </c>
      <c r="O70" s="300">
        <v>0</v>
      </c>
      <c r="P70" s="300">
        <v>55</v>
      </c>
      <c r="Q70" s="300">
        <v>998</v>
      </c>
    </row>
    <row r="71" spans="1:17">
      <c r="A71" s="300" t="s">
        <v>323</v>
      </c>
      <c r="B71" s="300">
        <v>330</v>
      </c>
      <c r="C71" s="300">
        <v>5796</v>
      </c>
      <c r="D71" s="300">
        <v>83</v>
      </c>
      <c r="E71" s="300">
        <v>928</v>
      </c>
      <c r="F71" s="300">
        <v>0</v>
      </c>
      <c r="G71" s="300">
        <v>0</v>
      </c>
      <c r="H71" s="300">
        <v>176</v>
      </c>
      <c r="I71" s="300">
        <v>772</v>
      </c>
      <c r="J71" s="300">
        <v>353</v>
      </c>
      <c r="K71" s="300">
        <v>452</v>
      </c>
      <c r="L71" s="300">
        <v>0</v>
      </c>
      <c r="M71" s="300">
        <v>0</v>
      </c>
      <c r="N71" s="300">
        <v>0</v>
      </c>
      <c r="O71" s="300">
        <v>0</v>
      </c>
      <c r="P71" s="300">
        <v>68</v>
      </c>
      <c r="Q71" s="300">
        <v>830</v>
      </c>
    </row>
    <row r="72" spans="1:17">
      <c r="A72" s="300" t="s">
        <v>350</v>
      </c>
      <c r="B72" s="300">
        <v>746</v>
      </c>
      <c r="C72" s="300">
        <v>14467</v>
      </c>
      <c r="D72" s="300">
        <v>579</v>
      </c>
      <c r="E72" s="300">
        <v>11039</v>
      </c>
      <c r="F72" s="300">
        <v>34</v>
      </c>
      <c r="G72" s="300">
        <v>580</v>
      </c>
      <c r="H72" s="300">
        <v>983</v>
      </c>
      <c r="I72" s="300">
        <v>10439</v>
      </c>
      <c r="J72" s="300">
        <v>480</v>
      </c>
      <c r="K72" s="300">
        <v>4141</v>
      </c>
      <c r="L72" s="300">
        <v>0</v>
      </c>
      <c r="M72" s="300">
        <v>0</v>
      </c>
      <c r="N72" s="300">
        <v>0</v>
      </c>
      <c r="O72" s="300">
        <v>0</v>
      </c>
      <c r="P72" s="300">
        <v>206</v>
      </c>
      <c r="Q72" s="300">
        <v>7797</v>
      </c>
    </row>
    <row r="73" spans="1:17">
      <c r="A73" s="300" t="s">
        <v>284</v>
      </c>
      <c r="B73" s="300">
        <v>545</v>
      </c>
      <c r="C73" s="300">
        <v>24941</v>
      </c>
      <c r="D73" s="300">
        <v>173</v>
      </c>
      <c r="E73" s="300">
        <v>2799</v>
      </c>
      <c r="F73" s="300">
        <v>34</v>
      </c>
      <c r="G73" s="300">
        <v>313</v>
      </c>
      <c r="H73" s="300">
        <v>734</v>
      </c>
      <c r="I73" s="300">
        <v>11290</v>
      </c>
      <c r="J73" s="300">
        <v>67</v>
      </c>
      <c r="K73" s="300">
        <v>1180</v>
      </c>
      <c r="L73" s="300">
        <v>6</v>
      </c>
      <c r="M73" s="300">
        <v>196</v>
      </c>
      <c r="N73" s="300">
        <v>217</v>
      </c>
      <c r="O73" s="300">
        <v>3054</v>
      </c>
      <c r="P73" s="300">
        <v>57</v>
      </c>
      <c r="Q73" s="300">
        <v>3086</v>
      </c>
    </row>
    <row r="74" spans="1:17">
      <c r="A74" s="300" t="s">
        <v>232</v>
      </c>
      <c r="B74" s="300">
        <v>463</v>
      </c>
      <c r="C74" s="300">
        <v>9389</v>
      </c>
      <c r="D74" s="300">
        <v>274</v>
      </c>
      <c r="E74" s="300">
        <v>7833</v>
      </c>
      <c r="F74" s="300">
        <v>32</v>
      </c>
      <c r="G74" s="300">
        <v>446</v>
      </c>
      <c r="H74" s="300">
        <v>546</v>
      </c>
      <c r="I74" s="300">
        <v>5377</v>
      </c>
      <c r="J74" s="300">
        <v>48</v>
      </c>
      <c r="K74" s="300">
        <v>235</v>
      </c>
      <c r="L74" s="300">
        <v>23</v>
      </c>
      <c r="M74" s="300">
        <v>1529</v>
      </c>
      <c r="N74" s="300">
        <v>0</v>
      </c>
      <c r="O74" s="300">
        <v>0</v>
      </c>
      <c r="P74" s="300">
        <v>21</v>
      </c>
      <c r="Q74" s="300">
        <v>466</v>
      </c>
    </row>
    <row r="75" spans="1:17">
      <c r="A75" s="300" t="s">
        <v>233</v>
      </c>
      <c r="B75" s="300">
        <v>238</v>
      </c>
      <c r="C75" s="300">
        <v>6386</v>
      </c>
      <c r="D75" s="300">
        <v>136</v>
      </c>
      <c r="E75" s="300">
        <v>2204</v>
      </c>
      <c r="F75" s="300">
        <v>7</v>
      </c>
      <c r="G75" s="300">
        <v>119</v>
      </c>
      <c r="H75" s="300">
        <v>201</v>
      </c>
      <c r="I75" s="300">
        <v>2097</v>
      </c>
      <c r="J75" s="300">
        <v>15</v>
      </c>
      <c r="K75" s="300">
        <v>121</v>
      </c>
      <c r="L75" s="300">
        <v>9</v>
      </c>
      <c r="M75" s="300">
        <v>132</v>
      </c>
      <c r="N75" s="300">
        <v>0</v>
      </c>
      <c r="O75" s="300">
        <v>0</v>
      </c>
      <c r="P75" s="300">
        <v>18</v>
      </c>
      <c r="Q75" s="300">
        <v>483</v>
      </c>
    </row>
    <row r="76" spans="1:17">
      <c r="A76" s="300" t="s">
        <v>234</v>
      </c>
      <c r="B76" s="300">
        <v>110</v>
      </c>
      <c r="C76" s="300">
        <v>1466</v>
      </c>
      <c r="D76" s="300">
        <v>254</v>
      </c>
      <c r="E76" s="300">
        <v>4138</v>
      </c>
      <c r="F76" s="300">
        <v>33</v>
      </c>
      <c r="G76" s="300">
        <v>366</v>
      </c>
      <c r="H76" s="300">
        <v>378</v>
      </c>
      <c r="I76" s="300">
        <v>4310</v>
      </c>
      <c r="J76" s="300">
        <v>182</v>
      </c>
      <c r="K76" s="300">
        <v>1031</v>
      </c>
      <c r="L76" s="300">
        <v>3</v>
      </c>
      <c r="M76" s="300">
        <v>82</v>
      </c>
      <c r="N76" s="300">
        <v>11</v>
      </c>
      <c r="O76" s="300">
        <v>351</v>
      </c>
      <c r="P76" s="300">
        <v>137</v>
      </c>
      <c r="Q76" s="300">
        <v>4785</v>
      </c>
    </row>
    <row r="77" spans="1:17">
      <c r="A77" s="300" t="s">
        <v>236</v>
      </c>
      <c r="B77" s="300">
        <v>0</v>
      </c>
      <c r="C77" s="300">
        <v>0</v>
      </c>
      <c r="D77" s="300">
        <v>356</v>
      </c>
      <c r="E77" s="300">
        <v>6066</v>
      </c>
      <c r="F77" s="300">
        <v>0</v>
      </c>
      <c r="G77" s="300">
        <v>0</v>
      </c>
      <c r="H77" s="300">
        <v>193</v>
      </c>
      <c r="I77" s="300">
        <v>2021</v>
      </c>
      <c r="J77" s="300">
        <v>0</v>
      </c>
      <c r="K77" s="300">
        <v>0</v>
      </c>
      <c r="L77" s="300">
        <v>0</v>
      </c>
      <c r="M77" s="300">
        <v>0</v>
      </c>
      <c r="N77" s="300">
        <v>0</v>
      </c>
      <c r="O77" s="300">
        <v>0</v>
      </c>
      <c r="P77" s="300">
        <v>0</v>
      </c>
      <c r="Q77" s="300">
        <v>0</v>
      </c>
    </row>
    <row r="78" spans="1:17">
      <c r="A78" s="300" t="s">
        <v>238</v>
      </c>
      <c r="B78" s="300">
        <v>123</v>
      </c>
      <c r="C78" s="300">
        <v>2550</v>
      </c>
      <c r="D78" s="300">
        <v>284</v>
      </c>
      <c r="E78" s="300">
        <v>1288</v>
      </c>
      <c r="F78" s="300">
        <v>1</v>
      </c>
      <c r="G78" s="300">
        <v>17</v>
      </c>
      <c r="H78" s="300">
        <v>83</v>
      </c>
      <c r="I78" s="300">
        <v>1124</v>
      </c>
      <c r="J78" s="300">
        <v>12</v>
      </c>
      <c r="K78" s="300">
        <v>164</v>
      </c>
      <c r="L78" s="300">
        <v>1</v>
      </c>
      <c r="M78" s="300">
        <v>28</v>
      </c>
      <c r="N78" s="300">
        <v>35</v>
      </c>
      <c r="O78" s="300">
        <v>917</v>
      </c>
      <c r="P78" s="300">
        <v>2</v>
      </c>
      <c r="Q78" s="300">
        <v>613</v>
      </c>
    </row>
    <row r="79" spans="1:17">
      <c r="A79" s="300" t="s">
        <v>239</v>
      </c>
      <c r="B79" s="300">
        <v>630</v>
      </c>
      <c r="C79" s="300">
        <v>21554</v>
      </c>
      <c r="D79" s="300">
        <v>66</v>
      </c>
      <c r="E79" s="300">
        <v>1217</v>
      </c>
      <c r="F79" s="300">
        <v>69</v>
      </c>
      <c r="G79" s="300">
        <v>3276</v>
      </c>
      <c r="H79" s="300">
        <v>542</v>
      </c>
      <c r="I79" s="300">
        <v>6010</v>
      </c>
      <c r="J79" s="300">
        <v>129</v>
      </c>
      <c r="K79" s="300">
        <v>1569</v>
      </c>
      <c r="L79" s="300">
        <v>10</v>
      </c>
      <c r="M79" s="300">
        <v>357</v>
      </c>
      <c r="N79" s="300">
        <v>5</v>
      </c>
      <c r="O79" s="300">
        <v>230</v>
      </c>
      <c r="P79" s="300">
        <v>439</v>
      </c>
      <c r="Q79" s="300">
        <v>32512</v>
      </c>
    </row>
    <row r="80" spans="1:17">
      <c r="A80" s="300" t="s">
        <v>351</v>
      </c>
      <c r="B80" s="300">
        <v>391</v>
      </c>
      <c r="C80" s="300">
        <v>16212</v>
      </c>
      <c r="D80" s="300">
        <v>58</v>
      </c>
      <c r="E80" s="300">
        <v>571</v>
      </c>
      <c r="F80" s="300">
        <v>68</v>
      </c>
      <c r="G80" s="300">
        <v>650</v>
      </c>
      <c r="H80" s="300">
        <v>71</v>
      </c>
      <c r="I80" s="300">
        <v>761</v>
      </c>
      <c r="J80" s="300">
        <v>21</v>
      </c>
      <c r="K80" s="300">
        <v>367</v>
      </c>
      <c r="L80" s="300">
        <v>13</v>
      </c>
      <c r="M80" s="300">
        <v>482</v>
      </c>
      <c r="N80" s="300">
        <v>164</v>
      </c>
      <c r="O80" s="300">
        <v>5528</v>
      </c>
      <c r="P80" s="300">
        <v>38</v>
      </c>
      <c r="Q80" s="300">
        <v>1809</v>
      </c>
    </row>
    <row r="81" spans="1:17">
      <c r="A81" s="300" t="s">
        <v>244</v>
      </c>
      <c r="B81" s="300">
        <v>38</v>
      </c>
      <c r="C81" s="300">
        <v>192</v>
      </c>
      <c r="D81" s="300">
        <v>14</v>
      </c>
      <c r="E81" s="300">
        <v>147</v>
      </c>
      <c r="F81" s="300">
        <v>4</v>
      </c>
      <c r="G81" s="300">
        <v>22</v>
      </c>
      <c r="H81" s="300">
        <v>0</v>
      </c>
      <c r="I81" s="300">
        <v>0</v>
      </c>
      <c r="J81" s="300">
        <v>10</v>
      </c>
      <c r="K81" s="300">
        <v>7</v>
      </c>
      <c r="L81" s="300">
        <v>0</v>
      </c>
      <c r="M81" s="300">
        <v>0</v>
      </c>
      <c r="N81" s="300">
        <v>0</v>
      </c>
      <c r="O81" s="300">
        <v>0</v>
      </c>
      <c r="P81" s="300">
        <v>0</v>
      </c>
      <c r="Q81" s="300">
        <v>0</v>
      </c>
    </row>
    <row r="82" spans="1:17">
      <c r="A82" s="300" t="s">
        <v>326</v>
      </c>
      <c r="B82" s="300">
        <v>287</v>
      </c>
      <c r="C82" s="300">
        <v>4048</v>
      </c>
      <c r="D82" s="300">
        <v>123</v>
      </c>
      <c r="E82" s="300">
        <v>1690</v>
      </c>
      <c r="F82" s="300">
        <v>77</v>
      </c>
      <c r="G82" s="300">
        <v>167</v>
      </c>
      <c r="H82" s="300">
        <v>128</v>
      </c>
      <c r="I82" s="300">
        <v>715</v>
      </c>
      <c r="J82" s="300">
        <v>183</v>
      </c>
      <c r="K82" s="300">
        <v>1012</v>
      </c>
      <c r="L82" s="300">
        <v>0</v>
      </c>
      <c r="M82" s="300">
        <v>0</v>
      </c>
      <c r="N82" s="300">
        <v>0</v>
      </c>
      <c r="O82" s="300">
        <v>0</v>
      </c>
      <c r="P82" s="300">
        <v>68</v>
      </c>
      <c r="Q82" s="300">
        <v>530</v>
      </c>
    </row>
    <row r="83" spans="1:17">
      <c r="A83" s="300" t="s">
        <v>247</v>
      </c>
      <c r="B83" s="300">
        <v>82</v>
      </c>
      <c r="C83" s="300">
        <v>971</v>
      </c>
      <c r="D83" s="300">
        <v>190</v>
      </c>
      <c r="E83" s="300">
        <v>1920</v>
      </c>
      <c r="F83" s="300">
        <v>58</v>
      </c>
      <c r="G83" s="300">
        <v>468</v>
      </c>
      <c r="H83" s="300">
        <v>90</v>
      </c>
      <c r="I83" s="300">
        <v>452</v>
      </c>
      <c r="J83" s="300">
        <v>3</v>
      </c>
      <c r="K83" s="300">
        <v>22</v>
      </c>
      <c r="L83" s="300">
        <v>0</v>
      </c>
      <c r="M83" s="300">
        <v>0</v>
      </c>
      <c r="N83" s="300">
        <v>0</v>
      </c>
      <c r="O83" s="300">
        <v>0</v>
      </c>
      <c r="P83" s="300">
        <v>8</v>
      </c>
      <c r="Q83" s="300">
        <v>184</v>
      </c>
    </row>
    <row r="84" spans="1:17">
      <c r="A84" s="300" t="s">
        <v>249</v>
      </c>
      <c r="B84" s="300">
        <v>235</v>
      </c>
      <c r="C84" s="300">
        <v>8020</v>
      </c>
      <c r="D84" s="300">
        <v>64</v>
      </c>
      <c r="E84" s="300">
        <v>2288</v>
      </c>
      <c r="F84" s="300">
        <v>11</v>
      </c>
      <c r="G84" s="300">
        <v>163</v>
      </c>
      <c r="H84" s="300">
        <v>102</v>
      </c>
      <c r="I84" s="300">
        <v>1030</v>
      </c>
      <c r="J84" s="300">
        <v>65</v>
      </c>
      <c r="K84" s="300">
        <v>166</v>
      </c>
      <c r="L84" s="300">
        <v>3</v>
      </c>
      <c r="M84" s="300">
        <v>154</v>
      </c>
      <c r="N84" s="300">
        <v>191</v>
      </c>
      <c r="O84" s="300">
        <v>4088</v>
      </c>
      <c r="P84" s="300">
        <v>14</v>
      </c>
      <c r="Q84" s="300">
        <v>1117</v>
      </c>
    </row>
    <row r="85" spans="1:17">
      <c r="A85" s="300" t="s">
        <v>254</v>
      </c>
      <c r="B85" s="300">
        <v>439</v>
      </c>
      <c r="C85" s="300">
        <v>18627</v>
      </c>
      <c r="D85" s="300">
        <v>121</v>
      </c>
      <c r="E85" s="300">
        <v>2951</v>
      </c>
      <c r="F85" s="300">
        <v>14</v>
      </c>
      <c r="G85" s="300">
        <v>470</v>
      </c>
      <c r="H85" s="300">
        <v>558</v>
      </c>
      <c r="I85" s="300">
        <v>6433</v>
      </c>
      <c r="J85" s="300">
        <v>17</v>
      </c>
      <c r="K85" s="300">
        <v>239</v>
      </c>
      <c r="L85" s="300">
        <v>4</v>
      </c>
      <c r="M85" s="300">
        <v>107</v>
      </c>
      <c r="N85" s="300">
        <v>0</v>
      </c>
      <c r="O85" s="300">
        <v>0</v>
      </c>
      <c r="P85" s="300">
        <v>18</v>
      </c>
      <c r="Q85" s="300">
        <v>937</v>
      </c>
    </row>
    <row r="86" spans="1:17">
      <c r="A86" s="300" t="s">
        <v>256</v>
      </c>
      <c r="B86" s="300">
        <v>69</v>
      </c>
      <c r="C86" s="300">
        <v>1867</v>
      </c>
      <c r="D86" s="300">
        <v>61</v>
      </c>
      <c r="E86" s="300">
        <v>1855</v>
      </c>
      <c r="F86" s="300">
        <v>5</v>
      </c>
      <c r="G86" s="300">
        <v>208</v>
      </c>
      <c r="H86" s="300">
        <v>7</v>
      </c>
      <c r="I86" s="300">
        <v>194</v>
      </c>
      <c r="J86" s="300">
        <v>349</v>
      </c>
      <c r="K86" s="300">
        <v>1666</v>
      </c>
      <c r="L86" s="300">
        <v>2</v>
      </c>
      <c r="M86" s="300">
        <v>41</v>
      </c>
      <c r="N86" s="300">
        <v>0</v>
      </c>
      <c r="O86" s="300">
        <v>0</v>
      </c>
      <c r="P86" s="300">
        <v>3</v>
      </c>
      <c r="Q86" s="300">
        <v>731</v>
      </c>
    </row>
    <row r="87" spans="1:17">
      <c r="A87" s="300" t="s">
        <v>327</v>
      </c>
      <c r="B87" s="300">
        <v>372</v>
      </c>
      <c r="C87" s="300">
        <v>10849</v>
      </c>
      <c r="D87" s="300">
        <v>272</v>
      </c>
      <c r="E87" s="300">
        <v>6390</v>
      </c>
      <c r="F87" s="300">
        <v>3</v>
      </c>
      <c r="G87" s="300">
        <v>39</v>
      </c>
      <c r="H87" s="300">
        <v>217</v>
      </c>
      <c r="I87" s="300">
        <v>1468</v>
      </c>
      <c r="J87" s="300">
        <v>76</v>
      </c>
      <c r="K87" s="300">
        <v>931</v>
      </c>
      <c r="L87" s="300">
        <v>0</v>
      </c>
      <c r="M87" s="300">
        <v>0</v>
      </c>
      <c r="N87" s="300">
        <v>0</v>
      </c>
      <c r="O87" s="300">
        <v>0</v>
      </c>
      <c r="P87" s="300">
        <v>328</v>
      </c>
      <c r="Q87" s="300">
        <v>2775</v>
      </c>
    </row>
    <row r="88" spans="1:17">
      <c r="A88" s="300" t="s">
        <v>257</v>
      </c>
      <c r="B88" s="300">
        <v>402</v>
      </c>
      <c r="C88" s="300">
        <v>7886</v>
      </c>
      <c r="D88" s="300">
        <v>224</v>
      </c>
      <c r="E88" s="300">
        <v>2967</v>
      </c>
      <c r="F88" s="300">
        <v>70</v>
      </c>
      <c r="G88" s="300">
        <v>1616</v>
      </c>
      <c r="H88" s="300">
        <v>530</v>
      </c>
      <c r="I88" s="300">
        <v>5414</v>
      </c>
      <c r="J88" s="300">
        <v>75</v>
      </c>
      <c r="K88" s="300">
        <v>1633</v>
      </c>
      <c r="L88" s="300">
        <v>0</v>
      </c>
      <c r="M88" s="300">
        <v>0</v>
      </c>
      <c r="N88" s="300">
        <v>274</v>
      </c>
      <c r="O88" s="300">
        <v>2072</v>
      </c>
      <c r="P88" s="300">
        <v>62</v>
      </c>
      <c r="Q88" s="300">
        <v>764</v>
      </c>
    </row>
    <row r="89" spans="1:17">
      <c r="A89" s="300" t="s">
        <v>258</v>
      </c>
      <c r="B89" s="300">
        <v>246</v>
      </c>
      <c r="C89" s="300">
        <v>3977</v>
      </c>
      <c r="D89" s="300">
        <v>215</v>
      </c>
      <c r="E89" s="300">
        <v>3416</v>
      </c>
      <c r="F89" s="300">
        <v>5</v>
      </c>
      <c r="G89" s="300">
        <v>250</v>
      </c>
      <c r="H89" s="300">
        <v>128</v>
      </c>
      <c r="I89" s="300">
        <v>883</v>
      </c>
      <c r="J89" s="300">
        <v>164</v>
      </c>
      <c r="K89" s="300">
        <v>223</v>
      </c>
      <c r="L89" s="300">
        <v>4</v>
      </c>
      <c r="M89" s="300">
        <v>45</v>
      </c>
      <c r="N89" s="300">
        <v>0</v>
      </c>
      <c r="O89" s="300">
        <v>0</v>
      </c>
      <c r="P89" s="300">
        <v>1</v>
      </c>
      <c r="Q89" s="300">
        <v>30</v>
      </c>
    </row>
    <row r="90" spans="1:17">
      <c r="A90" s="300" t="s">
        <v>285</v>
      </c>
      <c r="B90" s="300">
        <v>200</v>
      </c>
      <c r="C90" s="300">
        <v>3954</v>
      </c>
      <c r="D90" s="300">
        <v>28</v>
      </c>
      <c r="E90" s="300">
        <v>420</v>
      </c>
      <c r="F90" s="300">
        <v>5</v>
      </c>
      <c r="G90" s="300">
        <v>18</v>
      </c>
      <c r="H90" s="300">
        <v>86</v>
      </c>
      <c r="I90" s="300">
        <v>995</v>
      </c>
      <c r="J90" s="300">
        <v>43</v>
      </c>
      <c r="K90" s="300">
        <v>300</v>
      </c>
      <c r="L90" s="300">
        <v>0</v>
      </c>
      <c r="M90" s="300">
        <v>0</v>
      </c>
      <c r="N90" s="300">
        <v>0</v>
      </c>
      <c r="O90" s="300">
        <v>0</v>
      </c>
      <c r="P90" s="300">
        <v>25</v>
      </c>
      <c r="Q90" s="300">
        <v>760</v>
      </c>
    </row>
    <row r="91" spans="1:17">
      <c r="A91" s="300" t="s">
        <v>260</v>
      </c>
      <c r="B91" s="300">
        <v>1046</v>
      </c>
      <c r="C91" s="300">
        <v>37921</v>
      </c>
      <c r="D91" s="300">
        <v>221</v>
      </c>
      <c r="E91" s="300">
        <v>4645</v>
      </c>
      <c r="F91" s="300">
        <v>75</v>
      </c>
      <c r="G91" s="300">
        <v>831</v>
      </c>
      <c r="H91" s="300">
        <v>749</v>
      </c>
      <c r="I91" s="300">
        <v>7898</v>
      </c>
      <c r="J91" s="300">
        <v>156</v>
      </c>
      <c r="K91" s="300">
        <v>1652</v>
      </c>
      <c r="L91" s="300">
        <v>6</v>
      </c>
      <c r="M91" s="300">
        <v>192</v>
      </c>
      <c r="N91" s="300">
        <v>67</v>
      </c>
      <c r="O91" s="300">
        <v>861</v>
      </c>
      <c r="P91" s="300">
        <v>36</v>
      </c>
      <c r="Q91" s="300">
        <v>9158</v>
      </c>
    </row>
    <row r="92" spans="1:17">
      <c r="A92" s="300" t="s">
        <v>261</v>
      </c>
      <c r="B92" s="300">
        <v>495</v>
      </c>
      <c r="C92" s="300">
        <v>9077</v>
      </c>
      <c r="D92" s="300">
        <v>205</v>
      </c>
      <c r="E92" s="300">
        <v>2236</v>
      </c>
      <c r="F92" s="300">
        <v>102</v>
      </c>
      <c r="G92" s="300">
        <v>1323</v>
      </c>
      <c r="H92" s="300">
        <v>225</v>
      </c>
      <c r="I92" s="300">
        <v>3235</v>
      </c>
      <c r="J92" s="300">
        <v>140</v>
      </c>
      <c r="K92" s="300">
        <v>996</v>
      </c>
      <c r="L92" s="300">
        <v>5</v>
      </c>
      <c r="M92" s="300">
        <v>196</v>
      </c>
      <c r="N92" s="300">
        <v>0</v>
      </c>
      <c r="O92" s="300">
        <v>0</v>
      </c>
      <c r="P92" s="300">
        <v>8</v>
      </c>
      <c r="Q92" s="300">
        <v>2000</v>
      </c>
    </row>
    <row r="93" spans="1:17">
      <c r="A93" s="300" t="s">
        <v>286</v>
      </c>
      <c r="B93" s="300">
        <v>91</v>
      </c>
      <c r="C93" s="300">
        <v>895</v>
      </c>
      <c r="D93" s="300">
        <v>77</v>
      </c>
      <c r="E93" s="300">
        <v>1165</v>
      </c>
      <c r="F93" s="300">
        <v>16</v>
      </c>
      <c r="G93" s="300">
        <v>127</v>
      </c>
      <c r="H93" s="300">
        <v>50</v>
      </c>
      <c r="I93" s="300">
        <v>440</v>
      </c>
      <c r="J93" s="300">
        <v>10</v>
      </c>
      <c r="K93" s="300">
        <v>73</v>
      </c>
      <c r="L93" s="300">
        <v>0</v>
      </c>
      <c r="M93" s="300">
        <v>0</v>
      </c>
      <c r="N93" s="300">
        <v>0</v>
      </c>
      <c r="O93" s="300">
        <v>0</v>
      </c>
      <c r="P93" s="300">
        <v>4</v>
      </c>
      <c r="Q93" s="300">
        <v>24</v>
      </c>
    </row>
    <row r="94" spans="1:17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</row>
    <row r="95" spans="1:17">
      <c r="A95" s="301" t="s">
        <v>105</v>
      </c>
      <c r="B95" s="301">
        <v>260</v>
      </c>
      <c r="C95" s="301">
        <v>7835</v>
      </c>
      <c r="D95" s="301">
        <v>123</v>
      </c>
      <c r="E95" s="301">
        <v>2200</v>
      </c>
      <c r="F95" s="301">
        <v>17</v>
      </c>
      <c r="G95" s="301">
        <v>270</v>
      </c>
      <c r="H95" s="301">
        <v>174</v>
      </c>
      <c r="I95" s="301">
        <v>2004</v>
      </c>
      <c r="J95" s="301">
        <v>52</v>
      </c>
      <c r="K95" s="301">
        <v>367</v>
      </c>
      <c r="L95" s="301">
        <v>1</v>
      </c>
      <c r="M95" s="301">
        <v>25</v>
      </c>
      <c r="N95" s="301">
        <v>0</v>
      </c>
      <c r="O95" s="301">
        <v>0</v>
      </c>
      <c r="P95" s="301">
        <v>19</v>
      </c>
      <c r="Q95" s="301">
        <v>690</v>
      </c>
    </row>
    <row r="96" spans="1:17">
      <c r="A96" s="301" t="s">
        <v>104</v>
      </c>
      <c r="B96" s="301">
        <v>395.57303370786519</v>
      </c>
      <c r="C96" s="301">
        <v>10171.224719101123</v>
      </c>
      <c r="D96" s="301">
        <v>207.70786516853931</v>
      </c>
      <c r="E96" s="301">
        <v>3339.9101123595506</v>
      </c>
      <c r="F96" s="301">
        <v>39.157303370786515</v>
      </c>
      <c r="G96" s="301">
        <v>516.60674157303367</v>
      </c>
      <c r="H96" s="301">
        <v>318.12359550561797</v>
      </c>
      <c r="I96" s="301">
        <v>3339.4606741573034</v>
      </c>
      <c r="J96" s="301">
        <v>108.67415730337079</v>
      </c>
      <c r="K96" s="301">
        <v>875.11235955056179</v>
      </c>
      <c r="L96" s="301">
        <v>3.3258426966292136</v>
      </c>
      <c r="M96" s="301">
        <v>107.98876404494382</v>
      </c>
      <c r="N96" s="301">
        <v>49.224719101123597</v>
      </c>
      <c r="O96" s="301">
        <v>663.41573033707868</v>
      </c>
      <c r="P96" s="301">
        <v>93.404494382022477</v>
      </c>
      <c r="Q96" s="301">
        <v>2208.2359550561796</v>
      </c>
    </row>
    <row r="97" spans="1:17">
      <c r="A97" s="301" t="s">
        <v>329</v>
      </c>
      <c r="B97" s="301">
        <v>35206</v>
      </c>
      <c r="C97" s="301">
        <v>905239</v>
      </c>
      <c r="D97" s="301">
        <v>18486</v>
      </c>
      <c r="E97" s="301">
        <v>297252</v>
      </c>
      <c r="F97" s="301">
        <v>3485</v>
      </c>
      <c r="G97" s="301">
        <v>45978</v>
      </c>
      <c r="H97" s="301">
        <v>28313</v>
      </c>
      <c r="I97" s="301">
        <v>297212</v>
      </c>
      <c r="J97" s="301">
        <v>9672</v>
      </c>
      <c r="K97" s="301">
        <v>77885</v>
      </c>
      <c r="L97" s="301">
        <v>296</v>
      </c>
      <c r="M97" s="301">
        <v>9611</v>
      </c>
      <c r="N97" s="301">
        <v>4381</v>
      </c>
      <c r="O97" s="301">
        <v>59044</v>
      </c>
      <c r="P97" s="301">
        <v>8313</v>
      </c>
      <c r="Q97" s="301">
        <v>196533</v>
      </c>
    </row>
    <row r="98" spans="1:17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</row>
  </sheetData>
  <conditionalFormatting sqref="A52:I98">
    <cfRule type="cellIs" dxfId="12" priority="2" operator="equal">
      <formula>0</formula>
    </cfRule>
  </conditionalFormatting>
  <conditionalFormatting sqref="B5:I51">
    <cfRule type="cellIs" dxfId="11" priority="4" operator="equal">
      <formula>0</formula>
    </cfRule>
  </conditionalFormatting>
  <conditionalFormatting sqref="J5:Q98">
    <cfRule type="cellIs" dxfId="10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60" orientation="portrait" r:id="rId1"/>
  <headerFooter alignWithMargins="0">
    <oddFooter>&amp;L&amp;9Public Library Statistics 2022–23&amp;C&amp;9&amp;P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4D99-7166-4511-B090-8687E98EFDD1}">
  <sheetPr>
    <pageSetUpPr fitToPage="1"/>
  </sheetPr>
  <dimension ref="A1:N98"/>
  <sheetViews>
    <sheetView topLeftCell="A40" zoomScaleNormal="100" workbookViewId="0">
      <selection sqref="A1:XFD1048576"/>
    </sheetView>
  </sheetViews>
  <sheetFormatPr defaultColWidth="17.7109375" defaultRowHeight="12.75"/>
  <cols>
    <col min="1" max="1" width="16.5703125" style="383" customWidth="1"/>
    <col min="2" max="16384" width="17.7109375" style="383"/>
  </cols>
  <sheetData>
    <row r="1" spans="1:14" ht="15">
      <c r="A1" s="381" t="s">
        <v>672</v>
      </c>
      <c r="B1" s="381"/>
      <c r="C1" s="381"/>
      <c r="D1" s="381"/>
      <c r="E1" s="381"/>
      <c r="F1" s="382"/>
      <c r="G1" s="382"/>
    </row>
    <row r="2" spans="1:14" ht="14.25">
      <c r="A2" s="384" t="s">
        <v>673</v>
      </c>
      <c r="B2" s="385"/>
      <c r="C2" s="385"/>
      <c r="D2" s="385"/>
      <c r="E2" s="385"/>
      <c r="F2" s="382"/>
      <c r="G2" s="382"/>
    </row>
    <row r="3" spans="1:14" ht="15">
      <c r="A3" s="381"/>
      <c r="B3" s="382"/>
      <c r="C3" s="382"/>
      <c r="D3" s="382"/>
      <c r="E3" s="382"/>
      <c r="F3" s="382"/>
      <c r="G3" s="382"/>
    </row>
    <row r="4" spans="1:14" ht="44.25">
      <c r="A4" s="395"/>
      <c r="B4" s="387" t="s">
        <v>674</v>
      </c>
      <c r="C4" s="387" t="s">
        <v>675</v>
      </c>
      <c r="D4" s="387" t="s">
        <v>676</v>
      </c>
      <c r="E4" s="387" t="s">
        <v>677</v>
      </c>
      <c r="F4" s="387" t="s">
        <v>678</v>
      </c>
      <c r="G4" s="387" t="s">
        <v>679</v>
      </c>
      <c r="H4" s="389" t="s">
        <v>680</v>
      </c>
      <c r="I4" s="389" t="s">
        <v>681</v>
      </c>
      <c r="J4" s="389" t="s">
        <v>682</v>
      </c>
      <c r="K4" s="389" t="s">
        <v>683</v>
      </c>
      <c r="L4" s="389" t="s">
        <v>684</v>
      </c>
      <c r="M4" s="389" t="s">
        <v>685</v>
      </c>
      <c r="N4" s="396"/>
    </row>
    <row r="5" spans="1:14">
      <c r="A5" s="141" t="s">
        <v>346</v>
      </c>
      <c r="B5" s="248">
        <v>874</v>
      </c>
      <c r="C5" s="248">
        <v>23231</v>
      </c>
      <c r="D5" s="248">
        <v>47</v>
      </c>
      <c r="E5" s="248">
        <v>1773</v>
      </c>
      <c r="F5" s="248">
        <v>69</v>
      </c>
      <c r="G5" s="248">
        <v>1708</v>
      </c>
      <c r="H5" s="300">
        <v>154</v>
      </c>
      <c r="I5" s="300">
        <v>3292</v>
      </c>
      <c r="J5" s="300">
        <v>252</v>
      </c>
      <c r="K5" s="300">
        <v>10036</v>
      </c>
      <c r="L5" s="300">
        <v>5</v>
      </c>
      <c r="M5" s="300">
        <v>678</v>
      </c>
    </row>
    <row r="6" spans="1:14">
      <c r="A6" s="141" t="s">
        <v>278</v>
      </c>
      <c r="B6" s="248">
        <v>269</v>
      </c>
      <c r="C6" s="248">
        <v>3763</v>
      </c>
      <c r="D6" s="248">
        <v>7</v>
      </c>
      <c r="E6" s="248">
        <v>361</v>
      </c>
      <c r="F6" s="248">
        <v>61</v>
      </c>
      <c r="G6" s="248">
        <v>273</v>
      </c>
      <c r="H6" s="300">
        <v>46</v>
      </c>
      <c r="I6" s="300">
        <v>512</v>
      </c>
      <c r="J6" s="300">
        <v>5</v>
      </c>
      <c r="K6" s="300">
        <v>140</v>
      </c>
      <c r="L6" s="300">
        <v>0</v>
      </c>
      <c r="M6" s="300">
        <v>0</v>
      </c>
    </row>
    <row r="7" spans="1:14">
      <c r="A7" s="141" t="s">
        <v>123</v>
      </c>
      <c r="B7" s="248">
        <v>12</v>
      </c>
      <c r="C7" s="248">
        <v>48</v>
      </c>
      <c r="D7" s="248">
        <v>1</v>
      </c>
      <c r="E7" s="248">
        <v>12</v>
      </c>
      <c r="F7" s="248">
        <v>26</v>
      </c>
      <c r="G7" s="248">
        <v>140</v>
      </c>
      <c r="H7" s="300">
        <v>4</v>
      </c>
      <c r="I7" s="300">
        <v>42</v>
      </c>
      <c r="J7" s="300">
        <v>1</v>
      </c>
      <c r="K7" s="300">
        <v>15</v>
      </c>
      <c r="L7" s="300">
        <v>48</v>
      </c>
      <c r="M7" s="300">
        <v>687</v>
      </c>
    </row>
    <row r="8" spans="1:14">
      <c r="A8" s="141" t="s">
        <v>124</v>
      </c>
      <c r="B8" s="248">
        <v>147</v>
      </c>
      <c r="C8" s="248">
        <v>4360</v>
      </c>
      <c r="D8" s="248">
        <v>7</v>
      </c>
      <c r="E8" s="248">
        <v>61</v>
      </c>
      <c r="F8" s="248">
        <v>46</v>
      </c>
      <c r="G8" s="248">
        <v>347</v>
      </c>
      <c r="H8" s="300">
        <v>46</v>
      </c>
      <c r="I8" s="300">
        <v>984</v>
      </c>
      <c r="J8" s="300">
        <v>27</v>
      </c>
      <c r="K8" s="300">
        <v>676</v>
      </c>
      <c r="L8" s="300">
        <v>1</v>
      </c>
      <c r="M8" s="300">
        <v>5</v>
      </c>
    </row>
    <row r="9" spans="1:14">
      <c r="A9" s="141" t="s">
        <v>126</v>
      </c>
      <c r="B9" s="248">
        <v>973</v>
      </c>
      <c r="C9" s="248">
        <v>19866</v>
      </c>
      <c r="D9" s="248">
        <v>41</v>
      </c>
      <c r="E9" s="248">
        <v>74</v>
      </c>
      <c r="F9" s="248">
        <v>60</v>
      </c>
      <c r="G9" s="248">
        <v>254</v>
      </c>
      <c r="H9" s="300">
        <v>195</v>
      </c>
      <c r="I9" s="300">
        <v>2184</v>
      </c>
      <c r="J9" s="300">
        <v>42</v>
      </c>
      <c r="K9" s="300">
        <v>689</v>
      </c>
      <c r="L9" s="300">
        <v>0</v>
      </c>
      <c r="M9" s="300">
        <v>0</v>
      </c>
    </row>
    <row r="10" spans="1:14">
      <c r="A10" s="141" t="s">
        <v>127</v>
      </c>
      <c r="B10" s="248">
        <v>709</v>
      </c>
      <c r="C10" s="248">
        <v>6246</v>
      </c>
      <c r="D10" s="248">
        <v>60</v>
      </c>
      <c r="E10" s="248">
        <v>572</v>
      </c>
      <c r="F10" s="248">
        <v>12</v>
      </c>
      <c r="G10" s="248">
        <v>115</v>
      </c>
      <c r="H10" s="300">
        <v>88</v>
      </c>
      <c r="I10" s="300">
        <v>717</v>
      </c>
      <c r="J10" s="300">
        <v>177</v>
      </c>
      <c r="K10" s="300">
        <v>1733</v>
      </c>
      <c r="L10" s="300">
        <v>0</v>
      </c>
      <c r="M10" s="300">
        <v>0</v>
      </c>
    </row>
    <row r="11" spans="1:14">
      <c r="A11" s="141" t="s">
        <v>305</v>
      </c>
      <c r="B11" s="248">
        <v>0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300">
        <v>0</v>
      </c>
      <c r="I11" s="300">
        <v>0</v>
      </c>
      <c r="J11" s="300">
        <v>0</v>
      </c>
      <c r="K11" s="300">
        <v>0</v>
      </c>
      <c r="L11" s="300">
        <v>0</v>
      </c>
      <c r="M11" s="300">
        <v>0</v>
      </c>
    </row>
    <row r="12" spans="1:14">
      <c r="A12" s="141" t="s">
        <v>133</v>
      </c>
      <c r="B12" s="248">
        <v>2672</v>
      </c>
      <c r="C12" s="248">
        <v>62814</v>
      </c>
      <c r="D12" s="248">
        <v>396</v>
      </c>
      <c r="E12" s="248">
        <v>21611</v>
      </c>
      <c r="F12" s="248">
        <v>362</v>
      </c>
      <c r="G12" s="248">
        <v>1189</v>
      </c>
      <c r="H12" s="300">
        <v>654</v>
      </c>
      <c r="I12" s="300">
        <v>9344</v>
      </c>
      <c r="J12" s="300">
        <v>75</v>
      </c>
      <c r="K12" s="300">
        <v>590</v>
      </c>
      <c r="L12" s="300">
        <v>4</v>
      </c>
      <c r="M12" s="300">
        <v>30</v>
      </c>
    </row>
    <row r="13" spans="1:14">
      <c r="A13" s="141" t="s">
        <v>137</v>
      </c>
      <c r="B13" s="248">
        <v>343</v>
      </c>
      <c r="C13" s="248">
        <v>11175</v>
      </c>
      <c r="D13" s="248">
        <v>9</v>
      </c>
      <c r="E13" s="248">
        <v>1154</v>
      </c>
      <c r="F13" s="248">
        <v>0</v>
      </c>
      <c r="G13" s="248">
        <v>0</v>
      </c>
      <c r="H13" s="300">
        <v>64</v>
      </c>
      <c r="I13" s="300">
        <v>540</v>
      </c>
      <c r="J13" s="300">
        <v>80</v>
      </c>
      <c r="K13" s="300">
        <v>6107</v>
      </c>
      <c r="L13" s="300">
        <v>8</v>
      </c>
      <c r="M13" s="300">
        <v>21</v>
      </c>
    </row>
    <row r="14" spans="1:14">
      <c r="A14" s="141" t="s">
        <v>139</v>
      </c>
      <c r="B14" s="248">
        <v>0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300">
        <v>0</v>
      </c>
      <c r="I14" s="300">
        <v>0</v>
      </c>
      <c r="J14" s="300">
        <v>0</v>
      </c>
      <c r="K14" s="300">
        <v>0</v>
      </c>
      <c r="L14" s="300">
        <v>0</v>
      </c>
      <c r="M14" s="300">
        <v>0</v>
      </c>
    </row>
    <row r="15" spans="1:14">
      <c r="A15" s="141" t="s">
        <v>142</v>
      </c>
      <c r="B15" s="248">
        <v>156</v>
      </c>
      <c r="C15" s="248">
        <v>2976</v>
      </c>
      <c r="D15" s="248">
        <v>60</v>
      </c>
      <c r="E15" s="248">
        <v>60</v>
      </c>
      <c r="F15" s="248">
        <v>84</v>
      </c>
      <c r="G15" s="248">
        <v>84</v>
      </c>
      <c r="H15" s="300">
        <v>0</v>
      </c>
      <c r="I15" s="300">
        <v>0</v>
      </c>
      <c r="J15" s="300">
        <v>144</v>
      </c>
      <c r="K15" s="300">
        <v>576</v>
      </c>
      <c r="L15" s="300">
        <v>0</v>
      </c>
      <c r="M15" s="300">
        <v>0</v>
      </c>
    </row>
    <row r="16" spans="1:14">
      <c r="A16" s="141" t="s">
        <v>144</v>
      </c>
      <c r="B16" s="248">
        <v>221</v>
      </c>
      <c r="C16" s="248">
        <v>5614</v>
      </c>
      <c r="D16" s="248">
        <v>81</v>
      </c>
      <c r="E16" s="248">
        <v>2023</v>
      </c>
      <c r="F16" s="248">
        <v>97</v>
      </c>
      <c r="G16" s="248">
        <v>545</v>
      </c>
      <c r="H16" s="300">
        <v>64</v>
      </c>
      <c r="I16" s="300">
        <v>1552</v>
      </c>
      <c r="J16" s="300">
        <v>132</v>
      </c>
      <c r="K16" s="300">
        <v>2053</v>
      </c>
      <c r="L16" s="300">
        <v>0</v>
      </c>
      <c r="M16" s="300">
        <v>0</v>
      </c>
    </row>
    <row r="17" spans="1:13">
      <c r="A17" s="141" t="s">
        <v>148</v>
      </c>
      <c r="B17" s="248">
        <v>811</v>
      </c>
      <c r="C17" s="248">
        <v>26562</v>
      </c>
      <c r="D17" s="248">
        <v>15</v>
      </c>
      <c r="E17" s="248">
        <v>120</v>
      </c>
      <c r="F17" s="248">
        <v>133</v>
      </c>
      <c r="G17" s="248">
        <v>527</v>
      </c>
      <c r="H17" s="300">
        <v>174</v>
      </c>
      <c r="I17" s="300">
        <v>4739</v>
      </c>
      <c r="J17" s="300">
        <v>370</v>
      </c>
      <c r="K17" s="300">
        <v>3766</v>
      </c>
      <c r="L17" s="300">
        <v>2</v>
      </c>
      <c r="M17" s="300">
        <v>6</v>
      </c>
    </row>
    <row r="18" spans="1:13">
      <c r="A18" s="141" t="s">
        <v>149</v>
      </c>
      <c r="B18" s="248">
        <v>592</v>
      </c>
      <c r="C18" s="248">
        <v>10422</v>
      </c>
      <c r="D18" s="248">
        <v>69</v>
      </c>
      <c r="E18" s="248">
        <v>1286</v>
      </c>
      <c r="F18" s="248">
        <v>79</v>
      </c>
      <c r="G18" s="248">
        <v>483</v>
      </c>
      <c r="H18" s="300">
        <v>469</v>
      </c>
      <c r="I18" s="300">
        <v>7257</v>
      </c>
      <c r="J18" s="300">
        <v>68</v>
      </c>
      <c r="K18" s="300">
        <v>2733</v>
      </c>
      <c r="L18" s="300">
        <v>9</v>
      </c>
      <c r="M18" s="300">
        <v>19</v>
      </c>
    </row>
    <row r="19" spans="1:13">
      <c r="A19" s="141" t="s">
        <v>151</v>
      </c>
      <c r="B19" s="248">
        <v>29</v>
      </c>
      <c r="C19" s="248">
        <v>13540</v>
      </c>
      <c r="D19" s="248">
        <v>11</v>
      </c>
      <c r="E19" s="248">
        <v>895</v>
      </c>
      <c r="F19" s="248">
        <v>5</v>
      </c>
      <c r="G19" s="248">
        <v>106</v>
      </c>
      <c r="H19" s="300">
        <v>23</v>
      </c>
      <c r="I19" s="300">
        <v>1790</v>
      </c>
      <c r="J19" s="300">
        <v>62</v>
      </c>
      <c r="K19" s="300">
        <v>3975</v>
      </c>
      <c r="L19" s="300">
        <v>0</v>
      </c>
      <c r="M19" s="300">
        <v>0</v>
      </c>
    </row>
    <row r="20" spans="1:13">
      <c r="A20" s="141" t="s">
        <v>152</v>
      </c>
      <c r="B20" s="248">
        <v>4657</v>
      </c>
      <c r="C20" s="248">
        <v>59159</v>
      </c>
      <c r="D20" s="248">
        <v>1104</v>
      </c>
      <c r="E20" s="248">
        <v>14299</v>
      </c>
      <c r="F20" s="248">
        <v>137</v>
      </c>
      <c r="G20" s="248">
        <v>404</v>
      </c>
      <c r="H20" s="300">
        <v>2095</v>
      </c>
      <c r="I20" s="300">
        <v>22413</v>
      </c>
      <c r="J20" s="300">
        <v>281</v>
      </c>
      <c r="K20" s="300">
        <v>5998</v>
      </c>
      <c r="L20" s="300">
        <v>0</v>
      </c>
      <c r="M20" s="300">
        <v>0</v>
      </c>
    </row>
    <row r="21" spans="1:13">
      <c r="A21" s="141" t="s">
        <v>154</v>
      </c>
      <c r="B21" s="248">
        <v>1603</v>
      </c>
      <c r="C21" s="248">
        <v>34458</v>
      </c>
      <c r="D21" s="248">
        <v>35</v>
      </c>
      <c r="E21" s="248">
        <v>517</v>
      </c>
      <c r="F21" s="248">
        <v>295</v>
      </c>
      <c r="G21" s="248">
        <v>643</v>
      </c>
      <c r="H21" s="300">
        <v>174</v>
      </c>
      <c r="I21" s="300">
        <v>1782</v>
      </c>
      <c r="J21" s="300">
        <v>311</v>
      </c>
      <c r="K21" s="300">
        <v>3391</v>
      </c>
      <c r="L21" s="300">
        <v>0</v>
      </c>
      <c r="M21" s="300">
        <v>0</v>
      </c>
    </row>
    <row r="22" spans="1:13">
      <c r="A22" s="141" t="s">
        <v>347</v>
      </c>
      <c r="B22" s="248">
        <v>1704</v>
      </c>
      <c r="C22" s="248">
        <v>21376</v>
      </c>
      <c r="D22" s="248">
        <v>163</v>
      </c>
      <c r="E22" s="248">
        <v>1618</v>
      </c>
      <c r="F22" s="248">
        <v>340</v>
      </c>
      <c r="G22" s="248">
        <v>3506</v>
      </c>
      <c r="H22" s="300">
        <v>219</v>
      </c>
      <c r="I22" s="300">
        <v>2079</v>
      </c>
      <c r="J22" s="300">
        <v>351</v>
      </c>
      <c r="K22" s="300">
        <v>5154</v>
      </c>
      <c r="L22" s="300">
        <v>5</v>
      </c>
      <c r="M22" s="300">
        <v>75</v>
      </c>
    </row>
    <row r="23" spans="1:13">
      <c r="A23" s="141" t="s">
        <v>312</v>
      </c>
      <c r="B23" s="248">
        <v>778</v>
      </c>
      <c r="C23" s="248">
        <v>14071</v>
      </c>
      <c r="D23" s="248">
        <v>15</v>
      </c>
      <c r="E23" s="248">
        <v>189</v>
      </c>
      <c r="F23" s="248">
        <v>48</v>
      </c>
      <c r="G23" s="248">
        <v>238</v>
      </c>
      <c r="H23" s="300">
        <v>72</v>
      </c>
      <c r="I23" s="300">
        <v>689</v>
      </c>
      <c r="J23" s="300">
        <v>51</v>
      </c>
      <c r="K23" s="300">
        <v>963</v>
      </c>
      <c r="L23" s="300">
        <v>0</v>
      </c>
      <c r="M23" s="300">
        <v>0</v>
      </c>
    </row>
    <row r="24" spans="1:13">
      <c r="A24" s="141" t="s">
        <v>155</v>
      </c>
      <c r="B24" s="248">
        <v>475</v>
      </c>
      <c r="C24" s="248">
        <v>10646</v>
      </c>
      <c r="D24" s="248">
        <v>165</v>
      </c>
      <c r="E24" s="248">
        <v>1475</v>
      </c>
      <c r="F24" s="248">
        <v>121</v>
      </c>
      <c r="G24" s="248">
        <v>547</v>
      </c>
      <c r="H24" s="300">
        <v>27</v>
      </c>
      <c r="I24" s="300">
        <v>216</v>
      </c>
      <c r="J24" s="300">
        <v>620</v>
      </c>
      <c r="K24" s="300">
        <v>6034</v>
      </c>
      <c r="L24" s="300">
        <v>2</v>
      </c>
      <c r="M24" s="300">
        <v>5</v>
      </c>
    </row>
    <row r="25" spans="1:13">
      <c r="A25" s="141" t="s">
        <v>348</v>
      </c>
      <c r="B25" s="248">
        <v>583</v>
      </c>
      <c r="C25" s="248">
        <v>8814</v>
      </c>
      <c r="D25" s="248">
        <v>96</v>
      </c>
      <c r="E25" s="248">
        <v>752</v>
      </c>
      <c r="F25" s="248">
        <v>189</v>
      </c>
      <c r="G25" s="248">
        <v>734</v>
      </c>
      <c r="H25" s="300">
        <v>599</v>
      </c>
      <c r="I25" s="300">
        <v>6423</v>
      </c>
      <c r="J25" s="300">
        <v>40</v>
      </c>
      <c r="K25" s="300">
        <v>345</v>
      </c>
      <c r="L25" s="300">
        <v>0</v>
      </c>
      <c r="M25" s="300">
        <v>0</v>
      </c>
    </row>
    <row r="26" spans="1:13">
      <c r="A26" s="141" t="s">
        <v>158</v>
      </c>
      <c r="B26" s="248">
        <v>79</v>
      </c>
      <c r="C26" s="248">
        <v>410</v>
      </c>
      <c r="D26" s="248">
        <v>1</v>
      </c>
      <c r="E26" s="248">
        <v>5</v>
      </c>
      <c r="F26" s="248">
        <v>0</v>
      </c>
      <c r="G26" s="248">
        <v>0</v>
      </c>
      <c r="H26" s="300">
        <v>48</v>
      </c>
      <c r="I26" s="300">
        <v>339</v>
      </c>
      <c r="J26" s="300">
        <v>1</v>
      </c>
      <c r="K26" s="300">
        <v>248</v>
      </c>
      <c r="L26" s="300">
        <v>0</v>
      </c>
      <c r="M26" s="300">
        <v>0</v>
      </c>
    </row>
    <row r="27" spans="1:13">
      <c r="A27" s="141" t="s">
        <v>160</v>
      </c>
      <c r="B27" s="248">
        <v>270</v>
      </c>
      <c r="C27" s="248">
        <v>10484</v>
      </c>
      <c r="D27" s="248">
        <v>45</v>
      </c>
      <c r="E27" s="248">
        <v>368</v>
      </c>
      <c r="F27" s="248">
        <v>177</v>
      </c>
      <c r="G27" s="248">
        <v>1498</v>
      </c>
      <c r="H27" s="300">
        <v>67</v>
      </c>
      <c r="I27" s="300">
        <v>1340</v>
      </c>
      <c r="J27" s="300">
        <v>131</v>
      </c>
      <c r="K27" s="300">
        <v>1836</v>
      </c>
      <c r="L27" s="300">
        <v>10</v>
      </c>
      <c r="M27" s="300">
        <v>551</v>
      </c>
    </row>
    <row r="28" spans="1:13">
      <c r="A28" s="141" t="s">
        <v>165</v>
      </c>
      <c r="B28" s="248">
        <v>2003</v>
      </c>
      <c r="C28" s="248">
        <v>18791</v>
      </c>
      <c r="D28" s="248">
        <v>338</v>
      </c>
      <c r="E28" s="248">
        <v>3409</v>
      </c>
      <c r="F28" s="248">
        <v>195</v>
      </c>
      <c r="G28" s="248">
        <v>559</v>
      </c>
      <c r="H28" s="300">
        <v>9</v>
      </c>
      <c r="I28" s="300">
        <v>74</v>
      </c>
      <c r="J28" s="300">
        <v>93</v>
      </c>
      <c r="K28" s="300">
        <v>950</v>
      </c>
      <c r="L28" s="300">
        <v>1</v>
      </c>
      <c r="M28" s="300">
        <v>5</v>
      </c>
    </row>
    <row r="29" spans="1:13">
      <c r="A29" s="141" t="s">
        <v>168</v>
      </c>
      <c r="B29" s="248">
        <v>96</v>
      </c>
      <c r="C29" s="248">
        <v>1444</v>
      </c>
      <c r="D29" s="248">
        <v>0</v>
      </c>
      <c r="E29" s="248">
        <v>0</v>
      </c>
      <c r="F29" s="248">
        <v>1</v>
      </c>
      <c r="G29" s="248">
        <v>27</v>
      </c>
      <c r="H29" s="300">
        <v>5</v>
      </c>
      <c r="I29" s="300">
        <v>69</v>
      </c>
      <c r="J29" s="300">
        <v>3</v>
      </c>
      <c r="K29" s="300">
        <v>37</v>
      </c>
      <c r="L29" s="300">
        <v>0</v>
      </c>
      <c r="M29" s="300">
        <v>0</v>
      </c>
    </row>
    <row r="30" spans="1:13">
      <c r="A30" s="141" t="s">
        <v>169</v>
      </c>
      <c r="B30" s="248">
        <v>292</v>
      </c>
      <c r="C30" s="248">
        <v>4717</v>
      </c>
      <c r="D30" s="248">
        <v>60</v>
      </c>
      <c r="E30" s="248">
        <v>382</v>
      </c>
      <c r="F30" s="248">
        <v>15</v>
      </c>
      <c r="G30" s="248">
        <v>78</v>
      </c>
      <c r="H30" s="300">
        <v>198</v>
      </c>
      <c r="I30" s="300">
        <v>2601</v>
      </c>
      <c r="J30" s="300">
        <v>78</v>
      </c>
      <c r="K30" s="300">
        <v>930</v>
      </c>
      <c r="L30" s="300">
        <v>2</v>
      </c>
      <c r="M30" s="300">
        <v>170</v>
      </c>
    </row>
    <row r="31" spans="1:13">
      <c r="A31" s="141" t="s">
        <v>170</v>
      </c>
      <c r="B31" s="248">
        <v>1296</v>
      </c>
      <c r="C31" s="248">
        <v>21069</v>
      </c>
      <c r="D31" s="248">
        <v>530</v>
      </c>
      <c r="E31" s="248">
        <v>7022</v>
      </c>
      <c r="F31" s="248">
        <v>729</v>
      </c>
      <c r="G31" s="248">
        <v>4614</v>
      </c>
      <c r="H31" s="300">
        <v>712</v>
      </c>
      <c r="I31" s="300">
        <v>6028</v>
      </c>
      <c r="J31" s="300">
        <v>91</v>
      </c>
      <c r="K31" s="300">
        <v>1289</v>
      </c>
      <c r="L31" s="300">
        <v>54</v>
      </c>
      <c r="M31" s="300">
        <v>45</v>
      </c>
    </row>
    <row r="32" spans="1:13">
      <c r="A32" s="141" t="s">
        <v>173</v>
      </c>
      <c r="B32" s="248">
        <v>851</v>
      </c>
      <c r="C32" s="248">
        <v>17478</v>
      </c>
      <c r="D32" s="248">
        <v>8</v>
      </c>
      <c r="E32" s="248">
        <v>168</v>
      </c>
      <c r="F32" s="248">
        <v>69</v>
      </c>
      <c r="G32" s="248">
        <v>407</v>
      </c>
      <c r="H32" s="300">
        <v>395</v>
      </c>
      <c r="I32" s="300">
        <v>5260</v>
      </c>
      <c r="J32" s="300">
        <v>105</v>
      </c>
      <c r="K32" s="300">
        <v>2329</v>
      </c>
      <c r="L32" s="300">
        <v>9</v>
      </c>
      <c r="M32" s="300">
        <v>36</v>
      </c>
    </row>
    <row r="33" spans="1:13">
      <c r="A33" s="141" t="s">
        <v>280</v>
      </c>
      <c r="B33" s="248">
        <v>96</v>
      </c>
      <c r="C33" s="248">
        <v>271</v>
      </c>
      <c r="D33" s="248">
        <v>83</v>
      </c>
      <c r="E33" s="248">
        <v>698</v>
      </c>
      <c r="F33" s="248">
        <v>60</v>
      </c>
      <c r="G33" s="248">
        <v>186</v>
      </c>
      <c r="H33" s="300">
        <v>0</v>
      </c>
      <c r="I33" s="300">
        <v>0</v>
      </c>
      <c r="J33" s="300">
        <v>0</v>
      </c>
      <c r="K33" s="300">
        <v>0</v>
      </c>
      <c r="L33" s="300">
        <v>0</v>
      </c>
      <c r="M33" s="300">
        <v>0</v>
      </c>
    </row>
    <row r="34" spans="1:13">
      <c r="A34" s="141" t="s">
        <v>176</v>
      </c>
      <c r="B34" s="248">
        <v>443</v>
      </c>
      <c r="C34" s="248">
        <v>10927</v>
      </c>
      <c r="D34" s="248">
        <v>29</v>
      </c>
      <c r="E34" s="248">
        <v>1589</v>
      </c>
      <c r="F34" s="248">
        <v>41</v>
      </c>
      <c r="G34" s="248">
        <v>336</v>
      </c>
      <c r="H34" s="300">
        <v>97</v>
      </c>
      <c r="I34" s="300">
        <v>2368</v>
      </c>
      <c r="J34" s="300">
        <v>34</v>
      </c>
      <c r="K34" s="300">
        <v>1328</v>
      </c>
      <c r="L34" s="300">
        <v>2</v>
      </c>
      <c r="M34" s="300">
        <v>19</v>
      </c>
    </row>
    <row r="35" spans="1:13">
      <c r="A35" s="141" t="s">
        <v>316</v>
      </c>
      <c r="B35" s="248">
        <v>14</v>
      </c>
      <c r="C35" s="248">
        <v>106</v>
      </c>
      <c r="D35" s="248">
        <v>0</v>
      </c>
      <c r="E35" s="248">
        <v>0</v>
      </c>
      <c r="F35" s="248">
        <v>0</v>
      </c>
      <c r="G35" s="248">
        <v>0</v>
      </c>
      <c r="H35" s="300">
        <v>74</v>
      </c>
      <c r="I35" s="300">
        <v>415</v>
      </c>
      <c r="J35" s="300">
        <v>0</v>
      </c>
      <c r="K35" s="300">
        <v>0</v>
      </c>
      <c r="L35" s="300">
        <v>0</v>
      </c>
      <c r="M35" s="300">
        <v>0</v>
      </c>
    </row>
    <row r="36" spans="1:13">
      <c r="A36" s="141" t="s">
        <v>179</v>
      </c>
      <c r="B36" s="248">
        <v>265</v>
      </c>
      <c r="C36" s="248">
        <v>4509</v>
      </c>
      <c r="D36" s="248">
        <v>16</v>
      </c>
      <c r="E36" s="248">
        <v>3736</v>
      </c>
      <c r="F36" s="248">
        <v>0</v>
      </c>
      <c r="G36" s="248">
        <v>0</v>
      </c>
      <c r="H36" s="300">
        <v>16</v>
      </c>
      <c r="I36" s="300">
        <v>3736</v>
      </c>
      <c r="J36" s="300">
        <v>4</v>
      </c>
      <c r="K36" s="300">
        <v>1643</v>
      </c>
      <c r="L36" s="300">
        <v>0</v>
      </c>
      <c r="M36" s="300">
        <v>0</v>
      </c>
    </row>
    <row r="37" spans="1:13">
      <c r="A37" s="141" t="s">
        <v>182</v>
      </c>
      <c r="B37" s="248">
        <v>239</v>
      </c>
      <c r="C37" s="248">
        <v>3690</v>
      </c>
      <c r="D37" s="248">
        <v>36</v>
      </c>
      <c r="E37" s="248">
        <v>239</v>
      </c>
      <c r="F37" s="248">
        <v>36</v>
      </c>
      <c r="G37" s="248">
        <v>239</v>
      </c>
      <c r="H37" s="300">
        <v>83</v>
      </c>
      <c r="I37" s="300">
        <v>1513</v>
      </c>
      <c r="J37" s="300">
        <v>86</v>
      </c>
      <c r="K37" s="300">
        <v>3029</v>
      </c>
      <c r="L37" s="300">
        <v>1</v>
      </c>
      <c r="M37" s="300">
        <v>125</v>
      </c>
    </row>
    <row r="38" spans="1:13">
      <c r="A38" s="141" t="s">
        <v>317</v>
      </c>
      <c r="B38" s="248">
        <v>735</v>
      </c>
      <c r="C38" s="248">
        <v>23948</v>
      </c>
      <c r="D38" s="248">
        <v>0</v>
      </c>
      <c r="E38" s="248">
        <v>0</v>
      </c>
      <c r="F38" s="248">
        <v>0</v>
      </c>
      <c r="G38" s="248">
        <v>0</v>
      </c>
      <c r="H38" s="300">
        <v>278</v>
      </c>
      <c r="I38" s="300">
        <v>4441</v>
      </c>
      <c r="J38" s="300">
        <v>9</v>
      </c>
      <c r="K38" s="300">
        <v>172</v>
      </c>
      <c r="L38" s="300">
        <v>12</v>
      </c>
      <c r="M38" s="300">
        <v>54</v>
      </c>
    </row>
    <row r="39" spans="1:13">
      <c r="A39" s="141" t="s">
        <v>185</v>
      </c>
      <c r="B39" s="248">
        <v>110</v>
      </c>
      <c r="C39" s="248">
        <v>1319</v>
      </c>
      <c r="D39" s="248">
        <v>4</v>
      </c>
      <c r="E39" s="248">
        <v>65</v>
      </c>
      <c r="F39" s="248">
        <v>32</v>
      </c>
      <c r="G39" s="248">
        <v>84</v>
      </c>
      <c r="H39" s="300">
        <v>6</v>
      </c>
      <c r="I39" s="300">
        <v>120</v>
      </c>
      <c r="J39" s="300">
        <v>0</v>
      </c>
      <c r="K39" s="300">
        <v>0</v>
      </c>
      <c r="L39" s="300">
        <v>0</v>
      </c>
      <c r="M39" s="300">
        <v>0</v>
      </c>
    </row>
    <row r="40" spans="1:13">
      <c r="A40" s="141" t="s">
        <v>186</v>
      </c>
      <c r="B40" s="248">
        <v>567</v>
      </c>
      <c r="C40" s="248">
        <v>11379</v>
      </c>
      <c r="D40" s="248">
        <v>13</v>
      </c>
      <c r="E40" s="248">
        <v>340</v>
      </c>
      <c r="F40" s="248">
        <v>73</v>
      </c>
      <c r="G40" s="248">
        <v>894</v>
      </c>
      <c r="H40" s="300">
        <v>529</v>
      </c>
      <c r="I40" s="300">
        <v>4553</v>
      </c>
      <c r="J40" s="300">
        <v>15</v>
      </c>
      <c r="K40" s="300">
        <v>665</v>
      </c>
      <c r="L40" s="300">
        <v>2</v>
      </c>
      <c r="M40" s="300">
        <v>18</v>
      </c>
    </row>
    <row r="41" spans="1:13">
      <c r="A41" s="141" t="s">
        <v>282</v>
      </c>
      <c r="B41" s="248">
        <v>1332</v>
      </c>
      <c r="C41" s="248">
        <v>55766</v>
      </c>
      <c r="D41" s="248">
        <v>32</v>
      </c>
      <c r="E41" s="248">
        <v>1852</v>
      </c>
      <c r="F41" s="248">
        <v>93</v>
      </c>
      <c r="G41" s="248">
        <v>355</v>
      </c>
      <c r="H41" s="300">
        <v>175</v>
      </c>
      <c r="I41" s="300">
        <v>1785</v>
      </c>
      <c r="J41" s="300">
        <v>279</v>
      </c>
      <c r="K41" s="300">
        <v>5379</v>
      </c>
      <c r="L41" s="300">
        <v>301</v>
      </c>
      <c r="M41" s="300">
        <v>3529</v>
      </c>
    </row>
    <row r="42" spans="1:13">
      <c r="A42" s="141" t="s">
        <v>190</v>
      </c>
      <c r="B42" s="248">
        <v>281</v>
      </c>
      <c r="C42" s="248">
        <v>3935</v>
      </c>
      <c r="D42" s="248">
        <v>0</v>
      </c>
      <c r="E42" s="248">
        <v>0</v>
      </c>
      <c r="F42" s="248">
        <v>13</v>
      </c>
      <c r="G42" s="248">
        <v>78</v>
      </c>
      <c r="H42" s="300">
        <v>32</v>
      </c>
      <c r="I42" s="300">
        <v>413</v>
      </c>
      <c r="J42" s="300">
        <v>8</v>
      </c>
      <c r="K42" s="300">
        <v>308</v>
      </c>
      <c r="L42" s="300">
        <v>0</v>
      </c>
      <c r="M42" s="300">
        <v>0</v>
      </c>
    </row>
    <row r="43" spans="1:13">
      <c r="A43" s="141" t="s">
        <v>192</v>
      </c>
      <c r="B43" s="248">
        <v>91</v>
      </c>
      <c r="C43" s="248">
        <v>1794</v>
      </c>
      <c r="D43" s="248">
        <v>5</v>
      </c>
      <c r="E43" s="248">
        <v>741</v>
      </c>
      <c r="F43" s="248">
        <v>4</v>
      </c>
      <c r="G43" s="248">
        <v>24</v>
      </c>
      <c r="H43" s="300">
        <v>11</v>
      </c>
      <c r="I43" s="300">
        <v>265</v>
      </c>
      <c r="J43" s="300">
        <v>9</v>
      </c>
      <c r="K43" s="300">
        <v>1066</v>
      </c>
      <c r="L43" s="300">
        <v>0</v>
      </c>
      <c r="M43" s="300">
        <v>0</v>
      </c>
    </row>
    <row r="44" spans="1:13">
      <c r="A44" s="141" t="s">
        <v>193</v>
      </c>
      <c r="B44" s="248">
        <v>106</v>
      </c>
      <c r="C44" s="248">
        <v>2563</v>
      </c>
      <c r="D44" s="248">
        <v>26</v>
      </c>
      <c r="E44" s="248">
        <v>1540</v>
      </c>
      <c r="F44" s="248">
        <v>28</v>
      </c>
      <c r="G44" s="248">
        <v>177</v>
      </c>
      <c r="H44" s="300">
        <v>79</v>
      </c>
      <c r="I44" s="300">
        <v>1417</v>
      </c>
      <c r="J44" s="300">
        <v>67</v>
      </c>
      <c r="K44" s="300">
        <v>1764</v>
      </c>
      <c r="L44" s="300">
        <v>0</v>
      </c>
      <c r="M44" s="300">
        <v>0</v>
      </c>
    </row>
    <row r="45" spans="1:13">
      <c r="A45" s="141" t="s">
        <v>318</v>
      </c>
      <c r="B45" s="248">
        <v>634</v>
      </c>
      <c r="C45" s="248">
        <v>12861</v>
      </c>
      <c r="D45" s="248">
        <v>2</v>
      </c>
      <c r="E45" s="248">
        <v>139</v>
      </c>
      <c r="F45" s="248">
        <v>28</v>
      </c>
      <c r="G45" s="248">
        <v>209</v>
      </c>
      <c r="H45" s="300">
        <v>182</v>
      </c>
      <c r="I45" s="300">
        <v>2562</v>
      </c>
      <c r="J45" s="300">
        <v>18</v>
      </c>
      <c r="K45" s="300">
        <v>742</v>
      </c>
      <c r="L45" s="300">
        <v>0</v>
      </c>
      <c r="M45" s="300">
        <v>0</v>
      </c>
    </row>
    <row r="46" spans="1:13">
      <c r="A46" s="141" t="s">
        <v>196</v>
      </c>
      <c r="B46" s="248">
        <v>60</v>
      </c>
      <c r="C46" s="248">
        <v>748</v>
      </c>
      <c r="D46" s="248">
        <v>0</v>
      </c>
      <c r="E46" s="248">
        <v>0</v>
      </c>
      <c r="F46" s="248">
        <v>0</v>
      </c>
      <c r="G46" s="248">
        <v>0</v>
      </c>
      <c r="H46" s="300">
        <v>3</v>
      </c>
      <c r="I46" s="300">
        <v>97</v>
      </c>
      <c r="J46" s="300">
        <v>0</v>
      </c>
      <c r="K46" s="300">
        <v>0</v>
      </c>
      <c r="L46" s="300">
        <v>0</v>
      </c>
      <c r="M46" s="300">
        <v>0</v>
      </c>
    </row>
    <row r="47" spans="1:13">
      <c r="A47" s="141" t="s">
        <v>198</v>
      </c>
      <c r="B47" s="248">
        <v>1171</v>
      </c>
      <c r="C47" s="248">
        <v>18494</v>
      </c>
      <c r="D47" s="248">
        <v>76</v>
      </c>
      <c r="E47" s="248">
        <v>1383</v>
      </c>
      <c r="F47" s="248">
        <v>383</v>
      </c>
      <c r="G47" s="248">
        <v>1110</v>
      </c>
      <c r="H47" s="300">
        <v>325</v>
      </c>
      <c r="I47" s="300">
        <v>3396</v>
      </c>
      <c r="J47" s="300">
        <v>292</v>
      </c>
      <c r="K47" s="300">
        <v>5819</v>
      </c>
      <c r="L47" s="300">
        <v>13</v>
      </c>
      <c r="M47" s="300">
        <v>58</v>
      </c>
    </row>
    <row r="48" spans="1:13">
      <c r="A48" s="141" t="s">
        <v>199</v>
      </c>
      <c r="B48" s="248">
        <v>568</v>
      </c>
      <c r="C48" s="248">
        <v>16643</v>
      </c>
      <c r="D48" s="248">
        <v>51</v>
      </c>
      <c r="E48" s="248">
        <v>1171</v>
      </c>
      <c r="F48" s="248">
        <v>109</v>
      </c>
      <c r="G48" s="248">
        <v>781</v>
      </c>
      <c r="H48" s="300">
        <v>73</v>
      </c>
      <c r="I48" s="300">
        <v>2596</v>
      </c>
      <c r="J48" s="300">
        <v>194</v>
      </c>
      <c r="K48" s="300">
        <v>4348</v>
      </c>
      <c r="L48" s="300">
        <v>0</v>
      </c>
      <c r="M48" s="300">
        <v>0</v>
      </c>
    </row>
    <row r="49" spans="1:13">
      <c r="A49" s="141" t="s">
        <v>202</v>
      </c>
      <c r="B49" s="248">
        <v>180</v>
      </c>
      <c r="C49" s="248">
        <v>3633</v>
      </c>
      <c r="D49" s="248">
        <v>0</v>
      </c>
      <c r="E49" s="248">
        <v>0</v>
      </c>
      <c r="F49" s="248">
        <v>0</v>
      </c>
      <c r="G49" s="248">
        <v>0</v>
      </c>
      <c r="H49" s="300">
        <v>269</v>
      </c>
      <c r="I49" s="300">
        <v>3742</v>
      </c>
      <c r="J49" s="300">
        <v>0</v>
      </c>
      <c r="K49" s="300">
        <v>0</v>
      </c>
      <c r="L49" s="300">
        <v>0</v>
      </c>
      <c r="M49" s="300">
        <v>0</v>
      </c>
    </row>
    <row r="50" spans="1:13">
      <c r="A50" s="141" t="s">
        <v>203</v>
      </c>
      <c r="B50" s="248">
        <v>1253</v>
      </c>
      <c r="C50" s="248">
        <v>32365</v>
      </c>
      <c r="D50" s="248">
        <v>2</v>
      </c>
      <c r="E50" s="248">
        <v>12</v>
      </c>
      <c r="F50" s="248">
        <v>333</v>
      </c>
      <c r="G50" s="248">
        <v>1390</v>
      </c>
      <c r="H50" s="300">
        <v>1298</v>
      </c>
      <c r="I50" s="300">
        <v>26955</v>
      </c>
      <c r="J50" s="300">
        <v>70</v>
      </c>
      <c r="K50" s="300">
        <v>1237</v>
      </c>
      <c r="L50" s="300">
        <v>8</v>
      </c>
      <c r="M50" s="300">
        <v>27</v>
      </c>
    </row>
    <row r="51" spans="1:13">
      <c r="A51" s="141" t="s">
        <v>319</v>
      </c>
      <c r="B51" s="248">
        <v>556</v>
      </c>
      <c r="C51" s="248">
        <v>11291</v>
      </c>
      <c r="D51" s="248">
        <v>9</v>
      </c>
      <c r="E51" s="248">
        <v>48</v>
      </c>
      <c r="F51" s="248">
        <v>107</v>
      </c>
      <c r="G51" s="248">
        <v>59</v>
      </c>
      <c r="H51" s="300">
        <v>292</v>
      </c>
      <c r="I51" s="300">
        <v>3074</v>
      </c>
      <c r="J51" s="300">
        <v>14</v>
      </c>
      <c r="K51" s="300">
        <v>169</v>
      </c>
      <c r="L51" s="300">
        <v>0</v>
      </c>
      <c r="M51" s="300">
        <v>0</v>
      </c>
    </row>
    <row r="52" spans="1:13">
      <c r="A52" s="300" t="s">
        <v>206</v>
      </c>
      <c r="B52" s="300">
        <v>527</v>
      </c>
      <c r="C52" s="300">
        <v>9411</v>
      </c>
      <c r="D52" s="300">
        <v>10</v>
      </c>
      <c r="E52" s="300">
        <v>202</v>
      </c>
      <c r="F52" s="300">
        <v>184</v>
      </c>
      <c r="G52" s="300">
        <v>467</v>
      </c>
      <c r="H52" s="300">
        <v>185</v>
      </c>
      <c r="I52" s="300">
        <v>3176</v>
      </c>
      <c r="J52" s="300">
        <v>87</v>
      </c>
      <c r="K52" s="300">
        <v>1044</v>
      </c>
      <c r="L52" s="300">
        <v>0</v>
      </c>
      <c r="M52" s="300">
        <v>0</v>
      </c>
    </row>
    <row r="53" spans="1:13">
      <c r="A53" s="300" t="s">
        <v>207</v>
      </c>
      <c r="B53" s="300">
        <v>590</v>
      </c>
      <c r="C53" s="300">
        <v>8166</v>
      </c>
      <c r="D53" s="300">
        <v>29</v>
      </c>
      <c r="E53" s="300">
        <v>236</v>
      </c>
      <c r="F53" s="300">
        <v>57</v>
      </c>
      <c r="G53" s="300">
        <v>313</v>
      </c>
      <c r="H53" s="300">
        <v>95</v>
      </c>
      <c r="I53" s="300">
        <v>1152</v>
      </c>
      <c r="J53" s="300">
        <v>120</v>
      </c>
      <c r="K53" s="300">
        <v>2393</v>
      </c>
      <c r="L53" s="300">
        <v>0</v>
      </c>
      <c r="M53" s="300">
        <v>0</v>
      </c>
    </row>
    <row r="54" spans="1:13">
      <c r="A54" s="300" t="s">
        <v>208</v>
      </c>
      <c r="B54" s="300">
        <v>344</v>
      </c>
      <c r="C54" s="300">
        <v>4809</v>
      </c>
      <c r="D54" s="300">
        <v>2</v>
      </c>
      <c r="E54" s="300">
        <v>85</v>
      </c>
      <c r="F54" s="300">
        <v>25</v>
      </c>
      <c r="G54" s="300">
        <v>55</v>
      </c>
      <c r="H54" s="300">
        <v>92</v>
      </c>
      <c r="I54" s="300">
        <v>565</v>
      </c>
      <c r="J54" s="300">
        <v>62</v>
      </c>
      <c r="K54" s="300">
        <v>424</v>
      </c>
      <c r="L54" s="300">
        <v>0</v>
      </c>
      <c r="M54" s="300">
        <v>0</v>
      </c>
    </row>
    <row r="55" spans="1:13">
      <c r="A55" s="300" t="s">
        <v>210</v>
      </c>
      <c r="B55" s="300">
        <v>14</v>
      </c>
      <c r="C55" s="300">
        <v>369</v>
      </c>
      <c r="D55" s="300">
        <v>0</v>
      </c>
      <c r="E55" s="300">
        <v>0</v>
      </c>
      <c r="F55" s="300">
        <v>270</v>
      </c>
      <c r="G55" s="300">
        <v>1175</v>
      </c>
      <c r="H55" s="300">
        <v>0</v>
      </c>
      <c r="I55" s="300">
        <v>0</v>
      </c>
      <c r="J55" s="300">
        <v>0</v>
      </c>
      <c r="K55" s="300">
        <v>0</v>
      </c>
      <c r="L55" s="300">
        <v>0</v>
      </c>
      <c r="M55" s="300">
        <v>0</v>
      </c>
    </row>
    <row r="56" spans="1:13">
      <c r="A56" s="300" t="s">
        <v>349</v>
      </c>
      <c r="B56" s="300">
        <v>68</v>
      </c>
      <c r="C56" s="300">
        <v>659</v>
      </c>
      <c r="D56" s="300">
        <v>11</v>
      </c>
      <c r="E56" s="300">
        <v>131</v>
      </c>
      <c r="F56" s="300">
        <v>16</v>
      </c>
      <c r="G56" s="300">
        <v>90</v>
      </c>
      <c r="H56" s="300">
        <v>24</v>
      </c>
      <c r="I56" s="300">
        <v>220</v>
      </c>
      <c r="J56" s="300">
        <v>60</v>
      </c>
      <c r="K56" s="300">
        <v>1036</v>
      </c>
      <c r="L56" s="300">
        <v>0</v>
      </c>
      <c r="M56" s="300">
        <v>0</v>
      </c>
    </row>
    <row r="57" spans="1:13">
      <c r="A57" s="300" t="s">
        <v>213</v>
      </c>
      <c r="B57" s="300">
        <v>240</v>
      </c>
      <c r="C57" s="300">
        <v>3750</v>
      </c>
      <c r="D57" s="300">
        <v>15</v>
      </c>
      <c r="E57" s="300">
        <v>114</v>
      </c>
      <c r="F57" s="300">
        <v>12</v>
      </c>
      <c r="G57" s="300">
        <v>57</v>
      </c>
      <c r="H57" s="300">
        <v>59</v>
      </c>
      <c r="I57" s="300">
        <v>763</v>
      </c>
      <c r="J57" s="300">
        <v>114</v>
      </c>
      <c r="K57" s="300">
        <v>1527</v>
      </c>
      <c r="L57" s="300">
        <v>1</v>
      </c>
      <c r="M57" s="300">
        <v>10</v>
      </c>
    </row>
    <row r="58" spans="1:13">
      <c r="A58" s="300" t="s">
        <v>357</v>
      </c>
      <c r="B58" s="300">
        <v>0</v>
      </c>
      <c r="C58" s="300">
        <v>0</v>
      </c>
      <c r="D58" s="300">
        <v>1</v>
      </c>
      <c r="E58" s="300">
        <v>18</v>
      </c>
      <c r="F58" s="300">
        <v>6</v>
      </c>
      <c r="G58" s="300">
        <v>43</v>
      </c>
      <c r="H58" s="300">
        <v>0</v>
      </c>
      <c r="I58" s="300">
        <v>0</v>
      </c>
      <c r="J58" s="300">
        <v>3</v>
      </c>
      <c r="K58" s="300">
        <v>39</v>
      </c>
      <c r="L58" s="300">
        <v>0</v>
      </c>
      <c r="M58" s="300">
        <v>0</v>
      </c>
    </row>
    <row r="59" spans="1:13">
      <c r="A59" s="300" t="s">
        <v>218</v>
      </c>
      <c r="B59" s="300">
        <v>941</v>
      </c>
      <c r="C59" s="300">
        <v>31498</v>
      </c>
      <c r="D59" s="300">
        <v>12</v>
      </c>
      <c r="E59" s="300">
        <v>2735</v>
      </c>
      <c r="F59" s="300">
        <v>147</v>
      </c>
      <c r="G59" s="300">
        <v>393</v>
      </c>
      <c r="H59" s="300">
        <v>455</v>
      </c>
      <c r="I59" s="300">
        <v>8140</v>
      </c>
      <c r="J59" s="300">
        <v>245</v>
      </c>
      <c r="K59" s="300">
        <v>3273</v>
      </c>
      <c r="L59" s="300">
        <v>0</v>
      </c>
      <c r="M59" s="300">
        <v>0</v>
      </c>
    </row>
    <row r="60" spans="1:13">
      <c r="A60" s="300" t="s">
        <v>219</v>
      </c>
      <c r="B60" s="300">
        <v>276</v>
      </c>
      <c r="C60" s="300">
        <v>12979</v>
      </c>
      <c r="D60" s="300">
        <v>22</v>
      </c>
      <c r="E60" s="300">
        <v>588</v>
      </c>
      <c r="F60" s="300">
        <v>172</v>
      </c>
      <c r="G60" s="300">
        <v>126</v>
      </c>
      <c r="H60" s="300">
        <v>155</v>
      </c>
      <c r="I60" s="300">
        <v>4580</v>
      </c>
      <c r="J60" s="300">
        <v>141</v>
      </c>
      <c r="K60" s="300">
        <v>2529</v>
      </c>
      <c r="L60" s="300">
        <v>0</v>
      </c>
      <c r="M60" s="300">
        <v>0</v>
      </c>
    </row>
    <row r="61" spans="1:13">
      <c r="A61" s="300" t="s">
        <v>320</v>
      </c>
      <c r="B61" s="300">
        <v>181</v>
      </c>
      <c r="C61" s="300">
        <v>2680</v>
      </c>
      <c r="D61" s="300">
        <v>8</v>
      </c>
      <c r="E61" s="300">
        <v>54</v>
      </c>
      <c r="F61" s="300">
        <v>45</v>
      </c>
      <c r="G61" s="300">
        <v>1007</v>
      </c>
      <c r="H61" s="300">
        <v>162</v>
      </c>
      <c r="I61" s="300">
        <v>1125</v>
      </c>
      <c r="J61" s="300">
        <v>64</v>
      </c>
      <c r="K61" s="300">
        <v>1032</v>
      </c>
      <c r="L61" s="300">
        <v>0</v>
      </c>
      <c r="M61" s="300">
        <v>0</v>
      </c>
    </row>
    <row r="62" spans="1:13">
      <c r="A62" s="300" t="s">
        <v>220</v>
      </c>
      <c r="B62" s="300">
        <v>1341</v>
      </c>
      <c r="C62" s="300">
        <v>35682</v>
      </c>
      <c r="D62" s="300">
        <v>37</v>
      </c>
      <c r="E62" s="300">
        <v>603</v>
      </c>
      <c r="F62" s="300">
        <v>913</v>
      </c>
      <c r="G62" s="300">
        <v>2928</v>
      </c>
      <c r="H62" s="300">
        <v>845</v>
      </c>
      <c r="I62" s="300">
        <v>12557</v>
      </c>
      <c r="J62" s="300">
        <v>113</v>
      </c>
      <c r="K62" s="300">
        <v>5241</v>
      </c>
      <c r="L62" s="300">
        <v>1</v>
      </c>
      <c r="M62" s="300">
        <v>3</v>
      </c>
    </row>
    <row r="63" spans="1:13">
      <c r="A63" s="300" t="s">
        <v>283</v>
      </c>
      <c r="B63" s="300">
        <v>40</v>
      </c>
      <c r="C63" s="300">
        <v>456</v>
      </c>
      <c r="D63" s="300">
        <v>1</v>
      </c>
      <c r="E63" s="300">
        <v>10</v>
      </c>
      <c r="F63" s="300">
        <v>20</v>
      </c>
      <c r="G63" s="300">
        <v>45</v>
      </c>
      <c r="H63" s="300">
        <v>0</v>
      </c>
      <c r="I63" s="300">
        <v>0</v>
      </c>
      <c r="J63" s="300">
        <v>0</v>
      </c>
      <c r="K63" s="300">
        <v>0</v>
      </c>
      <c r="L63" s="300">
        <v>0</v>
      </c>
      <c r="M63" s="300">
        <v>0</v>
      </c>
    </row>
    <row r="64" spans="1:13">
      <c r="A64" s="300" t="s">
        <v>223</v>
      </c>
      <c r="B64" s="300">
        <v>230</v>
      </c>
      <c r="C64" s="300">
        <v>4214</v>
      </c>
      <c r="D64" s="300">
        <v>15</v>
      </c>
      <c r="E64" s="300">
        <v>326</v>
      </c>
      <c r="F64" s="300">
        <v>15</v>
      </c>
      <c r="G64" s="300">
        <v>139</v>
      </c>
      <c r="H64" s="300">
        <v>35</v>
      </c>
      <c r="I64" s="300">
        <v>526</v>
      </c>
      <c r="J64" s="300">
        <v>45</v>
      </c>
      <c r="K64" s="300">
        <v>532</v>
      </c>
      <c r="L64" s="300">
        <v>11</v>
      </c>
      <c r="M64" s="300">
        <v>96</v>
      </c>
    </row>
    <row r="65" spans="1:13">
      <c r="A65" s="300" t="s">
        <v>224</v>
      </c>
      <c r="B65" s="300">
        <v>1040</v>
      </c>
      <c r="C65" s="300">
        <v>47894</v>
      </c>
      <c r="D65" s="300">
        <v>135</v>
      </c>
      <c r="E65" s="300">
        <v>1801</v>
      </c>
      <c r="F65" s="300">
        <v>284</v>
      </c>
      <c r="G65" s="300">
        <v>2113</v>
      </c>
      <c r="H65" s="300">
        <v>368</v>
      </c>
      <c r="I65" s="300">
        <v>5246</v>
      </c>
      <c r="J65" s="300">
        <v>220</v>
      </c>
      <c r="K65" s="300">
        <v>3884</v>
      </c>
      <c r="L65" s="300">
        <v>4</v>
      </c>
      <c r="M65" s="300">
        <v>73</v>
      </c>
    </row>
    <row r="66" spans="1:13">
      <c r="A66" s="300" t="s">
        <v>225</v>
      </c>
      <c r="B66" s="300">
        <v>316</v>
      </c>
      <c r="C66" s="300">
        <v>11071</v>
      </c>
      <c r="D66" s="300">
        <v>0</v>
      </c>
      <c r="E66" s="300">
        <v>0</v>
      </c>
      <c r="F66" s="300">
        <v>7</v>
      </c>
      <c r="G66" s="300">
        <v>28</v>
      </c>
      <c r="H66" s="300">
        <v>178</v>
      </c>
      <c r="I66" s="300">
        <v>4071</v>
      </c>
      <c r="J66" s="300">
        <v>13</v>
      </c>
      <c r="K66" s="300">
        <v>101</v>
      </c>
      <c r="L66" s="300">
        <v>4</v>
      </c>
      <c r="M66" s="300">
        <v>55</v>
      </c>
    </row>
    <row r="67" spans="1:13">
      <c r="A67" s="300" t="s">
        <v>226</v>
      </c>
      <c r="B67" s="300">
        <v>451</v>
      </c>
      <c r="C67" s="300">
        <v>14336</v>
      </c>
      <c r="D67" s="300">
        <v>54</v>
      </c>
      <c r="E67" s="300">
        <v>767</v>
      </c>
      <c r="F67" s="300">
        <v>13</v>
      </c>
      <c r="G67" s="300">
        <v>132</v>
      </c>
      <c r="H67" s="300">
        <v>29</v>
      </c>
      <c r="I67" s="300">
        <v>669</v>
      </c>
      <c r="J67" s="300">
        <v>112</v>
      </c>
      <c r="K67" s="300">
        <v>3129</v>
      </c>
      <c r="L67" s="300">
        <v>0</v>
      </c>
      <c r="M67" s="300">
        <v>0</v>
      </c>
    </row>
    <row r="68" spans="1:13">
      <c r="A68" s="300" t="s">
        <v>228</v>
      </c>
      <c r="B68" s="300">
        <v>210</v>
      </c>
      <c r="C68" s="300">
        <v>3005</v>
      </c>
      <c r="D68" s="300">
        <v>1</v>
      </c>
      <c r="E68" s="300">
        <v>20</v>
      </c>
      <c r="F68" s="300">
        <v>9</v>
      </c>
      <c r="G68" s="300">
        <v>46</v>
      </c>
      <c r="H68" s="300">
        <v>6</v>
      </c>
      <c r="I68" s="300">
        <v>62</v>
      </c>
      <c r="J68" s="300">
        <v>8</v>
      </c>
      <c r="K68" s="300">
        <v>157</v>
      </c>
      <c r="L68" s="300">
        <v>0</v>
      </c>
      <c r="M68" s="300">
        <v>0</v>
      </c>
    </row>
    <row r="69" spans="1:13">
      <c r="A69" s="300" t="s">
        <v>229</v>
      </c>
      <c r="B69" s="300">
        <v>777</v>
      </c>
      <c r="C69" s="300">
        <v>19359</v>
      </c>
      <c r="D69" s="300">
        <v>11</v>
      </c>
      <c r="E69" s="300">
        <v>641</v>
      </c>
      <c r="F69" s="300">
        <v>34</v>
      </c>
      <c r="G69" s="300">
        <v>536</v>
      </c>
      <c r="H69" s="300">
        <v>29</v>
      </c>
      <c r="I69" s="300">
        <v>1153</v>
      </c>
      <c r="J69" s="300">
        <v>886</v>
      </c>
      <c r="K69" s="300">
        <v>14296</v>
      </c>
      <c r="L69" s="300">
        <v>0</v>
      </c>
      <c r="M69" s="300">
        <v>0</v>
      </c>
    </row>
    <row r="70" spans="1:13">
      <c r="A70" s="300" t="s">
        <v>322</v>
      </c>
      <c r="B70" s="300">
        <v>1771</v>
      </c>
      <c r="C70" s="300">
        <v>28327</v>
      </c>
      <c r="D70" s="300">
        <v>671</v>
      </c>
      <c r="E70" s="300">
        <v>1547</v>
      </c>
      <c r="F70" s="300">
        <v>550</v>
      </c>
      <c r="G70" s="300">
        <v>1091</v>
      </c>
      <c r="H70" s="300">
        <v>1526</v>
      </c>
      <c r="I70" s="300">
        <v>12255</v>
      </c>
      <c r="J70" s="300">
        <v>226</v>
      </c>
      <c r="K70" s="300">
        <v>3461</v>
      </c>
      <c r="L70" s="300">
        <v>1</v>
      </c>
      <c r="M70" s="300">
        <v>5</v>
      </c>
    </row>
    <row r="71" spans="1:13">
      <c r="A71" s="300" t="s">
        <v>323</v>
      </c>
      <c r="B71" s="300">
        <v>338</v>
      </c>
      <c r="C71" s="300">
        <v>6459</v>
      </c>
      <c r="D71" s="300">
        <v>0</v>
      </c>
      <c r="E71" s="300">
        <v>0</v>
      </c>
      <c r="F71" s="300">
        <v>385</v>
      </c>
      <c r="G71" s="300">
        <v>409</v>
      </c>
      <c r="H71" s="300">
        <v>278</v>
      </c>
      <c r="I71" s="300">
        <v>2056</v>
      </c>
      <c r="J71" s="300">
        <v>0</v>
      </c>
      <c r="K71" s="300">
        <v>0</v>
      </c>
      <c r="L71" s="300">
        <v>2</v>
      </c>
      <c r="M71" s="300">
        <v>36</v>
      </c>
    </row>
    <row r="72" spans="1:13">
      <c r="A72" s="300" t="s">
        <v>350</v>
      </c>
      <c r="B72" s="300">
        <v>1359</v>
      </c>
      <c r="C72" s="300">
        <v>23677</v>
      </c>
      <c r="D72" s="300">
        <v>164</v>
      </c>
      <c r="E72" s="300">
        <v>2583</v>
      </c>
      <c r="F72" s="300">
        <v>78</v>
      </c>
      <c r="G72" s="300">
        <v>479</v>
      </c>
      <c r="H72" s="300">
        <v>1042</v>
      </c>
      <c r="I72" s="300">
        <v>12870</v>
      </c>
      <c r="J72" s="300">
        <v>354</v>
      </c>
      <c r="K72" s="300">
        <v>4933</v>
      </c>
      <c r="L72" s="300">
        <v>18</v>
      </c>
      <c r="M72" s="300">
        <v>240</v>
      </c>
    </row>
    <row r="73" spans="1:13">
      <c r="A73" s="300" t="s">
        <v>284</v>
      </c>
      <c r="B73" s="300">
        <v>941</v>
      </c>
      <c r="C73" s="300">
        <v>30459</v>
      </c>
      <c r="D73" s="300">
        <v>492</v>
      </c>
      <c r="E73" s="300">
        <v>9056</v>
      </c>
      <c r="F73" s="300">
        <v>74</v>
      </c>
      <c r="G73" s="300">
        <v>722</v>
      </c>
      <c r="H73" s="300">
        <v>91</v>
      </c>
      <c r="I73" s="300">
        <v>1363</v>
      </c>
      <c r="J73" s="300">
        <v>225</v>
      </c>
      <c r="K73" s="300">
        <v>5008</v>
      </c>
      <c r="L73" s="300">
        <v>4</v>
      </c>
      <c r="M73" s="300">
        <v>55</v>
      </c>
    </row>
    <row r="74" spans="1:13">
      <c r="A74" s="300" t="s">
        <v>232</v>
      </c>
      <c r="B74" s="300">
        <v>582</v>
      </c>
      <c r="C74" s="300">
        <v>14647</v>
      </c>
      <c r="D74" s="300">
        <v>5</v>
      </c>
      <c r="E74" s="300">
        <v>92</v>
      </c>
      <c r="F74" s="300">
        <v>101</v>
      </c>
      <c r="G74" s="300">
        <v>550</v>
      </c>
      <c r="H74" s="300">
        <v>32</v>
      </c>
      <c r="I74" s="300">
        <v>381</v>
      </c>
      <c r="J74" s="300">
        <v>687</v>
      </c>
      <c r="K74" s="300">
        <v>9605</v>
      </c>
      <c r="L74" s="300">
        <v>0</v>
      </c>
      <c r="M74" s="300">
        <v>0</v>
      </c>
    </row>
    <row r="75" spans="1:13">
      <c r="A75" s="300" t="s">
        <v>233</v>
      </c>
      <c r="B75" s="300">
        <v>315</v>
      </c>
      <c r="C75" s="300">
        <v>7479</v>
      </c>
      <c r="D75" s="300">
        <v>17</v>
      </c>
      <c r="E75" s="300">
        <v>252</v>
      </c>
      <c r="F75" s="300">
        <v>76</v>
      </c>
      <c r="G75" s="300">
        <v>199</v>
      </c>
      <c r="H75" s="300">
        <v>56</v>
      </c>
      <c r="I75" s="300">
        <v>817</v>
      </c>
      <c r="J75" s="300">
        <v>160</v>
      </c>
      <c r="K75" s="300">
        <v>2795</v>
      </c>
      <c r="L75" s="300">
        <v>0</v>
      </c>
      <c r="M75" s="300">
        <v>0</v>
      </c>
    </row>
    <row r="76" spans="1:13">
      <c r="A76" s="300" t="s">
        <v>234</v>
      </c>
      <c r="B76" s="300">
        <v>362</v>
      </c>
      <c r="C76" s="300">
        <v>5597</v>
      </c>
      <c r="D76" s="300">
        <v>26</v>
      </c>
      <c r="E76" s="300">
        <v>1425</v>
      </c>
      <c r="F76" s="300">
        <v>41</v>
      </c>
      <c r="G76" s="300">
        <v>82</v>
      </c>
      <c r="H76" s="300">
        <v>68</v>
      </c>
      <c r="I76" s="300">
        <v>870</v>
      </c>
      <c r="J76" s="300">
        <v>372</v>
      </c>
      <c r="K76" s="300">
        <v>2999</v>
      </c>
      <c r="L76" s="300">
        <v>0</v>
      </c>
      <c r="M76" s="300">
        <v>0</v>
      </c>
    </row>
    <row r="77" spans="1:13">
      <c r="A77" s="300" t="s">
        <v>236</v>
      </c>
      <c r="B77" s="300">
        <v>0</v>
      </c>
      <c r="C77" s="300">
        <v>0</v>
      </c>
      <c r="D77" s="300">
        <v>0</v>
      </c>
      <c r="E77" s="300">
        <v>0</v>
      </c>
      <c r="F77" s="300">
        <v>0</v>
      </c>
      <c r="G77" s="300">
        <v>0</v>
      </c>
      <c r="H77" s="300">
        <v>0</v>
      </c>
      <c r="I77" s="300">
        <v>0</v>
      </c>
      <c r="J77" s="300">
        <v>0</v>
      </c>
      <c r="K77" s="300">
        <v>0</v>
      </c>
      <c r="L77" s="300">
        <v>0</v>
      </c>
      <c r="M77" s="300">
        <v>0</v>
      </c>
    </row>
    <row r="78" spans="1:13">
      <c r="A78" s="300" t="s">
        <v>238</v>
      </c>
      <c r="B78" s="300">
        <v>190</v>
      </c>
      <c r="C78" s="300">
        <v>3066</v>
      </c>
      <c r="D78" s="300">
        <v>0</v>
      </c>
      <c r="E78" s="300">
        <v>0</v>
      </c>
      <c r="F78" s="300">
        <v>9</v>
      </c>
      <c r="G78" s="300">
        <v>115</v>
      </c>
      <c r="H78" s="300">
        <v>35</v>
      </c>
      <c r="I78" s="300">
        <v>641</v>
      </c>
      <c r="J78" s="300">
        <v>2</v>
      </c>
      <c r="K78" s="300">
        <v>1181</v>
      </c>
      <c r="L78" s="300">
        <v>0</v>
      </c>
      <c r="M78" s="300">
        <v>0</v>
      </c>
    </row>
    <row r="79" spans="1:13">
      <c r="A79" s="300" t="s">
        <v>239</v>
      </c>
      <c r="B79" s="300">
        <v>1287</v>
      </c>
      <c r="C79" s="300">
        <v>42888</v>
      </c>
      <c r="D79" s="300">
        <v>49</v>
      </c>
      <c r="E79" s="300">
        <v>9995</v>
      </c>
      <c r="F79" s="300">
        <v>83</v>
      </c>
      <c r="G79" s="300">
        <v>520</v>
      </c>
      <c r="H79" s="300">
        <v>35</v>
      </c>
      <c r="I79" s="300">
        <v>522</v>
      </c>
      <c r="J79" s="300">
        <v>406</v>
      </c>
      <c r="K79" s="300">
        <v>9479</v>
      </c>
      <c r="L79" s="300">
        <v>15</v>
      </c>
      <c r="M79" s="300">
        <v>2734</v>
      </c>
    </row>
    <row r="80" spans="1:13">
      <c r="A80" s="300" t="s">
        <v>351</v>
      </c>
      <c r="B80" s="300">
        <v>408</v>
      </c>
      <c r="C80" s="300">
        <v>16371</v>
      </c>
      <c r="D80" s="300">
        <v>52</v>
      </c>
      <c r="E80" s="300">
        <v>2183</v>
      </c>
      <c r="F80" s="300">
        <v>101</v>
      </c>
      <c r="G80" s="300">
        <v>782</v>
      </c>
      <c r="H80" s="300">
        <v>65</v>
      </c>
      <c r="I80" s="300">
        <v>1056</v>
      </c>
      <c r="J80" s="300">
        <v>198</v>
      </c>
      <c r="K80" s="300">
        <v>5988</v>
      </c>
      <c r="L80" s="300">
        <v>0</v>
      </c>
      <c r="M80" s="300">
        <v>0</v>
      </c>
    </row>
    <row r="81" spans="1:13">
      <c r="A81" s="300" t="s">
        <v>244</v>
      </c>
      <c r="B81" s="300">
        <v>38</v>
      </c>
      <c r="C81" s="300">
        <v>192</v>
      </c>
      <c r="D81" s="300">
        <v>0</v>
      </c>
      <c r="E81" s="300">
        <v>0</v>
      </c>
      <c r="F81" s="300">
        <v>7</v>
      </c>
      <c r="G81" s="300">
        <v>4</v>
      </c>
      <c r="H81" s="300">
        <v>0</v>
      </c>
      <c r="I81" s="300">
        <v>0</v>
      </c>
      <c r="J81" s="300">
        <v>0</v>
      </c>
      <c r="K81" s="300">
        <v>0</v>
      </c>
      <c r="L81" s="300">
        <v>0</v>
      </c>
      <c r="M81" s="300">
        <v>0</v>
      </c>
    </row>
    <row r="82" spans="1:13">
      <c r="A82" s="300" t="s">
        <v>326</v>
      </c>
      <c r="B82" s="300">
        <v>402</v>
      </c>
      <c r="C82" s="300">
        <v>5191</v>
      </c>
      <c r="D82" s="300">
        <v>6</v>
      </c>
      <c r="E82" s="300">
        <v>53</v>
      </c>
      <c r="F82" s="300">
        <v>92</v>
      </c>
      <c r="G82" s="300">
        <v>151</v>
      </c>
      <c r="H82" s="300">
        <v>234</v>
      </c>
      <c r="I82" s="300">
        <v>1876</v>
      </c>
      <c r="J82" s="300">
        <v>129</v>
      </c>
      <c r="K82" s="300">
        <v>850</v>
      </c>
      <c r="L82" s="300">
        <v>0</v>
      </c>
      <c r="M82" s="300">
        <v>0</v>
      </c>
    </row>
    <row r="83" spans="1:13">
      <c r="A83" s="300" t="s">
        <v>247</v>
      </c>
      <c r="B83" s="300">
        <v>142</v>
      </c>
      <c r="C83" s="300">
        <v>1925</v>
      </c>
      <c r="D83" s="300">
        <v>15</v>
      </c>
      <c r="E83" s="300">
        <v>134</v>
      </c>
      <c r="F83" s="300">
        <v>13</v>
      </c>
      <c r="G83" s="300">
        <v>44</v>
      </c>
      <c r="H83" s="300">
        <v>137</v>
      </c>
      <c r="I83" s="300">
        <v>1092</v>
      </c>
      <c r="J83" s="300">
        <v>123</v>
      </c>
      <c r="K83" s="300">
        <v>822</v>
      </c>
      <c r="L83" s="300">
        <v>0</v>
      </c>
      <c r="M83" s="300">
        <v>0</v>
      </c>
    </row>
    <row r="84" spans="1:13">
      <c r="A84" s="300" t="s">
        <v>249</v>
      </c>
      <c r="B84" s="300">
        <v>478</v>
      </c>
      <c r="C84" s="300">
        <v>12626</v>
      </c>
      <c r="D84" s="300">
        <v>5</v>
      </c>
      <c r="E84" s="300">
        <v>99</v>
      </c>
      <c r="F84" s="300">
        <v>46</v>
      </c>
      <c r="G84" s="300">
        <v>199</v>
      </c>
      <c r="H84" s="300">
        <v>103</v>
      </c>
      <c r="I84" s="300">
        <v>2077</v>
      </c>
      <c r="J84" s="300">
        <v>51</v>
      </c>
      <c r="K84" s="300">
        <v>1989</v>
      </c>
      <c r="L84" s="300">
        <v>2</v>
      </c>
      <c r="M84" s="300">
        <v>27</v>
      </c>
    </row>
    <row r="85" spans="1:13">
      <c r="A85" s="300" t="s">
        <v>254</v>
      </c>
      <c r="B85" s="300">
        <v>554</v>
      </c>
      <c r="C85" s="300">
        <v>20754</v>
      </c>
      <c r="D85" s="300">
        <v>36</v>
      </c>
      <c r="E85" s="300">
        <v>982</v>
      </c>
      <c r="F85" s="300">
        <v>341</v>
      </c>
      <c r="G85" s="300">
        <v>1228</v>
      </c>
      <c r="H85" s="300">
        <v>35</v>
      </c>
      <c r="I85" s="300">
        <v>828</v>
      </c>
      <c r="J85" s="300">
        <v>211</v>
      </c>
      <c r="K85" s="300">
        <v>5865</v>
      </c>
      <c r="L85" s="300">
        <v>0</v>
      </c>
      <c r="M85" s="300">
        <v>0</v>
      </c>
    </row>
    <row r="86" spans="1:13">
      <c r="A86" s="300" t="s">
        <v>256</v>
      </c>
      <c r="B86" s="300">
        <v>61</v>
      </c>
      <c r="C86" s="300">
        <v>788</v>
      </c>
      <c r="D86" s="300">
        <v>2</v>
      </c>
      <c r="E86" s="300">
        <v>50</v>
      </c>
      <c r="F86" s="300">
        <v>54</v>
      </c>
      <c r="G86" s="300">
        <v>67</v>
      </c>
      <c r="H86" s="300">
        <v>0</v>
      </c>
      <c r="I86" s="300">
        <v>0</v>
      </c>
      <c r="J86" s="300">
        <v>0</v>
      </c>
      <c r="K86" s="300">
        <v>0</v>
      </c>
      <c r="L86" s="300">
        <v>0</v>
      </c>
      <c r="M86" s="300">
        <v>0</v>
      </c>
    </row>
    <row r="87" spans="1:13">
      <c r="A87" s="300" t="s">
        <v>327</v>
      </c>
      <c r="B87" s="300">
        <v>410</v>
      </c>
      <c r="C87" s="300">
        <v>11313</v>
      </c>
      <c r="D87" s="300">
        <v>53</v>
      </c>
      <c r="E87" s="300">
        <v>239</v>
      </c>
      <c r="F87" s="300">
        <v>38</v>
      </c>
      <c r="G87" s="300">
        <v>239</v>
      </c>
      <c r="H87" s="300">
        <v>355</v>
      </c>
      <c r="I87" s="300">
        <v>7024</v>
      </c>
      <c r="J87" s="300">
        <v>84</v>
      </c>
      <c r="K87" s="300">
        <v>634</v>
      </c>
      <c r="L87" s="300">
        <v>0</v>
      </c>
      <c r="M87" s="300">
        <v>0</v>
      </c>
    </row>
    <row r="88" spans="1:13">
      <c r="A88" s="300" t="s">
        <v>257</v>
      </c>
      <c r="B88" s="300">
        <v>971</v>
      </c>
      <c r="C88" s="300">
        <v>13932</v>
      </c>
      <c r="D88" s="300">
        <v>60</v>
      </c>
      <c r="E88" s="300">
        <v>1435</v>
      </c>
      <c r="F88" s="300">
        <v>124</v>
      </c>
      <c r="G88" s="300">
        <v>921</v>
      </c>
      <c r="H88" s="300">
        <v>384</v>
      </c>
      <c r="I88" s="300">
        <v>4906</v>
      </c>
      <c r="J88" s="300">
        <v>120</v>
      </c>
      <c r="K88" s="300">
        <v>1314</v>
      </c>
      <c r="L88" s="300">
        <v>0</v>
      </c>
      <c r="M88" s="300">
        <v>0</v>
      </c>
    </row>
    <row r="89" spans="1:13">
      <c r="A89" s="300" t="s">
        <v>258</v>
      </c>
      <c r="B89" s="300">
        <v>274</v>
      </c>
      <c r="C89" s="300">
        <v>5535</v>
      </c>
      <c r="D89" s="300">
        <v>2</v>
      </c>
      <c r="E89" s="300">
        <v>115</v>
      </c>
      <c r="F89" s="300">
        <v>174</v>
      </c>
      <c r="G89" s="300">
        <v>423</v>
      </c>
      <c r="H89" s="300">
        <v>286</v>
      </c>
      <c r="I89" s="300">
        <v>2301</v>
      </c>
      <c r="J89" s="300">
        <v>27</v>
      </c>
      <c r="K89" s="300">
        <v>450</v>
      </c>
      <c r="L89" s="300">
        <v>0</v>
      </c>
      <c r="M89" s="300">
        <v>0</v>
      </c>
    </row>
    <row r="90" spans="1:13">
      <c r="A90" s="300" t="s">
        <v>285</v>
      </c>
      <c r="B90" s="300">
        <v>261</v>
      </c>
      <c r="C90" s="300">
        <v>4499</v>
      </c>
      <c r="D90" s="300">
        <v>6</v>
      </c>
      <c r="E90" s="300">
        <v>349</v>
      </c>
      <c r="F90" s="300">
        <v>18</v>
      </c>
      <c r="G90" s="300">
        <v>97</v>
      </c>
      <c r="H90" s="300">
        <v>7</v>
      </c>
      <c r="I90" s="300">
        <v>50</v>
      </c>
      <c r="J90" s="300">
        <v>93</v>
      </c>
      <c r="K90" s="300">
        <v>1425</v>
      </c>
      <c r="L90" s="300">
        <v>0</v>
      </c>
      <c r="M90" s="300">
        <v>0</v>
      </c>
    </row>
    <row r="91" spans="1:13">
      <c r="A91" s="300" t="s">
        <v>260</v>
      </c>
      <c r="B91" s="300">
        <v>1113</v>
      </c>
      <c r="C91" s="300">
        <v>40096</v>
      </c>
      <c r="D91" s="300">
        <v>109</v>
      </c>
      <c r="E91" s="300">
        <v>2286</v>
      </c>
      <c r="F91" s="300">
        <v>97</v>
      </c>
      <c r="G91" s="300">
        <v>821</v>
      </c>
      <c r="H91" s="300">
        <v>971</v>
      </c>
      <c r="I91" s="300">
        <v>10849</v>
      </c>
      <c r="J91" s="300">
        <v>63</v>
      </c>
      <c r="K91" s="300">
        <v>1086</v>
      </c>
      <c r="L91" s="300">
        <v>2</v>
      </c>
      <c r="M91" s="300">
        <v>20</v>
      </c>
    </row>
    <row r="92" spans="1:13">
      <c r="A92" s="300" t="s">
        <v>261</v>
      </c>
      <c r="B92" s="300">
        <v>811</v>
      </c>
      <c r="C92" s="300">
        <v>15285</v>
      </c>
      <c r="D92" s="300">
        <v>8</v>
      </c>
      <c r="E92" s="300">
        <v>177</v>
      </c>
      <c r="F92" s="300">
        <v>224</v>
      </c>
      <c r="G92" s="300">
        <v>989</v>
      </c>
      <c r="H92" s="300">
        <v>84</v>
      </c>
      <c r="I92" s="300">
        <v>1500</v>
      </c>
      <c r="J92" s="300">
        <v>40</v>
      </c>
      <c r="K92" s="300">
        <v>658</v>
      </c>
      <c r="L92" s="300">
        <v>9</v>
      </c>
      <c r="M92" s="300">
        <v>249</v>
      </c>
    </row>
    <row r="93" spans="1:13">
      <c r="A93" s="300" t="s">
        <v>286</v>
      </c>
      <c r="B93" s="300">
        <v>0</v>
      </c>
      <c r="C93" s="300">
        <v>0</v>
      </c>
      <c r="D93" s="300">
        <v>0</v>
      </c>
      <c r="E93" s="300">
        <v>201</v>
      </c>
      <c r="F93" s="300">
        <v>0</v>
      </c>
      <c r="G93" s="300">
        <v>0</v>
      </c>
      <c r="H93" s="300">
        <v>0</v>
      </c>
      <c r="I93" s="300">
        <v>0</v>
      </c>
      <c r="J93" s="300">
        <v>0</v>
      </c>
      <c r="K93" s="300">
        <v>0</v>
      </c>
      <c r="L93" s="300">
        <v>0</v>
      </c>
      <c r="M93" s="300">
        <v>0</v>
      </c>
    </row>
    <row r="94" spans="1:13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</row>
    <row r="95" spans="1:13">
      <c r="A95" s="301" t="s">
        <v>105</v>
      </c>
      <c r="B95" s="301">
        <v>362</v>
      </c>
      <c r="C95" s="301">
        <v>9411</v>
      </c>
      <c r="D95" s="301">
        <v>15</v>
      </c>
      <c r="E95" s="301">
        <v>239</v>
      </c>
      <c r="F95" s="301">
        <v>57</v>
      </c>
      <c r="G95" s="301">
        <v>239</v>
      </c>
      <c r="H95" s="301">
        <v>79</v>
      </c>
      <c r="I95" s="301">
        <v>1340</v>
      </c>
      <c r="J95" s="301">
        <v>68</v>
      </c>
      <c r="K95" s="301">
        <v>1066</v>
      </c>
      <c r="L95" s="301">
        <v>0</v>
      </c>
      <c r="M95" s="301">
        <v>0</v>
      </c>
    </row>
    <row r="96" spans="1:13">
      <c r="A96" s="301" t="s">
        <v>104</v>
      </c>
      <c r="B96" s="301">
        <v>582.58426966292132</v>
      </c>
      <c r="C96" s="301">
        <v>12935.056179775282</v>
      </c>
      <c r="D96" s="301">
        <v>66.17977528089888</v>
      </c>
      <c r="E96" s="301">
        <v>1295.9887640449438</v>
      </c>
      <c r="F96" s="301">
        <v>108.37078651685393</v>
      </c>
      <c r="G96" s="301">
        <v>503.06741573033707</v>
      </c>
      <c r="H96" s="301">
        <v>213.07865168539325</v>
      </c>
      <c r="I96" s="301">
        <v>2865.7640449438204</v>
      </c>
      <c r="J96" s="301">
        <v>118.58426966292134</v>
      </c>
      <c r="K96" s="301">
        <v>2151.0224719101125</v>
      </c>
      <c r="L96" s="301">
        <v>6.4382022471910112</v>
      </c>
      <c r="M96" s="301">
        <v>109.73033707865169</v>
      </c>
    </row>
    <row r="97" spans="1:13">
      <c r="A97" s="301" t="s">
        <v>329</v>
      </c>
      <c r="B97" s="301">
        <v>51850</v>
      </c>
      <c r="C97" s="301">
        <v>1151220</v>
      </c>
      <c r="D97" s="301">
        <v>5890</v>
      </c>
      <c r="E97" s="301">
        <v>115343</v>
      </c>
      <c r="F97" s="301">
        <v>9645</v>
      </c>
      <c r="G97" s="301">
        <v>44773</v>
      </c>
      <c r="H97" s="301">
        <v>18964</v>
      </c>
      <c r="I97" s="301">
        <v>255053</v>
      </c>
      <c r="J97" s="301">
        <v>10554</v>
      </c>
      <c r="K97" s="301">
        <v>191441</v>
      </c>
      <c r="L97" s="301">
        <v>573</v>
      </c>
      <c r="M97" s="301">
        <v>9766</v>
      </c>
    </row>
    <row r="98" spans="1:13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</row>
  </sheetData>
  <conditionalFormatting sqref="A52:G98">
    <cfRule type="cellIs" dxfId="9" priority="2" operator="equal">
      <formula>0</formula>
    </cfRule>
  </conditionalFormatting>
  <conditionalFormatting sqref="B5:G51">
    <cfRule type="cellIs" dxfId="8" priority="4" operator="equal">
      <formula>0</formula>
    </cfRule>
  </conditionalFormatting>
  <conditionalFormatting sqref="H4:M98">
    <cfRule type="cellIs" dxfId="7" priority="1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60" orientation="portrait" r:id="rId1"/>
  <headerFooter alignWithMargins="0">
    <oddFooter>&amp;L&amp;9Public Library Statistics 2022–23&amp;C&amp;9&amp;P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E97"/>
  <sheetViews>
    <sheetView zoomScaleNormal="100" workbookViewId="0">
      <pane ySplit="2" topLeftCell="A70" activePane="bottomLeft" state="frozen"/>
      <selection pane="bottomLeft" sqref="A1:XFD1048576"/>
      <selection activeCell="G34" sqref="G34"/>
    </sheetView>
  </sheetViews>
  <sheetFormatPr defaultRowHeight="14.25" customHeight="1"/>
  <cols>
    <col min="1" max="1" width="22.28515625" style="383" customWidth="1"/>
    <col min="2" max="2" width="12.7109375" style="383" customWidth="1"/>
    <col min="3" max="3" width="18.140625" style="383" customWidth="1"/>
    <col min="4" max="4" width="22.28515625" style="383" customWidth="1"/>
    <col min="5" max="5" width="12.140625" style="383" customWidth="1"/>
    <col min="6" max="6" width="9.140625" style="383"/>
    <col min="7" max="7" width="18.28515625" style="383" bestFit="1" customWidth="1"/>
    <col min="8" max="8" width="21.5703125" style="383" bestFit="1" customWidth="1"/>
    <col min="9" max="9" width="22.42578125" style="383" bestFit="1" customWidth="1"/>
    <col min="10" max="16384" width="9.140625" style="383"/>
  </cols>
  <sheetData>
    <row r="1" spans="1:5" ht="16.5" customHeight="1">
      <c r="A1" s="381" t="s">
        <v>686</v>
      </c>
    </row>
    <row r="2" spans="1:5" ht="14.25" customHeight="1">
      <c r="A2" s="384" t="s">
        <v>687</v>
      </c>
    </row>
    <row r="4" spans="1:5" ht="14.25" customHeight="1">
      <c r="A4" s="393" t="s">
        <v>346</v>
      </c>
      <c r="B4" s="394">
        <v>95728</v>
      </c>
      <c r="D4" s="393"/>
      <c r="E4" s="192"/>
    </row>
    <row r="5" spans="1:5" ht="14.25" customHeight="1">
      <c r="A5" s="393" t="s">
        <v>278</v>
      </c>
      <c r="B5" s="394">
        <v>7025</v>
      </c>
      <c r="D5" s="393"/>
      <c r="E5" s="192"/>
    </row>
    <row r="6" spans="1:5" ht="14.25" customHeight="1">
      <c r="A6" s="393" t="s">
        <v>123</v>
      </c>
      <c r="B6" s="393">
        <v>532</v>
      </c>
      <c r="D6" s="393"/>
      <c r="E6" s="192"/>
    </row>
    <row r="7" spans="1:5" ht="14.25" customHeight="1">
      <c r="A7" s="393" t="s">
        <v>124</v>
      </c>
      <c r="B7" s="394">
        <v>29526</v>
      </c>
      <c r="D7" s="393"/>
      <c r="E7" s="192"/>
    </row>
    <row r="8" spans="1:5" ht="14.25" customHeight="1">
      <c r="A8" s="393" t="s">
        <v>126</v>
      </c>
      <c r="B8" s="394">
        <v>139048</v>
      </c>
      <c r="D8" s="393"/>
      <c r="E8" s="192"/>
    </row>
    <row r="9" spans="1:5" ht="14.25" customHeight="1">
      <c r="A9" s="393" t="s">
        <v>127</v>
      </c>
      <c r="B9" s="394">
        <v>10081</v>
      </c>
      <c r="D9" s="393"/>
      <c r="E9" s="192"/>
    </row>
    <row r="10" spans="1:5" ht="14.25" customHeight="1">
      <c r="A10" s="393" t="s">
        <v>305</v>
      </c>
      <c r="B10" s="394">
        <v>7455</v>
      </c>
      <c r="D10" s="393"/>
      <c r="E10" s="192"/>
    </row>
    <row r="11" spans="1:5" ht="14.25" customHeight="1">
      <c r="A11" s="393" t="s">
        <v>133</v>
      </c>
      <c r="B11" s="394">
        <v>308590</v>
      </c>
      <c r="D11" s="393"/>
      <c r="E11" s="192"/>
    </row>
    <row r="12" spans="1:5" ht="14.25" customHeight="1">
      <c r="A12" s="393" t="s">
        <v>137</v>
      </c>
      <c r="B12" s="394">
        <v>215393</v>
      </c>
      <c r="D12" s="393"/>
      <c r="E12" s="192"/>
    </row>
    <row r="13" spans="1:5" ht="14.25" customHeight="1">
      <c r="A13" s="393" t="s">
        <v>139</v>
      </c>
      <c r="B13" s="394">
        <v>4100</v>
      </c>
      <c r="D13" s="393"/>
      <c r="E13" s="192"/>
    </row>
    <row r="14" spans="1:5" ht="14.25" customHeight="1">
      <c r="A14" s="393" t="s">
        <v>142</v>
      </c>
      <c r="B14" s="394">
        <v>2298</v>
      </c>
      <c r="D14" s="393"/>
      <c r="E14" s="192"/>
    </row>
    <row r="15" spans="1:5" ht="14.25" customHeight="1">
      <c r="A15" s="393" t="s">
        <v>144</v>
      </c>
      <c r="B15" s="394">
        <v>153974</v>
      </c>
      <c r="D15" s="393"/>
      <c r="E15" s="192"/>
    </row>
    <row r="16" spans="1:5" ht="14.25" customHeight="1">
      <c r="A16" s="393" t="s">
        <v>148</v>
      </c>
      <c r="B16" s="394">
        <v>196504</v>
      </c>
      <c r="D16" s="393"/>
      <c r="E16" s="192"/>
    </row>
    <row r="17" spans="1:5" ht="14.25" customHeight="1">
      <c r="A17" s="393" t="s">
        <v>149</v>
      </c>
      <c r="B17" s="394">
        <v>463012</v>
      </c>
      <c r="D17" s="393"/>
      <c r="E17" s="192"/>
    </row>
    <row r="18" spans="1:5" ht="14.25" customHeight="1">
      <c r="A18" s="393" t="s">
        <v>151</v>
      </c>
      <c r="B18" s="394">
        <v>59247</v>
      </c>
      <c r="D18" s="393"/>
      <c r="E18" s="192"/>
    </row>
    <row r="19" spans="1:5" ht="14.25" customHeight="1">
      <c r="A19" s="393" t="s">
        <v>152</v>
      </c>
      <c r="B19" s="394">
        <v>20049</v>
      </c>
      <c r="D19" s="393"/>
      <c r="E19" s="192"/>
    </row>
    <row r="20" spans="1:5" ht="14.25" customHeight="1">
      <c r="A20" s="393" t="s">
        <v>154</v>
      </c>
      <c r="B20" s="394">
        <v>411234</v>
      </c>
      <c r="D20" s="393"/>
      <c r="E20" s="192"/>
    </row>
    <row r="21" spans="1:5" ht="14.25" customHeight="1">
      <c r="A21" s="393" t="s">
        <v>347</v>
      </c>
      <c r="B21" s="394">
        <v>110281</v>
      </c>
      <c r="D21" s="393"/>
      <c r="E21" s="192"/>
    </row>
    <row r="22" spans="1:5" ht="14.25" customHeight="1">
      <c r="A22" s="393" t="s">
        <v>312</v>
      </c>
      <c r="B22" s="394">
        <v>1341358</v>
      </c>
      <c r="D22" s="393"/>
      <c r="E22" s="192"/>
    </row>
    <row r="23" spans="1:5" ht="14.25" customHeight="1">
      <c r="A23" s="393" t="s">
        <v>155</v>
      </c>
      <c r="B23" s="394">
        <v>40675</v>
      </c>
      <c r="D23" s="393"/>
      <c r="E23" s="192"/>
    </row>
    <row r="24" spans="1:5" ht="14.25" customHeight="1">
      <c r="A24" s="393" t="s">
        <v>348</v>
      </c>
      <c r="B24" s="394">
        <v>239796</v>
      </c>
      <c r="D24" s="393"/>
      <c r="E24" s="192"/>
    </row>
    <row r="25" spans="1:5" ht="14.25" customHeight="1">
      <c r="A25" s="393" t="s">
        <v>158</v>
      </c>
      <c r="B25" s="394">
        <v>0</v>
      </c>
      <c r="D25" s="393"/>
      <c r="E25" s="192"/>
    </row>
    <row r="26" spans="1:5" ht="14.25" customHeight="1">
      <c r="A26" s="393" t="s">
        <v>160</v>
      </c>
      <c r="B26" s="393">
        <v>112731</v>
      </c>
      <c r="D26" s="393"/>
      <c r="E26" s="192"/>
    </row>
    <row r="27" spans="1:5" ht="14.25" customHeight="1">
      <c r="A27" s="393" t="s">
        <v>165</v>
      </c>
      <c r="B27" s="394">
        <v>173736</v>
      </c>
      <c r="D27" s="393"/>
      <c r="E27" s="192"/>
    </row>
    <row r="28" spans="1:5" ht="14.25" customHeight="1">
      <c r="A28" s="393" t="s">
        <v>168</v>
      </c>
      <c r="B28" s="394">
        <v>1342</v>
      </c>
      <c r="D28" s="393"/>
      <c r="E28" s="192"/>
    </row>
    <row r="29" spans="1:5" ht="14.25" customHeight="1">
      <c r="A29" s="393" t="s">
        <v>169</v>
      </c>
      <c r="B29" s="393">
        <v>31092</v>
      </c>
      <c r="D29" s="393"/>
      <c r="E29" s="192"/>
    </row>
    <row r="30" spans="1:5" ht="14.25" customHeight="1">
      <c r="A30" s="393" t="s">
        <v>170</v>
      </c>
      <c r="B30" s="394">
        <v>202105</v>
      </c>
      <c r="D30" s="393"/>
      <c r="E30" s="192"/>
    </row>
    <row r="31" spans="1:5" ht="14.25" customHeight="1">
      <c r="A31" s="393" t="s">
        <v>173</v>
      </c>
      <c r="B31" s="394">
        <v>150412</v>
      </c>
      <c r="D31" s="393"/>
      <c r="E31" s="192"/>
    </row>
    <row r="32" spans="1:5" ht="14.25" customHeight="1">
      <c r="A32" s="393" t="s">
        <v>280</v>
      </c>
      <c r="B32" s="394">
        <v>0</v>
      </c>
      <c r="D32" s="393"/>
      <c r="E32" s="192"/>
    </row>
    <row r="33" spans="1:5" ht="14.25" customHeight="1">
      <c r="A33" s="393" t="s">
        <v>176</v>
      </c>
      <c r="B33" s="394">
        <v>80997</v>
      </c>
      <c r="D33" s="393"/>
      <c r="E33" s="192"/>
    </row>
    <row r="34" spans="1:5" ht="14.25" customHeight="1">
      <c r="A34" s="393" t="s">
        <v>316</v>
      </c>
      <c r="B34" s="394">
        <v>0</v>
      </c>
      <c r="D34" s="393"/>
      <c r="E34" s="192"/>
    </row>
    <row r="35" spans="1:5" ht="14.25" customHeight="1">
      <c r="A35" s="393" t="s">
        <v>179</v>
      </c>
      <c r="B35" s="394">
        <v>1886</v>
      </c>
      <c r="D35" s="393"/>
      <c r="E35" s="394"/>
    </row>
    <row r="36" spans="1:5" ht="14.25" customHeight="1">
      <c r="A36" s="393" t="s">
        <v>182</v>
      </c>
      <c r="B36" s="394">
        <v>20000</v>
      </c>
      <c r="D36" s="393"/>
      <c r="E36" s="394"/>
    </row>
    <row r="37" spans="1:5" ht="14.25" customHeight="1">
      <c r="A37" s="393" t="s">
        <v>317</v>
      </c>
      <c r="B37" s="394">
        <v>168264</v>
      </c>
      <c r="D37" s="141"/>
      <c r="E37" s="394"/>
    </row>
    <row r="38" spans="1:5" ht="14.25" customHeight="1">
      <c r="A38" s="393" t="s">
        <v>185</v>
      </c>
      <c r="B38" s="394">
        <v>0</v>
      </c>
      <c r="D38" s="393"/>
      <c r="E38" s="394"/>
    </row>
    <row r="39" spans="1:5" ht="14.25" customHeight="1">
      <c r="A39" s="393" t="s">
        <v>186</v>
      </c>
      <c r="B39" s="394">
        <v>206484</v>
      </c>
      <c r="D39" s="393"/>
      <c r="E39" s="394"/>
    </row>
    <row r="40" spans="1:5" ht="14.25" customHeight="1">
      <c r="A40" s="393" t="s">
        <v>282</v>
      </c>
      <c r="B40" s="394">
        <v>194437</v>
      </c>
      <c r="D40" s="393"/>
      <c r="E40" s="394"/>
    </row>
    <row r="41" spans="1:5" ht="14.25" customHeight="1">
      <c r="A41" s="393" t="s">
        <v>190</v>
      </c>
      <c r="B41" s="394">
        <v>8176</v>
      </c>
      <c r="D41" s="393"/>
      <c r="E41" s="394"/>
    </row>
    <row r="42" spans="1:5" ht="14.25" customHeight="1">
      <c r="A42" s="393" t="s">
        <v>192</v>
      </c>
      <c r="B42" s="394">
        <v>39100</v>
      </c>
      <c r="D42" s="393"/>
      <c r="E42" s="394"/>
    </row>
    <row r="43" spans="1:5" ht="14.25" customHeight="1">
      <c r="A43" s="393" t="s">
        <v>193</v>
      </c>
      <c r="B43" s="394">
        <v>40274</v>
      </c>
      <c r="D43" s="393"/>
      <c r="E43" s="394"/>
    </row>
    <row r="44" spans="1:5" ht="14.25" customHeight="1">
      <c r="A44" s="393" t="s">
        <v>318</v>
      </c>
      <c r="B44" s="394">
        <v>222763</v>
      </c>
      <c r="D44" s="393"/>
      <c r="E44" s="394"/>
    </row>
    <row r="45" spans="1:5" ht="14.25" customHeight="1">
      <c r="A45" s="393" t="s">
        <v>196</v>
      </c>
      <c r="B45" s="394">
        <v>948</v>
      </c>
      <c r="D45" s="393"/>
      <c r="E45" s="394"/>
    </row>
    <row r="46" spans="1:5" ht="14.25" customHeight="1">
      <c r="A46" s="393" t="s">
        <v>198</v>
      </c>
      <c r="B46" s="394">
        <v>220800</v>
      </c>
      <c r="D46" s="393"/>
      <c r="E46" s="394"/>
    </row>
    <row r="47" spans="1:5" ht="14.25" customHeight="1">
      <c r="A47" s="393" t="s">
        <v>199</v>
      </c>
      <c r="B47" s="394">
        <v>95416</v>
      </c>
      <c r="E47" s="140"/>
    </row>
    <row r="48" spans="1:5" ht="14.25" customHeight="1">
      <c r="A48" s="393" t="s">
        <v>202</v>
      </c>
      <c r="B48" s="394">
        <v>35010</v>
      </c>
      <c r="D48" s="392"/>
      <c r="E48" s="165"/>
    </row>
    <row r="49" spans="1:5" ht="14.25" customHeight="1">
      <c r="A49" s="393" t="s">
        <v>203</v>
      </c>
      <c r="B49" s="394">
        <v>785135</v>
      </c>
      <c r="D49" s="392"/>
      <c r="E49" s="165"/>
    </row>
    <row r="50" spans="1:5" ht="14.25" customHeight="1">
      <c r="A50" s="141" t="s">
        <v>319</v>
      </c>
      <c r="B50" s="394">
        <v>83741</v>
      </c>
      <c r="D50" s="392"/>
      <c r="E50" s="165"/>
    </row>
    <row r="51" spans="1:5" ht="14.25" customHeight="1">
      <c r="A51" s="300" t="s">
        <v>206</v>
      </c>
      <c r="B51" s="300">
        <v>146696</v>
      </c>
    </row>
    <row r="52" spans="1:5" ht="14.25" customHeight="1">
      <c r="A52" s="300" t="s">
        <v>207</v>
      </c>
      <c r="B52" s="300">
        <v>76000</v>
      </c>
    </row>
    <row r="53" spans="1:5" ht="14.25" customHeight="1">
      <c r="A53" s="300" t="s">
        <v>208</v>
      </c>
      <c r="B53" s="300">
        <v>83527</v>
      </c>
    </row>
    <row r="54" spans="1:5" ht="14.25" customHeight="1">
      <c r="A54" s="300" t="s">
        <v>210</v>
      </c>
      <c r="B54" s="300">
        <v>189128</v>
      </c>
    </row>
    <row r="55" spans="1:5" ht="14.25" customHeight="1">
      <c r="A55" s="300" t="s">
        <v>349</v>
      </c>
      <c r="B55" s="300">
        <v>29326</v>
      </c>
    </row>
    <row r="56" spans="1:5" ht="14.25" customHeight="1">
      <c r="A56" s="300" t="s">
        <v>213</v>
      </c>
      <c r="B56" s="300">
        <v>26975</v>
      </c>
    </row>
    <row r="57" spans="1:5" ht="14.25" customHeight="1">
      <c r="A57" s="300" t="s">
        <v>357</v>
      </c>
      <c r="B57" s="300">
        <v>7022</v>
      </c>
    </row>
    <row r="58" spans="1:5" ht="14.25" customHeight="1">
      <c r="A58" s="300" t="s">
        <v>218</v>
      </c>
      <c r="B58" s="300">
        <v>212520</v>
      </c>
    </row>
    <row r="59" spans="1:5" ht="14.25" customHeight="1">
      <c r="A59" s="300" t="s">
        <v>219</v>
      </c>
      <c r="B59" s="300">
        <v>338732</v>
      </c>
    </row>
    <row r="60" spans="1:5" ht="14.25" customHeight="1">
      <c r="A60" s="300" t="s">
        <v>320</v>
      </c>
      <c r="B60" s="300">
        <v>2157</v>
      </c>
    </row>
    <row r="61" spans="1:5" ht="14.25" customHeight="1">
      <c r="A61" s="300" t="s">
        <v>220</v>
      </c>
      <c r="B61" s="300">
        <v>408384</v>
      </c>
    </row>
    <row r="62" spans="1:5" ht="14.25" customHeight="1">
      <c r="A62" s="300" t="s">
        <v>283</v>
      </c>
      <c r="B62" s="300">
        <v>0</v>
      </c>
    </row>
    <row r="63" spans="1:5" ht="14.25" customHeight="1">
      <c r="A63" s="300" t="s">
        <v>223</v>
      </c>
      <c r="B63" s="300">
        <v>7940</v>
      </c>
    </row>
    <row r="64" spans="1:5" ht="14.25" customHeight="1">
      <c r="A64" s="300" t="s">
        <v>224</v>
      </c>
      <c r="B64" s="300">
        <v>350990</v>
      </c>
    </row>
    <row r="65" spans="1:2" ht="14.25" customHeight="1">
      <c r="A65" s="300" t="s">
        <v>225</v>
      </c>
      <c r="B65" s="300">
        <v>177866</v>
      </c>
    </row>
    <row r="66" spans="1:2" ht="14.25" customHeight="1">
      <c r="A66" s="300" t="s">
        <v>226</v>
      </c>
      <c r="B66" s="300">
        <v>336062</v>
      </c>
    </row>
    <row r="67" spans="1:2" ht="14.25" customHeight="1">
      <c r="A67" s="300" t="s">
        <v>228</v>
      </c>
      <c r="B67" s="300">
        <v>93829</v>
      </c>
    </row>
    <row r="68" spans="1:2" ht="14.25" customHeight="1">
      <c r="A68" s="300" t="s">
        <v>229</v>
      </c>
      <c r="B68" s="300">
        <v>271400</v>
      </c>
    </row>
    <row r="69" spans="1:2" ht="14.25" customHeight="1">
      <c r="A69" s="300" t="s">
        <v>322</v>
      </c>
      <c r="B69" s="300">
        <v>311126</v>
      </c>
    </row>
    <row r="70" spans="1:2" ht="14.25" customHeight="1">
      <c r="A70" s="300" t="s">
        <v>323</v>
      </c>
      <c r="B70" s="300">
        <v>39402</v>
      </c>
    </row>
    <row r="71" spans="1:2" ht="14.25" customHeight="1">
      <c r="A71" s="300" t="s">
        <v>350</v>
      </c>
      <c r="B71" s="300">
        <v>30060</v>
      </c>
    </row>
    <row r="72" spans="1:2" ht="14.25" customHeight="1">
      <c r="A72" s="300" t="s">
        <v>284</v>
      </c>
      <c r="B72" s="300">
        <v>241718</v>
      </c>
    </row>
    <row r="73" spans="1:2" ht="14.25" customHeight="1">
      <c r="A73" s="300" t="s">
        <v>232</v>
      </c>
      <c r="B73" s="300">
        <v>500184</v>
      </c>
    </row>
    <row r="74" spans="1:2" ht="14.25" customHeight="1">
      <c r="A74" s="300" t="s">
        <v>233</v>
      </c>
      <c r="B74" s="300">
        <v>204434</v>
      </c>
    </row>
    <row r="75" spans="1:2" ht="14.25" customHeight="1">
      <c r="A75" s="300" t="s">
        <v>234</v>
      </c>
      <c r="B75" s="300">
        <v>36415</v>
      </c>
    </row>
    <row r="76" spans="1:2" ht="14.25" customHeight="1">
      <c r="A76" s="300" t="s">
        <v>236</v>
      </c>
      <c r="B76" s="300">
        <v>10402</v>
      </c>
    </row>
    <row r="77" spans="1:2" ht="14.25" customHeight="1">
      <c r="A77" s="300" t="s">
        <v>238</v>
      </c>
      <c r="B77" s="300">
        <v>18873</v>
      </c>
    </row>
    <row r="78" spans="1:2" ht="14.25" customHeight="1">
      <c r="A78" s="300" t="s">
        <v>239</v>
      </c>
      <c r="B78" s="300">
        <v>361798</v>
      </c>
    </row>
    <row r="79" spans="1:2" ht="14.25" customHeight="1">
      <c r="A79" s="300" t="s">
        <v>351</v>
      </c>
      <c r="B79" s="300">
        <v>752259</v>
      </c>
    </row>
    <row r="80" spans="1:2" ht="14.25" customHeight="1">
      <c r="A80" s="300" t="s">
        <v>244</v>
      </c>
      <c r="B80" s="300">
        <v>17407</v>
      </c>
    </row>
    <row r="81" spans="1:2" ht="14.25" customHeight="1">
      <c r="A81" s="300" t="s">
        <v>326</v>
      </c>
      <c r="B81" s="300">
        <v>2592</v>
      </c>
    </row>
    <row r="82" spans="1:2" ht="14.25" customHeight="1">
      <c r="A82" s="300" t="s">
        <v>247</v>
      </c>
      <c r="B82" s="300">
        <v>28102</v>
      </c>
    </row>
    <row r="83" spans="1:2" ht="14.25" customHeight="1">
      <c r="A83" s="300" t="s">
        <v>249</v>
      </c>
      <c r="B83" s="300">
        <v>60439</v>
      </c>
    </row>
    <row r="84" spans="1:2" ht="14.25" customHeight="1">
      <c r="A84" s="300" t="s">
        <v>254</v>
      </c>
      <c r="B84" s="300">
        <v>421028</v>
      </c>
    </row>
    <row r="85" spans="1:2" ht="14.25" customHeight="1">
      <c r="A85" s="300" t="s">
        <v>256</v>
      </c>
      <c r="B85" s="300">
        <v>3736</v>
      </c>
    </row>
    <row r="86" spans="1:2" ht="14.25" customHeight="1">
      <c r="A86" s="300" t="s">
        <v>327</v>
      </c>
      <c r="B86" s="300">
        <v>7733</v>
      </c>
    </row>
    <row r="87" spans="1:2" ht="14.25" customHeight="1">
      <c r="A87" s="300" t="s">
        <v>257</v>
      </c>
      <c r="B87" s="300">
        <v>916226</v>
      </c>
    </row>
    <row r="88" spans="1:2" ht="14.25" customHeight="1">
      <c r="A88" s="300" t="s">
        <v>258</v>
      </c>
      <c r="B88" s="300">
        <v>52972</v>
      </c>
    </row>
    <row r="89" spans="1:2" ht="14.25" customHeight="1">
      <c r="A89" s="300" t="s">
        <v>285</v>
      </c>
      <c r="B89" s="300">
        <v>63541</v>
      </c>
    </row>
    <row r="90" spans="1:2" ht="14.25" customHeight="1">
      <c r="A90" s="300" t="s">
        <v>260</v>
      </c>
      <c r="B90" s="300">
        <v>585124</v>
      </c>
    </row>
    <row r="91" spans="1:2" ht="14.25" customHeight="1">
      <c r="A91" s="300" t="s">
        <v>261</v>
      </c>
      <c r="B91" s="300">
        <v>282544</v>
      </c>
    </row>
    <row r="92" spans="1:2" ht="14.25" customHeight="1">
      <c r="A92" s="300" t="s">
        <v>286</v>
      </c>
      <c r="B92" s="300">
        <v>0</v>
      </c>
    </row>
    <row r="93" spans="1:2" ht="14.25" customHeight="1">
      <c r="A93" s="300"/>
      <c r="B93" s="300"/>
    </row>
    <row r="94" spans="1:2" ht="14.25" customHeight="1">
      <c r="A94" s="301" t="s">
        <v>105</v>
      </c>
      <c r="B94" s="301">
        <v>80997</v>
      </c>
    </row>
    <row r="95" spans="1:2" ht="14.25" customHeight="1">
      <c r="A95" s="301" t="s">
        <v>104</v>
      </c>
      <c r="B95" s="301">
        <v>162218.24719101124</v>
      </c>
    </row>
    <row r="96" spans="1:2" ht="14.25" customHeight="1">
      <c r="A96" s="301" t="s">
        <v>329</v>
      </c>
      <c r="B96" s="301">
        <v>14437424</v>
      </c>
    </row>
    <row r="97" spans="1:2" ht="14.25" customHeight="1">
      <c r="A97" s="301"/>
      <c r="B97" s="301"/>
    </row>
  </sheetData>
  <sortState xmlns:xlrd2="http://schemas.microsoft.com/office/spreadsheetml/2017/richdata2" ref="D4:E46">
    <sortCondition ref="D4:D46"/>
  </sortState>
  <conditionalFormatting sqref="A51:B97">
    <cfRule type="cellIs" dxfId="6" priority="1" operator="equal">
      <formula>0</formula>
    </cfRule>
  </conditionalFormatting>
  <conditionalFormatting sqref="B4:B50">
    <cfRule type="cellIs" dxfId="5" priority="4" operator="lessThan">
      <formula>0</formula>
    </cfRule>
    <cfRule type="cellIs" dxfId="4" priority="5" operator="equal">
      <formula>0</formula>
    </cfRule>
  </conditionalFormatting>
  <conditionalFormatting sqref="E4:E46">
    <cfRule type="cellIs" dxfId="3" priority="2" operator="lessThan">
      <formula>0</formula>
    </cfRule>
    <cfRule type="cellIs" dxfId="2" priority="3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7" orientation="portrait" r:id="rId1"/>
  <headerFooter alignWithMargins="0">
    <oddFooter>&amp;L&amp;9Public Library Statistics 2022–23&amp;C&amp;9&amp;P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H98"/>
  <sheetViews>
    <sheetView zoomScaleNormal="100" workbookViewId="0">
      <pane ySplit="4" topLeftCell="A52" activePane="bottomLeft" state="frozen"/>
      <selection pane="bottomLeft" activeCell="B10" sqref="A4:H93"/>
      <selection activeCell="G34" sqref="G34"/>
    </sheetView>
  </sheetViews>
  <sheetFormatPr defaultColWidth="16.5703125" defaultRowHeight="12.75"/>
  <sheetData>
    <row r="1" spans="1:8" ht="15">
      <c r="A1" s="338" t="s">
        <v>688</v>
      </c>
    </row>
    <row r="2" spans="1:8">
      <c r="A2" s="377" t="s">
        <v>689</v>
      </c>
    </row>
    <row r="3" spans="1:8">
      <c r="A3" s="377"/>
    </row>
    <row r="4" spans="1:8" ht="22.5">
      <c r="A4" s="397" t="s">
        <v>690</v>
      </c>
      <c r="B4" s="398" t="s">
        <v>691</v>
      </c>
      <c r="C4" s="398" t="s">
        <v>692</v>
      </c>
      <c r="D4" s="398" t="s">
        <v>693</v>
      </c>
      <c r="E4" s="398" t="s">
        <v>694</v>
      </c>
      <c r="F4" s="398" t="s">
        <v>695</v>
      </c>
      <c r="G4" s="398" t="s">
        <v>696</v>
      </c>
      <c r="H4" s="398" t="s">
        <v>697</v>
      </c>
    </row>
    <row r="5" spans="1:8" ht="14.25" customHeight="1">
      <c r="A5" s="399" t="s">
        <v>346</v>
      </c>
      <c r="B5" s="400">
        <v>15792</v>
      </c>
      <c r="C5" s="400">
        <v>600</v>
      </c>
      <c r="D5" s="400">
        <v>184</v>
      </c>
      <c r="E5" s="400">
        <v>0</v>
      </c>
      <c r="F5" s="400">
        <v>17264</v>
      </c>
      <c r="G5" s="400">
        <v>0</v>
      </c>
      <c r="H5" s="400">
        <v>33840</v>
      </c>
    </row>
    <row r="6" spans="1:8" ht="14.25" customHeight="1">
      <c r="A6" s="399" t="s">
        <v>278</v>
      </c>
      <c r="B6" s="400">
        <v>92</v>
      </c>
      <c r="C6" s="400">
        <v>0</v>
      </c>
      <c r="D6" s="400">
        <v>0</v>
      </c>
      <c r="E6" s="400">
        <v>1</v>
      </c>
      <c r="F6" s="400">
        <v>0</v>
      </c>
      <c r="G6" s="400">
        <v>0</v>
      </c>
      <c r="H6" s="400">
        <v>93</v>
      </c>
    </row>
    <row r="7" spans="1:8" ht="14.25" customHeight="1">
      <c r="A7" s="399" t="s">
        <v>123</v>
      </c>
      <c r="B7" s="400">
        <v>49</v>
      </c>
      <c r="C7" s="400">
        <v>0</v>
      </c>
      <c r="D7" s="400">
        <v>0</v>
      </c>
      <c r="E7" s="400">
        <v>0</v>
      </c>
      <c r="F7" s="400">
        <v>0</v>
      </c>
      <c r="G7" s="400">
        <v>5</v>
      </c>
      <c r="H7" s="400">
        <v>54</v>
      </c>
    </row>
    <row r="8" spans="1:8" ht="14.25" customHeight="1">
      <c r="A8" s="399" t="s">
        <v>124</v>
      </c>
      <c r="B8" s="400">
        <v>2959</v>
      </c>
      <c r="C8" s="400">
        <v>19</v>
      </c>
      <c r="D8" s="400">
        <v>1</v>
      </c>
      <c r="E8" s="400">
        <v>24</v>
      </c>
      <c r="F8" s="400">
        <v>0</v>
      </c>
      <c r="G8" s="400">
        <v>361</v>
      </c>
      <c r="H8" s="400">
        <v>3364</v>
      </c>
    </row>
    <row r="9" spans="1:8" ht="14.25" customHeight="1">
      <c r="A9" s="399" t="s">
        <v>126</v>
      </c>
      <c r="B9" s="400">
        <v>1334</v>
      </c>
      <c r="C9" s="400">
        <v>0</v>
      </c>
      <c r="D9" s="400">
        <v>0</v>
      </c>
      <c r="E9" s="400">
        <v>0</v>
      </c>
      <c r="F9" s="400">
        <v>0</v>
      </c>
      <c r="G9" s="400">
        <v>0</v>
      </c>
      <c r="H9" s="400">
        <v>1334</v>
      </c>
    </row>
    <row r="10" spans="1:8" ht="14.25" customHeight="1">
      <c r="A10" s="399" t="s">
        <v>127</v>
      </c>
      <c r="B10" s="400">
        <v>968</v>
      </c>
      <c r="C10" s="400">
        <v>35</v>
      </c>
      <c r="D10" s="400">
        <v>0</v>
      </c>
      <c r="E10" s="400">
        <v>0</v>
      </c>
      <c r="F10" s="400">
        <v>0</v>
      </c>
      <c r="G10" s="400">
        <v>0</v>
      </c>
      <c r="H10" s="400">
        <v>1003</v>
      </c>
    </row>
    <row r="11" spans="1:8" ht="14.25" customHeight="1">
      <c r="A11" s="399" t="s">
        <v>305</v>
      </c>
      <c r="B11" s="400">
        <v>0</v>
      </c>
      <c r="C11" s="400">
        <v>0</v>
      </c>
      <c r="D11" s="400">
        <v>0</v>
      </c>
      <c r="E11" s="400">
        <v>0</v>
      </c>
      <c r="F11" s="400">
        <v>0</v>
      </c>
      <c r="G11" s="400">
        <v>0</v>
      </c>
      <c r="H11" s="400">
        <v>0</v>
      </c>
    </row>
    <row r="12" spans="1:8" ht="14.25" customHeight="1">
      <c r="A12" s="399" t="s">
        <v>133</v>
      </c>
      <c r="B12" s="400">
        <v>43458</v>
      </c>
      <c r="C12" s="400">
        <v>225</v>
      </c>
      <c r="D12" s="400">
        <v>274</v>
      </c>
      <c r="E12" s="400">
        <v>4679</v>
      </c>
      <c r="F12" s="400">
        <v>1321</v>
      </c>
      <c r="G12" s="400">
        <v>41295</v>
      </c>
      <c r="H12" s="400">
        <v>91252</v>
      </c>
    </row>
    <row r="13" spans="1:8" ht="14.25" customHeight="1">
      <c r="A13" s="399" t="s">
        <v>137</v>
      </c>
      <c r="B13" s="400">
        <v>7147</v>
      </c>
      <c r="C13" s="400">
        <v>129</v>
      </c>
      <c r="D13" s="400">
        <v>0</v>
      </c>
      <c r="E13" s="400">
        <v>0</v>
      </c>
      <c r="F13" s="400">
        <v>0</v>
      </c>
      <c r="G13" s="400">
        <v>154</v>
      </c>
      <c r="H13" s="400">
        <v>7430</v>
      </c>
    </row>
    <row r="14" spans="1:8" ht="14.25" customHeight="1">
      <c r="A14" s="399" t="s">
        <v>139</v>
      </c>
      <c r="B14" s="400">
        <v>2775</v>
      </c>
      <c r="C14" s="400">
        <v>106</v>
      </c>
      <c r="D14" s="400">
        <v>5</v>
      </c>
      <c r="E14" s="400">
        <v>13</v>
      </c>
      <c r="F14" s="400">
        <v>0</v>
      </c>
      <c r="G14" s="400">
        <v>0</v>
      </c>
      <c r="H14" s="400">
        <v>2899</v>
      </c>
    </row>
    <row r="15" spans="1:8" ht="14.25" customHeight="1">
      <c r="A15" s="399" t="s">
        <v>142</v>
      </c>
      <c r="B15" s="400">
        <v>3200</v>
      </c>
      <c r="C15" s="400">
        <v>178</v>
      </c>
      <c r="D15" s="400">
        <v>48</v>
      </c>
      <c r="E15" s="400">
        <v>0</v>
      </c>
      <c r="F15" s="400">
        <v>0</v>
      </c>
      <c r="G15" s="400">
        <v>0</v>
      </c>
      <c r="H15" s="400">
        <v>3426</v>
      </c>
    </row>
    <row r="16" spans="1:8" ht="14.25" customHeight="1">
      <c r="A16" s="399" t="s">
        <v>144</v>
      </c>
      <c r="B16" s="400">
        <v>2710</v>
      </c>
      <c r="C16" s="400">
        <v>0</v>
      </c>
      <c r="D16" s="400">
        <v>0</v>
      </c>
      <c r="E16" s="400">
        <v>10</v>
      </c>
      <c r="F16" s="400">
        <v>0</v>
      </c>
      <c r="G16" s="400">
        <v>0</v>
      </c>
      <c r="H16" s="400">
        <v>2720</v>
      </c>
    </row>
    <row r="17" spans="1:8" ht="14.25" customHeight="1">
      <c r="A17" s="399" t="s">
        <v>148</v>
      </c>
      <c r="B17" s="400">
        <v>4680</v>
      </c>
      <c r="C17" s="400">
        <v>54</v>
      </c>
      <c r="D17" s="400">
        <v>37</v>
      </c>
      <c r="E17" s="400">
        <v>0</v>
      </c>
      <c r="F17" s="400">
        <v>0</v>
      </c>
      <c r="G17" s="400">
        <v>2</v>
      </c>
      <c r="H17" s="400">
        <v>4773</v>
      </c>
    </row>
    <row r="18" spans="1:8" ht="14.25" customHeight="1">
      <c r="A18" s="399" t="s">
        <v>149</v>
      </c>
      <c r="B18" s="400">
        <v>10860</v>
      </c>
      <c r="C18" s="400">
        <v>65</v>
      </c>
      <c r="D18" s="400">
        <v>19</v>
      </c>
      <c r="E18" s="400">
        <v>2</v>
      </c>
      <c r="F18" s="400">
        <v>0</v>
      </c>
      <c r="G18" s="400">
        <v>204</v>
      </c>
      <c r="H18" s="400">
        <v>11150</v>
      </c>
    </row>
    <row r="19" spans="1:8" ht="14.25" customHeight="1">
      <c r="A19" s="399" t="s">
        <v>151</v>
      </c>
      <c r="B19" s="400">
        <v>10466</v>
      </c>
      <c r="C19" s="400">
        <v>45</v>
      </c>
      <c r="D19" s="400">
        <v>44</v>
      </c>
      <c r="E19" s="400">
        <v>27</v>
      </c>
      <c r="F19" s="400">
        <v>72</v>
      </c>
      <c r="G19" s="400">
        <v>612</v>
      </c>
      <c r="H19" s="400">
        <v>11266</v>
      </c>
    </row>
    <row r="20" spans="1:8" ht="14.25" customHeight="1">
      <c r="A20" s="399" t="s">
        <v>152</v>
      </c>
      <c r="B20" s="400">
        <v>14292</v>
      </c>
      <c r="C20" s="400">
        <v>82</v>
      </c>
      <c r="D20" s="400">
        <v>0</v>
      </c>
      <c r="E20" s="400">
        <v>2179</v>
      </c>
      <c r="F20" s="400">
        <v>47</v>
      </c>
      <c r="G20" s="400">
        <v>0</v>
      </c>
      <c r="H20" s="400">
        <v>16600</v>
      </c>
    </row>
    <row r="21" spans="1:8" ht="14.25" customHeight="1">
      <c r="A21" s="399" t="s">
        <v>154</v>
      </c>
      <c r="B21" s="400">
        <v>22214</v>
      </c>
      <c r="C21" s="400">
        <v>331</v>
      </c>
      <c r="D21" s="400">
        <v>8</v>
      </c>
      <c r="E21" s="400">
        <v>770</v>
      </c>
      <c r="F21" s="400">
        <v>0</v>
      </c>
      <c r="G21" s="400">
        <v>3590</v>
      </c>
      <c r="H21" s="400">
        <v>26913</v>
      </c>
    </row>
    <row r="22" spans="1:8" ht="14.25" customHeight="1">
      <c r="A22" s="399" t="s">
        <v>347</v>
      </c>
      <c r="B22" s="400">
        <v>94</v>
      </c>
      <c r="C22" s="400">
        <v>6</v>
      </c>
      <c r="D22" s="400">
        <v>0</v>
      </c>
      <c r="E22" s="400">
        <v>0</v>
      </c>
      <c r="F22" s="400">
        <v>0</v>
      </c>
      <c r="G22" s="400">
        <v>199</v>
      </c>
      <c r="H22" s="400">
        <v>299</v>
      </c>
    </row>
    <row r="23" spans="1:8" ht="14.25" customHeight="1">
      <c r="A23" s="399" t="s">
        <v>312</v>
      </c>
      <c r="B23" s="400">
        <v>23575</v>
      </c>
      <c r="C23" s="400">
        <v>50</v>
      </c>
      <c r="D23" s="400">
        <v>1</v>
      </c>
      <c r="E23" s="400">
        <v>0</v>
      </c>
      <c r="F23" s="400">
        <v>0</v>
      </c>
      <c r="G23" s="400">
        <v>1214</v>
      </c>
      <c r="H23" s="400">
        <v>24840</v>
      </c>
    </row>
    <row r="24" spans="1:8" ht="14.25" customHeight="1">
      <c r="A24" s="399" t="s">
        <v>155</v>
      </c>
      <c r="B24" s="400">
        <v>3807</v>
      </c>
      <c r="C24" s="400">
        <v>0</v>
      </c>
      <c r="D24" s="400">
        <v>0</v>
      </c>
      <c r="E24" s="400">
        <v>885</v>
      </c>
      <c r="F24" s="400">
        <v>0</v>
      </c>
      <c r="G24" s="400">
        <v>0</v>
      </c>
      <c r="H24" s="400">
        <v>4692</v>
      </c>
    </row>
    <row r="25" spans="1:8" ht="14.25" customHeight="1">
      <c r="A25" s="399" t="s">
        <v>348</v>
      </c>
      <c r="B25" s="400">
        <v>23</v>
      </c>
      <c r="C25" s="400">
        <v>169</v>
      </c>
      <c r="D25" s="400">
        <v>5</v>
      </c>
      <c r="E25" s="400">
        <v>6</v>
      </c>
      <c r="F25" s="400">
        <v>0</v>
      </c>
      <c r="G25" s="400">
        <v>10</v>
      </c>
      <c r="H25" s="400">
        <v>213</v>
      </c>
    </row>
    <row r="26" spans="1:8" ht="14.25" customHeight="1">
      <c r="A26" s="399" t="s">
        <v>158</v>
      </c>
      <c r="B26" s="400">
        <v>0</v>
      </c>
      <c r="C26" s="400">
        <v>0</v>
      </c>
      <c r="D26" s="400">
        <v>0</v>
      </c>
      <c r="E26" s="400">
        <v>0</v>
      </c>
      <c r="F26" s="400">
        <v>0</v>
      </c>
      <c r="G26" s="400">
        <v>0</v>
      </c>
      <c r="H26" s="400">
        <v>0</v>
      </c>
    </row>
    <row r="27" spans="1:8" ht="14.25" customHeight="1">
      <c r="A27" s="399" t="s">
        <v>160</v>
      </c>
      <c r="B27" s="400">
        <v>0</v>
      </c>
      <c r="C27" s="400">
        <v>157</v>
      </c>
      <c r="D27" s="400">
        <v>14</v>
      </c>
      <c r="E27" s="400">
        <v>2000</v>
      </c>
      <c r="F27" s="400">
        <v>0</v>
      </c>
      <c r="G27" s="400">
        <v>0</v>
      </c>
      <c r="H27" s="400">
        <v>2171</v>
      </c>
    </row>
    <row r="28" spans="1:8" ht="14.25" customHeight="1">
      <c r="A28" s="399" t="s">
        <v>165</v>
      </c>
      <c r="B28" s="400">
        <v>7000</v>
      </c>
      <c r="C28" s="400">
        <v>116</v>
      </c>
      <c r="D28" s="400">
        <v>20</v>
      </c>
      <c r="E28" s="400">
        <v>25</v>
      </c>
      <c r="F28" s="400">
        <v>305</v>
      </c>
      <c r="G28" s="400">
        <v>5054</v>
      </c>
      <c r="H28" s="400">
        <v>12520</v>
      </c>
    </row>
    <row r="29" spans="1:8" ht="14.25" customHeight="1">
      <c r="A29" s="399" t="s">
        <v>168</v>
      </c>
      <c r="B29" s="400">
        <v>14</v>
      </c>
      <c r="C29" s="400">
        <v>0</v>
      </c>
      <c r="D29" s="400">
        <v>0</v>
      </c>
      <c r="E29" s="400">
        <v>0</v>
      </c>
      <c r="F29" s="400">
        <v>0</v>
      </c>
      <c r="G29" s="400">
        <v>0</v>
      </c>
      <c r="H29" s="400">
        <v>14</v>
      </c>
    </row>
    <row r="30" spans="1:8" ht="14.25" customHeight="1">
      <c r="A30" s="399" t="s">
        <v>169</v>
      </c>
      <c r="B30" s="400">
        <v>0</v>
      </c>
      <c r="C30" s="400">
        <v>15</v>
      </c>
      <c r="D30" s="400">
        <v>0</v>
      </c>
      <c r="E30" s="400">
        <v>0</v>
      </c>
      <c r="F30" s="400">
        <v>0</v>
      </c>
      <c r="G30" s="400">
        <v>0</v>
      </c>
      <c r="H30" s="400">
        <v>15</v>
      </c>
    </row>
    <row r="31" spans="1:8" ht="14.25" customHeight="1">
      <c r="A31" s="399" t="s">
        <v>170</v>
      </c>
      <c r="B31" s="400">
        <v>79268</v>
      </c>
      <c r="C31" s="400">
        <v>394</v>
      </c>
      <c r="D31" s="400">
        <v>85</v>
      </c>
      <c r="E31" s="400">
        <v>47</v>
      </c>
      <c r="F31" s="400">
        <v>281</v>
      </c>
      <c r="G31" s="400">
        <v>47</v>
      </c>
      <c r="H31" s="400">
        <v>80122</v>
      </c>
    </row>
    <row r="32" spans="1:8" ht="14.25" customHeight="1">
      <c r="A32" s="399" t="s">
        <v>173</v>
      </c>
      <c r="B32" s="400">
        <v>13335</v>
      </c>
      <c r="C32" s="400">
        <v>469</v>
      </c>
      <c r="D32" s="400">
        <v>0</v>
      </c>
      <c r="E32" s="400">
        <v>0</v>
      </c>
      <c r="F32" s="400">
        <v>0</v>
      </c>
      <c r="G32" s="400">
        <v>0</v>
      </c>
      <c r="H32" s="400">
        <v>13804</v>
      </c>
    </row>
    <row r="33" spans="1:8" ht="14.25" customHeight="1">
      <c r="A33" s="399" t="s">
        <v>280</v>
      </c>
      <c r="B33" s="400">
        <v>0</v>
      </c>
      <c r="C33" s="400">
        <v>0</v>
      </c>
      <c r="D33" s="400">
        <v>0</v>
      </c>
      <c r="E33" s="400">
        <v>0</v>
      </c>
      <c r="F33" s="400">
        <v>0</v>
      </c>
      <c r="G33" s="400">
        <v>0</v>
      </c>
      <c r="H33" s="400">
        <v>0</v>
      </c>
    </row>
    <row r="34" spans="1:8" ht="14.25" customHeight="1">
      <c r="A34" s="399" t="s">
        <v>176</v>
      </c>
      <c r="B34" s="400">
        <v>6776</v>
      </c>
      <c r="C34" s="400">
        <v>30</v>
      </c>
      <c r="D34" s="400">
        <v>34</v>
      </c>
      <c r="E34" s="400">
        <v>63</v>
      </c>
      <c r="F34" s="400">
        <v>29</v>
      </c>
      <c r="G34" s="400">
        <v>159</v>
      </c>
      <c r="H34" s="400">
        <v>7091</v>
      </c>
    </row>
    <row r="35" spans="1:8" ht="14.25" customHeight="1">
      <c r="A35" s="399" t="s">
        <v>316</v>
      </c>
      <c r="B35" s="400">
        <v>0</v>
      </c>
      <c r="C35" s="400">
        <v>0</v>
      </c>
      <c r="D35" s="400">
        <v>0</v>
      </c>
      <c r="E35" s="400">
        <v>0</v>
      </c>
      <c r="F35" s="400">
        <v>0</v>
      </c>
      <c r="G35" s="400">
        <v>0</v>
      </c>
      <c r="H35" s="400">
        <v>0</v>
      </c>
    </row>
    <row r="36" spans="1:8" ht="14.25" customHeight="1">
      <c r="A36" s="399" t="s">
        <v>179</v>
      </c>
      <c r="B36" s="400">
        <v>0</v>
      </c>
      <c r="C36" s="400">
        <v>0</v>
      </c>
      <c r="D36" s="400">
        <v>0</v>
      </c>
      <c r="E36" s="400">
        <v>0</v>
      </c>
      <c r="F36" s="400">
        <v>0</v>
      </c>
      <c r="G36" s="400">
        <v>0</v>
      </c>
      <c r="H36" s="400">
        <v>0</v>
      </c>
    </row>
    <row r="37" spans="1:8" ht="14.25" customHeight="1">
      <c r="A37" s="399" t="s">
        <v>182</v>
      </c>
      <c r="B37" s="400">
        <v>92484</v>
      </c>
      <c r="C37" s="400">
        <v>302</v>
      </c>
      <c r="D37" s="400">
        <v>48</v>
      </c>
      <c r="E37" s="400">
        <v>853</v>
      </c>
      <c r="F37" s="400">
        <v>0</v>
      </c>
      <c r="G37" s="400">
        <v>35000</v>
      </c>
      <c r="H37" s="400">
        <v>128687</v>
      </c>
    </row>
    <row r="38" spans="1:8" ht="14.25" customHeight="1">
      <c r="A38" s="399" t="s">
        <v>317</v>
      </c>
      <c r="B38" s="400">
        <v>6346</v>
      </c>
      <c r="C38" s="400">
        <v>149</v>
      </c>
      <c r="D38" s="400">
        <v>4</v>
      </c>
      <c r="E38" s="400">
        <v>0</v>
      </c>
      <c r="F38" s="400">
        <v>0</v>
      </c>
      <c r="G38" s="400">
        <v>9089</v>
      </c>
      <c r="H38" s="400">
        <v>15588</v>
      </c>
    </row>
    <row r="39" spans="1:8" ht="14.25" customHeight="1">
      <c r="A39" s="399" t="s">
        <v>185</v>
      </c>
      <c r="B39" s="400">
        <v>0</v>
      </c>
      <c r="C39" s="400">
        <v>0</v>
      </c>
      <c r="D39" s="400">
        <v>0</v>
      </c>
      <c r="E39" s="400">
        <v>0</v>
      </c>
      <c r="F39" s="400">
        <v>0</v>
      </c>
      <c r="G39" s="400">
        <v>0</v>
      </c>
      <c r="H39" s="400">
        <v>0</v>
      </c>
    </row>
    <row r="40" spans="1:8" ht="14.25" customHeight="1">
      <c r="A40" s="399" t="s">
        <v>186</v>
      </c>
      <c r="B40" s="400">
        <v>4532</v>
      </c>
      <c r="C40" s="400">
        <v>4</v>
      </c>
      <c r="D40" s="400">
        <v>7</v>
      </c>
      <c r="E40" s="400">
        <v>0</v>
      </c>
      <c r="F40" s="400">
        <v>0</v>
      </c>
      <c r="G40" s="400">
        <v>1083</v>
      </c>
      <c r="H40" s="400">
        <v>5626</v>
      </c>
    </row>
    <row r="41" spans="1:8" ht="14.25" customHeight="1">
      <c r="A41" s="399" t="s">
        <v>282</v>
      </c>
      <c r="B41" s="400">
        <v>19382</v>
      </c>
      <c r="C41" s="400">
        <v>107</v>
      </c>
      <c r="D41" s="400">
        <v>20</v>
      </c>
      <c r="E41" s="400">
        <v>30</v>
      </c>
      <c r="F41" s="400">
        <v>20</v>
      </c>
      <c r="G41" s="400">
        <v>0</v>
      </c>
      <c r="H41" s="400">
        <v>19559</v>
      </c>
    </row>
    <row r="42" spans="1:8" ht="14.25" customHeight="1">
      <c r="A42" s="399" t="s">
        <v>190</v>
      </c>
      <c r="B42" s="400">
        <v>4304</v>
      </c>
      <c r="C42" s="400">
        <v>0</v>
      </c>
      <c r="D42" s="400">
        <v>0</v>
      </c>
      <c r="E42" s="400">
        <v>22</v>
      </c>
      <c r="F42" s="400">
        <v>0</v>
      </c>
      <c r="G42" s="400">
        <v>0</v>
      </c>
      <c r="H42" s="400">
        <v>4326</v>
      </c>
    </row>
    <row r="43" spans="1:8" ht="14.25" customHeight="1">
      <c r="A43" s="399" t="s">
        <v>192</v>
      </c>
      <c r="B43" s="400">
        <v>0</v>
      </c>
      <c r="C43" s="400">
        <v>0</v>
      </c>
      <c r="D43" s="400">
        <v>0</v>
      </c>
      <c r="E43" s="400">
        <v>0</v>
      </c>
      <c r="F43" s="400">
        <v>0</v>
      </c>
      <c r="G43" s="400">
        <v>65</v>
      </c>
      <c r="H43" s="400">
        <v>65</v>
      </c>
    </row>
    <row r="44" spans="1:8" ht="14.25" customHeight="1">
      <c r="A44" s="399" t="s">
        <v>193</v>
      </c>
      <c r="B44" s="400">
        <v>5472</v>
      </c>
      <c r="C44" s="400">
        <v>49</v>
      </c>
      <c r="D44" s="400">
        <v>24</v>
      </c>
      <c r="E44" s="400">
        <v>88</v>
      </c>
      <c r="F44" s="400">
        <v>0</v>
      </c>
      <c r="G44" s="400">
        <v>127</v>
      </c>
      <c r="H44" s="400">
        <v>5760</v>
      </c>
    </row>
    <row r="45" spans="1:8" ht="14.25" customHeight="1">
      <c r="A45" s="399" t="s">
        <v>318</v>
      </c>
      <c r="B45" s="400">
        <v>4334</v>
      </c>
      <c r="C45" s="400">
        <v>187</v>
      </c>
      <c r="D45" s="400">
        <v>33</v>
      </c>
      <c r="E45" s="400">
        <v>0</v>
      </c>
      <c r="F45" s="400">
        <v>0</v>
      </c>
      <c r="G45" s="400">
        <v>960</v>
      </c>
      <c r="H45" s="400">
        <v>5514</v>
      </c>
    </row>
    <row r="46" spans="1:8" ht="14.25" customHeight="1">
      <c r="A46" s="399" t="s">
        <v>196</v>
      </c>
      <c r="B46" s="400">
        <v>951</v>
      </c>
      <c r="C46" s="400">
        <v>0</v>
      </c>
      <c r="D46" s="400">
        <v>0</v>
      </c>
      <c r="E46" s="400">
        <v>0</v>
      </c>
      <c r="F46" s="400">
        <v>0</v>
      </c>
      <c r="G46" s="400">
        <v>0</v>
      </c>
      <c r="H46" s="400">
        <v>951</v>
      </c>
    </row>
    <row r="47" spans="1:8" ht="14.25" customHeight="1">
      <c r="A47" s="399" t="s">
        <v>198</v>
      </c>
      <c r="B47" s="400">
        <v>9184</v>
      </c>
      <c r="C47" s="400">
        <v>133</v>
      </c>
      <c r="D47" s="400">
        <v>31</v>
      </c>
      <c r="E47" s="400">
        <v>47</v>
      </c>
      <c r="F47" s="400">
        <v>1345</v>
      </c>
      <c r="G47" s="400">
        <v>363004</v>
      </c>
      <c r="H47" s="400">
        <v>373744</v>
      </c>
    </row>
    <row r="48" spans="1:8" ht="14.25" customHeight="1">
      <c r="A48" s="399" t="s">
        <v>199</v>
      </c>
      <c r="B48" s="400">
        <v>1730</v>
      </c>
      <c r="C48" s="400">
        <v>0</v>
      </c>
      <c r="D48" s="400">
        <v>0</v>
      </c>
      <c r="E48" s="400">
        <v>0</v>
      </c>
      <c r="F48" s="400">
        <v>58</v>
      </c>
      <c r="G48" s="400">
        <v>0</v>
      </c>
      <c r="H48" s="400">
        <v>1788</v>
      </c>
    </row>
    <row r="49" spans="1:8" ht="14.25" customHeight="1">
      <c r="A49" s="399" t="s">
        <v>202</v>
      </c>
      <c r="B49" s="400">
        <v>6775</v>
      </c>
      <c r="C49" s="400">
        <v>0</v>
      </c>
      <c r="D49" s="400">
        <v>0</v>
      </c>
      <c r="E49" s="400">
        <v>0</v>
      </c>
      <c r="F49" s="400">
        <v>0</v>
      </c>
      <c r="G49" s="400">
        <v>1022</v>
      </c>
      <c r="H49" s="400">
        <v>7797</v>
      </c>
    </row>
    <row r="50" spans="1:8" ht="14.25" customHeight="1">
      <c r="A50" s="399" t="s">
        <v>203</v>
      </c>
      <c r="B50" s="400">
        <v>25617</v>
      </c>
      <c r="C50" s="400">
        <v>199</v>
      </c>
      <c r="D50" s="400">
        <v>25</v>
      </c>
      <c r="E50" s="400">
        <v>256</v>
      </c>
      <c r="F50" s="400">
        <v>3780</v>
      </c>
      <c r="G50" s="400">
        <v>2</v>
      </c>
      <c r="H50" s="400">
        <v>29879</v>
      </c>
    </row>
    <row r="51" spans="1:8" ht="14.25" customHeight="1">
      <c r="A51" s="141" t="s">
        <v>319</v>
      </c>
      <c r="B51" s="400">
        <v>3248</v>
      </c>
      <c r="C51" s="400">
        <v>19</v>
      </c>
      <c r="D51" s="400">
        <v>0</v>
      </c>
      <c r="E51" s="400">
        <v>0</v>
      </c>
      <c r="F51" s="400">
        <v>0</v>
      </c>
      <c r="G51" s="400">
        <v>0</v>
      </c>
      <c r="H51" s="400">
        <v>3267</v>
      </c>
    </row>
    <row r="52" spans="1:8">
      <c r="A52" s="300" t="s">
        <v>206</v>
      </c>
      <c r="B52" s="300">
        <v>909</v>
      </c>
      <c r="C52" s="300">
        <v>0</v>
      </c>
      <c r="D52" s="300">
        <v>0</v>
      </c>
      <c r="E52" s="300">
        <v>0</v>
      </c>
      <c r="F52" s="300">
        <v>12</v>
      </c>
      <c r="G52" s="300">
        <v>0</v>
      </c>
      <c r="H52" s="300">
        <v>921</v>
      </c>
    </row>
    <row r="53" spans="1:8">
      <c r="A53" s="300" t="s">
        <v>207</v>
      </c>
      <c r="B53" s="300">
        <v>5820</v>
      </c>
      <c r="C53" s="300">
        <v>0</v>
      </c>
      <c r="D53" s="300">
        <v>0</v>
      </c>
      <c r="E53" s="300">
        <v>0</v>
      </c>
      <c r="F53" s="300">
        <v>0</v>
      </c>
      <c r="G53" s="300">
        <v>0</v>
      </c>
      <c r="H53" s="300">
        <v>5820</v>
      </c>
    </row>
    <row r="54" spans="1:8">
      <c r="A54" s="300" t="s">
        <v>208</v>
      </c>
      <c r="B54" s="300">
        <v>55</v>
      </c>
      <c r="C54" s="300">
        <v>0</v>
      </c>
      <c r="D54" s="300">
        <v>0</v>
      </c>
      <c r="E54" s="300">
        <v>0</v>
      </c>
      <c r="F54" s="300">
        <v>0</v>
      </c>
      <c r="G54" s="300">
        <v>0</v>
      </c>
      <c r="H54" s="300">
        <v>55</v>
      </c>
    </row>
    <row r="55" spans="1:8">
      <c r="A55" s="300" t="s">
        <v>210</v>
      </c>
      <c r="B55" s="300">
        <v>12640</v>
      </c>
      <c r="C55" s="300">
        <v>236</v>
      </c>
      <c r="D55" s="300">
        <v>32</v>
      </c>
      <c r="E55" s="300">
        <v>45</v>
      </c>
      <c r="F55" s="300">
        <v>1388</v>
      </c>
      <c r="G55" s="300">
        <v>23</v>
      </c>
      <c r="H55" s="300">
        <v>14364</v>
      </c>
    </row>
    <row r="56" spans="1:8">
      <c r="A56" s="300" t="s">
        <v>349</v>
      </c>
      <c r="B56" s="300">
        <v>0</v>
      </c>
      <c r="C56" s="300">
        <v>0</v>
      </c>
      <c r="D56" s="300">
        <v>0</v>
      </c>
      <c r="E56" s="300">
        <v>0</v>
      </c>
      <c r="F56" s="300">
        <v>0</v>
      </c>
      <c r="G56" s="300">
        <v>0</v>
      </c>
      <c r="H56" s="300">
        <v>0</v>
      </c>
    </row>
    <row r="57" spans="1:8">
      <c r="A57" s="300" t="s">
        <v>213</v>
      </c>
      <c r="B57" s="300">
        <v>0</v>
      </c>
      <c r="C57" s="300">
        <v>4</v>
      </c>
      <c r="D57" s="300">
        <v>0</v>
      </c>
      <c r="E57" s="300">
        <v>0</v>
      </c>
      <c r="F57" s="300">
        <v>0</v>
      </c>
      <c r="G57" s="300">
        <v>144</v>
      </c>
      <c r="H57" s="300">
        <v>148</v>
      </c>
    </row>
    <row r="58" spans="1:8">
      <c r="A58" s="300" t="s">
        <v>357</v>
      </c>
      <c r="B58" s="300">
        <v>7</v>
      </c>
      <c r="C58" s="300">
        <v>0</v>
      </c>
      <c r="D58" s="300">
        <v>0</v>
      </c>
      <c r="E58" s="300">
        <v>0</v>
      </c>
      <c r="F58" s="300">
        <v>0</v>
      </c>
      <c r="G58" s="300">
        <v>0</v>
      </c>
      <c r="H58" s="300">
        <v>7</v>
      </c>
    </row>
    <row r="59" spans="1:8">
      <c r="A59" s="300" t="s">
        <v>218</v>
      </c>
      <c r="B59" s="300">
        <v>77791</v>
      </c>
      <c r="C59" s="300">
        <v>349</v>
      </c>
      <c r="D59" s="300">
        <v>555</v>
      </c>
      <c r="E59" s="300">
        <v>2092</v>
      </c>
      <c r="F59" s="300">
        <v>403</v>
      </c>
      <c r="G59" s="300">
        <v>21925</v>
      </c>
      <c r="H59" s="300">
        <v>103115</v>
      </c>
    </row>
    <row r="60" spans="1:8">
      <c r="A60" s="300" t="s">
        <v>219</v>
      </c>
      <c r="B60" s="300">
        <v>11821</v>
      </c>
      <c r="C60" s="300">
        <v>331</v>
      </c>
      <c r="D60" s="300">
        <v>13</v>
      </c>
      <c r="E60" s="300">
        <v>0</v>
      </c>
      <c r="F60" s="300">
        <v>2744</v>
      </c>
      <c r="G60" s="300">
        <v>8320</v>
      </c>
      <c r="H60" s="300">
        <v>23229</v>
      </c>
    </row>
    <row r="61" spans="1:8">
      <c r="A61" s="300" t="s">
        <v>320</v>
      </c>
      <c r="B61" s="300">
        <v>2038</v>
      </c>
      <c r="C61" s="300">
        <v>0</v>
      </c>
      <c r="D61" s="300">
        <v>0</v>
      </c>
      <c r="E61" s="300">
        <v>0</v>
      </c>
      <c r="F61" s="300">
        <v>0</v>
      </c>
      <c r="G61" s="300">
        <v>0</v>
      </c>
      <c r="H61" s="300">
        <v>2038</v>
      </c>
    </row>
    <row r="62" spans="1:8">
      <c r="A62" s="300" t="s">
        <v>220</v>
      </c>
      <c r="B62" s="300">
        <v>28123</v>
      </c>
      <c r="C62" s="300">
        <v>235</v>
      </c>
      <c r="D62" s="300">
        <v>54</v>
      </c>
      <c r="E62" s="300">
        <v>1</v>
      </c>
      <c r="F62" s="300">
        <v>9</v>
      </c>
      <c r="G62" s="300">
        <v>6546</v>
      </c>
      <c r="H62" s="300">
        <v>34968</v>
      </c>
    </row>
    <row r="63" spans="1:8">
      <c r="A63" s="300" t="s">
        <v>283</v>
      </c>
      <c r="B63" s="300">
        <v>0</v>
      </c>
      <c r="C63" s="300">
        <v>0</v>
      </c>
      <c r="D63" s="300">
        <v>0</v>
      </c>
      <c r="E63" s="300">
        <v>0</v>
      </c>
      <c r="F63" s="300">
        <v>0</v>
      </c>
      <c r="G63" s="300">
        <v>0</v>
      </c>
      <c r="H63" s="300">
        <v>0</v>
      </c>
    </row>
    <row r="64" spans="1:8">
      <c r="A64" s="300" t="s">
        <v>223</v>
      </c>
      <c r="B64" s="300">
        <v>166</v>
      </c>
      <c r="C64" s="300">
        <v>5</v>
      </c>
      <c r="D64" s="300">
        <v>0</v>
      </c>
      <c r="E64" s="300">
        <v>0</v>
      </c>
      <c r="F64" s="300">
        <v>0</v>
      </c>
      <c r="G64" s="300">
        <v>0</v>
      </c>
      <c r="H64" s="300">
        <v>171</v>
      </c>
    </row>
    <row r="65" spans="1:8">
      <c r="A65" s="300" t="s">
        <v>224</v>
      </c>
      <c r="B65" s="300">
        <v>513</v>
      </c>
      <c r="C65" s="300">
        <v>0</v>
      </c>
      <c r="D65" s="300">
        <v>0</v>
      </c>
      <c r="E65" s="300">
        <v>0</v>
      </c>
      <c r="F65" s="300">
        <v>0</v>
      </c>
      <c r="G65" s="300">
        <v>0</v>
      </c>
      <c r="H65" s="300">
        <v>513</v>
      </c>
    </row>
    <row r="66" spans="1:8">
      <c r="A66" s="300" t="s">
        <v>225</v>
      </c>
      <c r="B66" s="300">
        <v>79090</v>
      </c>
      <c r="C66" s="300">
        <v>130</v>
      </c>
      <c r="D66" s="300">
        <v>60</v>
      </c>
      <c r="E66" s="300">
        <v>0</v>
      </c>
      <c r="F66" s="300">
        <v>0</v>
      </c>
      <c r="G66" s="300">
        <v>1724</v>
      </c>
      <c r="H66" s="300">
        <v>81004</v>
      </c>
    </row>
    <row r="67" spans="1:8">
      <c r="A67" s="300" t="s">
        <v>226</v>
      </c>
      <c r="B67" s="300">
        <v>2848</v>
      </c>
      <c r="C67" s="300">
        <v>6</v>
      </c>
      <c r="D67" s="300">
        <v>0</v>
      </c>
      <c r="E67" s="300">
        <v>23</v>
      </c>
      <c r="F67" s="300">
        <v>0</v>
      </c>
      <c r="G67" s="300">
        <v>1092</v>
      </c>
      <c r="H67" s="300">
        <v>3969</v>
      </c>
    </row>
    <row r="68" spans="1:8">
      <c r="A68" s="300" t="s">
        <v>228</v>
      </c>
      <c r="B68" s="300">
        <v>0</v>
      </c>
      <c r="C68" s="300">
        <v>0</v>
      </c>
      <c r="D68" s="300">
        <v>0</v>
      </c>
      <c r="E68" s="300">
        <v>0</v>
      </c>
      <c r="F68" s="300">
        <v>0</v>
      </c>
      <c r="G68" s="300">
        <v>0</v>
      </c>
      <c r="H68" s="300">
        <v>0</v>
      </c>
    </row>
    <row r="69" spans="1:8">
      <c r="A69" s="300" t="s">
        <v>229</v>
      </c>
      <c r="B69" s="300">
        <v>6000</v>
      </c>
      <c r="C69" s="300">
        <v>39</v>
      </c>
      <c r="D69" s="300">
        <v>11</v>
      </c>
      <c r="E69" s="300">
        <v>142</v>
      </c>
      <c r="F69" s="300">
        <v>0</v>
      </c>
      <c r="G69" s="300">
        <v>33136</v>
      </c>
      <c r="H69" s="300">
        <v>39328</v>
      </c>
    </row>
    <row r="70" spans="1:8">
      <c r="A70" s="300" t="s">
        <v>322</v>
      </c>
      <c r="B70" s="300">
        <v>2100</v>
      </c>
      <c r="C70" s="300">
        <v>7</v>
      </c>
      <c r="D70" s="300">
        <v>0</v>
      </c>
      <c r="E70" s="300">
        <v>0</v>
      </c>
      <c r="F70" s="300">
        <v>0</v>
      </c>
      <c r="G70" s="300">
        <v>0</v>
      </c>
      <c r="H70" s="300">
        <v>2107</v>
      </c>
    </row>
    <row r="71" spans="1:8">
      <c r="A71" s="300" t="s">
        <v>323</v>
      </c>
      <c r="B71" s="300">
        <v>813</v>
      </c>
      <c r="C71" s="300">
        <v>0</v>
      </c>
      <c r="D71" s="300">
        <v>0</v>
      </c>
      <c r="E71" s="300">
        <v>0</v>
      </c>
      <c r="F71" s="300">
        <v>0</v>
      </c>
      <c r="G71" s="300">
        <v>0</v>
      </c>
      <c r="H71" s="300">
        <v>813</v>
      </c>
    </row>
    <row r="72" spans="1:8">
      <c r="A72" s="300" t="s">
        <v>350</v>
      </c>
      <c r="B72" s="300">
        <v>0</v>
      </c>
      <c r="C72" s="300">
        <v>0</v>
      </c>
      <c r="D72" s="300">
        <v>0</v>
      </c>
      <c r="E72" s="300">
        <v>0</v>
      </c>
      <c r="F72" s="300">
        <v>0</v>
      </c>
      <c r="G72" s="300">
        <v>0</v>
      </c>
      <c r="H72" s="300">
        <v>0</v>
      </c>
    </row>
    <row r="73" spans="1:8">
      <c r="A73" s="300" t="s">
        <v>284</v>
      </c>
      <c r="B73" s="300">
        <v>3148</v>
      </c>
      <c r="C73" s="300">
        <v>151</v>
      </c>
      <c r="D73" s="300">
        <v>27</v>
      </c>
      <c r="E73" s="300">
        <v>6</v>
      </c>
      <c r="F73" s="300">
        <v>2</v>
      </c>
      <c r="G73" s="300">
        <v>1357</v>
      </c>
      <c r="H73" s="300">
        <v>4691</v>
      </c>
    </row>
    <row r="74" spans="1:8">
      <c r="A74" s="300" t="s">
        <v>232</v>
      </c>
      <c r="B74" s="300">
        <v>8170</v>
      </c>
      <c r="C74" s="300">
        <v>0</v>
      </c>
      <c r="D74" s="300">
        <v>10</v>
      </c>
      <c r="E74" s="300">
        <v>0</v>
      </c>
      <c r="F74" s="300">
        <v>1565</v>
      </c>
      <c r="G74" s="300">
        <v>0</v>
      </c>
      <c r="H74" s="300">
        <v>9745</v>
      </c>
    </row>
    <row r="75" spans="1:8">
      <c r="A75" s="300" t="s">
        <v>233</v>
      </c>
      <c r="B75" s="300">
        <v>2132</v>
      </c>
      <c r="C75" s="300">
        <v>23</v>
      </c>
      <c r="D75" s="300">
        <v>0</v>
      </c>
      <c r="E75" s="300">
        <v>0</v>
      </c>
      <c r="F75" s="300">
        <v>330</v>
      </c>
      <c r="G75" s="300">
        <v>0</v>
      </c>
      <c r="H75" s="300">
        <v>2485</v>
      </c>
    </row>
    <row r="76" spans="1:8">
      <c r="A76" s="300" t="s">
        <v>234</v>
      </c>
      <c r="B76" s="300">
        <v>251</v>
      </c>
      <c r="C76" s="300">
        <v>43</v>
      </c>
      <c r="D76" s="300">
        <v>0</v>
      </c>
      <c r="E76" s="300">
        <v>0</v>
      </c>
      <c r="F76" s="300">
        <v>0</v>
      </c>
      <c r="G76" s="300">
        <v>57</v>
      </c>
      <c r="H76" s="300">
        <v>351</v>
      </c>
    </row>
    <row r="77" spans="1:8">
      <c r="A77" s="300" t="s">
        <v>236</v>
      </c>
      <c r="B77" s="300">
        <v>1800</v>
      </c>
      <c r="C77" s="300">
        <v>10</v>
      </c>
      <c r="D77" s="300">
        <v>6</v>
      </c>
      <c r="E77" s="300">
        <v>0</v>
      </c>
      <c r="F77" s="300">
        <v>2</v>
      </c>
      <c r="G77" s="300">
        <v>0</v>
      </c>
      <c r="H77" s="300">
        <v>1818</v>
      </c>
    </row>
    <row r="78" spans="1:8">
      <c r="A78" s="300" t="s">
        <v>238</v>
      </c>
      <c r="B78" s="300">
        <v>0</v>
      </c>
      <c r="C78" s="300">
        <v>0</v>
      </c>
      <c r="D78" s="300">
        <v>0</v>
      </c>
      <c r="E78" s="300">
        <v>0</v>
      </c>
      <c r="F78" s="300">
        <v>0</v>
      </c>
      <c r="G78" s="300">
        <v>0</v>
      </c>
      <c r="H78" s="300">
        <v>0</v>
      </c>
    </row>
    <row r="79" spans="1:8">
      <c r="A79" s="300" t="s">
        <v>239</v>
      </c>
      <c r="B79" s="300">
        <v>17555</v>
      </c>
      <c r="C79" s="300">
        <v>295</v>
      </c>
      <c r="D79" s="300">
        <v>0</v>
      </c>
      <c r="E79" s="300">
        <v>0</v>
      </c>
      <c r="F79" s="300">
        <v>0</v>
      </c>
      <c r="G79" s="300">
        <v>100602</v>
      </c>
      <c r="H79" s="300">
        <v>118452</v>
      </c>
    </row>
    <row r="80" spans="1:8">
      <c r="A80" s="300" t="s">
        <v>351</v>
      </c>
      <c r="B80" s="300">
        <v>0</v>
      </c>
      <c r="C80" s="300">
        <v>0</v>
      </c>
      <c r="D80" s="300">
        <v>0</v>
      </c>
      <c r="E80" s="300">
        <v>0</v>
      </c>
      <c r="F80" s="300">
        <v>0</v>
      </c>
      <c r="G80" s="300">
        <v>0</v>
      </c>
      <c r="H80" s="300">
        <v>0</v>
      </c>
    </row>
    <row r="81" spans="1:8">
      <c r="A81" s="300" t="s">
        <v>244</v>
      </c>
      <c r="B81" s="300">
        <v>0</v>
      </c>
      <c r="C81" s="300">
        <v>0</v>
      </c>
      <c r="D81" s="300">
        <v>0</v>
      </c>
      <c r="E81" s="300">
        <v>0</v>
      </c>
      <c r="F81" s="300">
        <v>0</v>
      </c>
      <c r="G81" s="300">
        <v>0</v>
      </c>
      <c r="H81" s="300">
        <v>0</v>
      </c>
    </row>
    <row r="82" spans="1:8">
      <c r="A82" s="300" t="s">
        <v>326</v>
      </c>
      <c r="B82" s="300">
        <v>0</v>
      </c>
      <c r="C82" s="300">
        <v>0</v>
      </c>
      <c r="D82" s="300">
        <v>0</v>
      </c>
      <c r="E82" s="300">
        <v>0</v>
      </c>
      <c r="F82" s="300">
        <v>0</v>
      </c>
      <c r="G82" s="300">
        <v>0</v>
      </c>
      <c r="H82" s="300">
        <v>0</v>
      </c>
    </row>
    <row r="83" spans="1:8">
      <c r="A83" s="300" t="s">
        <v>247</v>
      </c>
      <c r="B83" s="300">
        <v>0</v>
      </c>
      <c r="C83" s="300">
        <v>0</v>
      </c>
      <c r="D83" s="300">
        <v>0</v>
      </c>
      <c r="E83" s="300">
        <v>0</v>
      </c>
      <c r="F83" s="300">
        <v>0</v>
      </c>
      <c r="G83" s="300">
        <v>0</v>
      </c>
      <c r="H83" s="300">
        <v>0</v>
      </c>
    </row>
    <row r="84" spans="1:8">
      <c r="A84" s="300" t="s">
        <v>249</v>
      </c>
      <c r="B84" s="300">
        <v>4905</v>
      </c>
      <c r="C84" s="300">
        <v>37</v>
      </c>
      <c r="D84" s="300">
        <v>0</v>
      </c>
      <c r="E84" s="300">
        <v>128</v>
      </c>
      <c r="F84" s="300">
        <v>0</v>
      </c>
      <c r="G84" s="300">
        <v>0</v>
      </c>
      <c r="H84" s="300">
        <v>5070</v>
      </c>
    </row>
    <row r="85" spans="1:8">
      <c r="A85" s="300" t="s">
        <v>254</v>
      </c>
      <c r="B85" s="300">
        <v>5791</v>
      </c>
      <c r="C85" s="300">
        <v>264</v>
      </c>
      <c r="D85" s="300">
        <v>86</v>
      </c>
      <c r="E85" s="300">
        <v>28</v>
      </c>
      <c r="F85" s="300">
        <v>9</v>
      </c>
      <c r="G85" s="300">
        <v>14398</v>
      </c>
      <c r="H85" s="300">
        <v>20576</v>
      </c>
    </row>
    <row r="86" spans="1:8">
      <c r="A86" s="300" t="s">
        <v>256</v>
      </c>
      <c r="B86" s="300">
        <v>0</v>
      </c>
      <c r="C86" s="300">
        <v>0</v>
      </c>
      <c r="D86" s="300">
        <v>0</v>
      </c>
      <c r="E86" s="300">
        <v>0</v>
      </c>
      <c r="F86" s="300">
        <v>0</v>
      </c>
      <c r="G86" s="300">
        <v>0</v>
      </c>
      <c r="H86" s="300">
        <v>0</v>
      </c>
    </row>
    <row r="87" spans="1:8">
      <c r="A87" s="300" t="s">
        <v>327</v>
      </c>
      <c r="B87" s="300">
        <v>6846</v>
      </c>
      <c r="C87" s="300">
        <v>0</v>
      </c>
      <c r="D87" s="300">
        <v>0</v>
      </c>
      <c r="E87" s="300">
        <v>202</v>
      </c>
      <c r="F87" s="300">
        <v>0</v>
      </c>
      <c r="G87" s="300">
        <v>0</v>
      </c>
      <c r="H87" s="300">
        <v>7048</v>
      </c>
    </row>
    <row r="88" spans="1:8">
      <c r="A88" s="300" t="s">
        <v>257</v>
      </c>
      <c r="B88" s="300">
        <v>8491</v>
      </c>
      <c r="C88" s="300">
        <v>129</v>
      </c>
      <c r="D88" s="300">
        <v>82</v>
      </c>
      <c r="E88" s="300">
        <v>219</v>
      </c>
      <c r="F88" s="300">
        <v>65</v>
      </c>
      <c r="G88" s="300">
        <v>0</v>
      </c>
      <c r="H88" s="300">
        <v>8986</v>
      </c>
    </row>
    <row r="89" spans="1:8">
      <c r="A89" s="300" t="s">
        <v>258</v>
      </c>
      <c r="B89" s="300">
        <v>330</v>
      </c>
      <c r="C89" s="300">
        <v>13</v>
      </c>
      <c r="D89" s="300">
        <v>0</v>
      </c>
      <c r="E89" s="300">
        <v>0</v>
      </c>
      <c r="F89" s="300">
        <v>0</v>
      </c>
      <c r="G89" s="300">
        <v>330</v>
      </c>
      <c r="H89" s="300">
        <v>673</v>
      </c>
    </row>
    <row r="90" spans="1:8">
      <c r="A90" s="300" t="s">
        <v>285</v>
      </c>
      <c r="B90" s="300">
        <v>283</v>
      </c>
      <c r="C90" s="300">
        <v>0</v>
      </c>
      <c r="D90" s="300">
        <v>0</v>
      </c>
      <c r="E90" s="300">
        <v>0</v>
      </c>
      <c r="F90" s="300">
        <v>0</v>
      </c>
      <c r="G90" s="300">
        <v>0</v>
      </c>
      <c r="H90" s="300">
        <v>283</v>
      </c>
    </row>
    <row r="91" spans="1:8">
      <c r="A91" s="300" t="s">
        <v>260</v>
      </c>
      <c r="B91" s="300">
        <v>51467</v>
      </c>
      <c r="C91" s="300">
        <v>704</v>
      </c>
      <c r="D91" s="300">
        <v>174</v>
      </c>
      <c r="E91" s="300">
        <v>224</v>
      </c>
      <c r="F91" s="300">
        <v>0</v>
      </c>
      <c r="G91" s="300">
        <v>2038</v>
      </c>
      <c r="H91" s="300">
        <v>54607</v>
      </c>
    </row>
    <row r="92" spans="1:8">
      <c r="A92" s="300" t="s">
        <v>261</v>
      </c>
      <c r="B92" s="300">
        <v>13641</v>
      </c>
      <c r="C92" s="300">
        <v>9</v>
      </c>
      <c r="D92" s="300">
        <v>9</v>
      </c>
      <c r="E92" s="300">
        <v>0</v>
      </c>
      <c r="F92" s="300">
        <v>291</v>
      </c>
      <c r="G92" s="300">
        <v>72257</v>
      </c>
      <c r="H92" s="300">
        <v>86207</v>
      </c>
    </row>
    <row r="93" spans="1:8">
      <c r="A93" s="300" t="s">
        <v>286</v>
      </c>
      <c r="B93" s="300">
        <v>0</v>
      </c>
      <c r="C93" s="300">
        <v>0</v>
      </c>
      <c r="D93" s="300">
        <v>0</v>
      </c>
      <c r="E93" s="300">
        <v>5</v>
      </c>
      <c r="F93" s="300">
        <v>0</v>
      </c>
      <c r="G93" s="300">
        <v>0</v>
      </c>
      <c r="H93" s="300">
        <v>5</v>
      </c>
    </row>
    <row r="94" spans="1:8">
      <c r="A94" s="14"/>
      <c r="B94" s="14"/>
      <c r="C94" s="14"/>
      <c r="D94" s="14"/>
      <c r="E94" s="14"/>
      <c r="F94" s="14"/>
      <c r="G94" s="14"/>
      <c r="H94" s="14"/>
    </row>
    <row r="95" spans="1:8">
      <c r="A95" s="15" t="s">
        <v>105</v>
      </c>
      <c r="B95" s="15">
        <v>2775</v>
      </c>
      <c r="C95" s="15">
        <v>9</v>
      </c>
      <c r="D95" s="15">
        <v>0</v>
      </c>
      <c r="E95" s="15">
        <v>0</v>
      </c>
      <c r="F95" s="15">
        <v>0</v>
      </c>
      <c r="G95" s="15">
        <v>0</v>
      </c>
      <c r="H95" s="15">
        <v>2899</v>
      </c>
    </row>
    <row r="96" spans="1:8">
      <c r="A96" s="15" t="s">
        <v>104</v>
      </c>
      <c r="B96" s="15">
        <v>9177.4269662921342</v>
      </c>
      <c r="C96" s="15">
        <v>83.640449438202253</v>
      </c>
      <c r="D96" s="15">
        <v>23.483146067415731</v>
      </c>
      <c r="E96" s="15">
        <v>170.13483146067415</v>
      </c>
      <c r="F96" s="15">
        <v>352.15730337078651</v>
      </c>
      <c r="G96" s="15">
        <v>8170.8651685393261</v>
      </c>
      <c r="H96" s="15">
        <v>17977.707865168541</v>
      </c>
    </row>
    <row r="97" spans="1:8">
      <c r="A97" s="15" t="s">
        <v>329</v>
      </c>
      <c r="B97" s="15">
        <v>816791</v>
      </c>
      <c r="C97" s="15">
        <v>7444</v>
      </c>
      <c r="D97" s="15">
        <v>2090</v>
      </c>
      <c r="E97" s="15">
        <v>15142</v>
      </c>
      <c r="F97" s="15">
        <v>31342</v>
      </c>
      <c r="G97" s="15">
        <v>727207</v>
      </c>
      <c r="H97" s="15">
        <v>1600016</v>
      </c>
    </row>
    <row r="98" spans="1:8">
      <c r="A98" s="15"/>
      <c r="B98" s="15"/>
      <c r="C98" s="15"/>
      <c r="D98" s="15"/>
      <c r="E98" s="15"/>
      <c r="F98" s="15"/>
      <c r="G98" s="15"/>
      <c r="H98" s="15"/>
    </row>
  </sheetData>
  <sortState xmlns:xlrd2="http://schemas.microsoft.com/office/spreadsheetml/2017/richdata2" ref="A5:H51">
    <sortCondition ref="A5"/>
  </sortState>
  <conditionalFormatting sqref="A52:H98">
    <cfRule type="cellIs" dxfId="1" priority="1" operator="equal">
      <formula>0</formula>
    </cfRule>
  </conditionalFormatting>
  <conditionalFormatting sqref="B5:H51">
    <cfRule type="cellIs" dxfId="0" priority="2" operator="equal">
      <formula>0</formula>
    </cfRule>
  </conditionalFormatting>
  <pageMargins left="0.39370078740157483" right="0.39370078740157483" top="0.51181102362204722" bottom="0.43307086614173229" header="0.35433070866141736" footer="0.27559055118110237"/>
  <pageSetup paperSize="9" scale="59" orientation="portrait" r:id="rId1"/>
  <headerFooter alignWithMargins="0">
    <oddFooter>&amp;L&amp;9Public Library Statistics 2022–23&amp;C&amp;9&amp;P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4c55002-2c55-4657-bf0a-37fa3114285a">
      <UserInfo>
        <DisplayName/>
        <AccountId xsi:nil="true"/>
        <AccountType/>
      </UserInfo>
    </SharedWithUsers>
    <oa7c68bffab04fddb6e0774c4bc067a2 xmlns="e7ae2a78-f90b-4f6e-8de5-5604a06cea12">
      <Terms xmlns="http://schemas.microsoft.com/office/infopath/2007/PartnerControls"/>
    </oa7c68bffab04fddb6e0774c4bc067a2>
    <a5aa2836c62a4172b41631d6db0cb15c xmlns="e7ae2a78-f90b-4f6e-8de5-5604a06cea12">
      <Terms xmlns="http://schemas.microsoft.com/office/infopath/2007/PartnerControls"/>
    </a5aa2836c62a4172b41631d6db0cb15c>
    <Own_x0020_by xmlns="e7ae2a78-f90b-4f6e-8de5-5604a06cea12" xsi:nil="true"/>
    <mc2267ffd0f4454ea83f81dcaf0b00f5 xmlns="e7ae2a78-f90b-4f6e-8de5-5604a06cea12">
      <Terms xmlns="http://schemas.microsoft.com/office/infopath/2007/PartnerControls"/>
    </mc2267ffd0f4454ea83f81dcaf0b00f5>
    <TaxCatchAll xmlns="7fcfa795-6794-48fd-8bae-46c5129570ef">
      <Value>151</Value>
    </TaxCatchAll>
    <i0f84bba906045b4af568ee102a52dcb xmlns="53cf6f86-bcc9-443f-84fe-49d94c2836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Grants ＆ Subsidies</TermName>
          <TermId xmlns="http://schemas.microsoft.com/office/infopath/2007/PartnerControls">f03fd196-827b-4edf-978e-48b03cebb7be</TermId>
        </TermInfo>
      </Terms>
    </i0f84bba906045b4af568ee102a52dcb>
    <Function1 xmlns="e7ae2a78-f90b-4f6e-8de5-5604a06cea12">12.Public Libraries Support</Function1>
    <_dlc_DocId xmlns="e7ae2a78-f90b-4f6e-8de5-5604a06cea12">CYAEXH2KDSYD-1534956633-33964</_dlc_DocId>
    <_dlc_DocIdUrl xmlns="e7ae2a78-f90b-4f6e-8de5-5604a06cea12">
      <Url>https://statelibrarynsw.sharepoint.com/sites/PLSDC/PLS/_layouts/15/DocIdRedir.aspx?ID=CYAEXH2KDSYD-1534956633-33964</Url>
      <Description>CYAEXH2KDSYD-1534956633-33964</Description>
    </_dlc_DocIdUrl>
    <lcf76f155ced4ddcb4097134ff3c332f xmlns="11df3c08-6ab7-4426-9054-ba0f3d1153e4">
      <Terms xmlns="http://schemas.microsoft.com/office/infopath/2007/PartnerControls"/>
    </lcf76f155ced4ddcb4097134ff3c332f>
    <MediaLengthInSeconds xmlns="11df3c08-6ab7-4426-9054-ba0f3d1153e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E70D79C8F0C84F991CF0F769C38927" ma:contentTypeVersion="17" ma:contentTypeDescription="Create a new document." ma:contentTypeScope="" ma:versionID="df6cede393f78e92d159e78790753742">
  <xsd:schema xmlns:xsd="http://www.w3.org/2001/XMLSchema" xmlns:xs="http://www.w3.org/2001/XMLSchema" xmlns:p="http://schemas.microsoft.com/office/2006/metadata/properties" xmlns:ns2="e7ae2a78-f90b-4f6e-8de5-5604a06cea12" xmlns:ns3="7fcfa795-6794-48fd-8bae-46c5129570ef" xmlns:ns4="54c55002-2c55-4657-bf0a-37fa3114285a" xmlns:ns5="BAB73B9A-1B6F-45F1-8C2F-4C227201F0D5" xmlns:ns6="53cf6f86-bcc9-443f-84fe-49d94c283652" xmlns:ns7="11df3c08-6ab7-4426-9054-ba0f3d1153e4" targetNamespace="http://schemas.microsoft.com/office/2006/metadata/properties" ma:root="true" ma:fieldsID="a8d538c3fc328912f98e42dd22f381a5" ns2:_="" ns3:_="" ns4:_="" ns5:_="" ns6:_="" ns7:_="">
    <xsd:import namespace="e7ae2a78-f90b-4f6e-8de5-5604a06cea12"/>
    <xsd:import namespace="7fcfa795-6794-48fd-8bae-46c5129570ef"/>
    <xsd:import namespace="54c55002-2c55-4657-bf0a-37fa3114285a"/>
    <xsd:import namespace="BAB73B9A-1B6F-45F1-8C2F-4C227201F0D5"/>
    <xsd:import namespace="53cf6f86-bcc9-443f-84fe-49d94c283652"/>
    <xsd:import namespace="11df3c08-6ab7-4426-9054-ba0f3d1153e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  <xsd:element ref="ns2:oa7c68bffab04fddb6e0774c4bc067a2" minOccurs="0"/>
                <xsd:element ref="ns2:a5aa2836c62a4172b41631d6db0cb15c" minOccurs="0"/>
                <xsd:element ref="ns2:Function1" minOccurs="0"/>
                <xsd:element ref="ns2:Own_x0020_by" minOccurs="0"/>
                <xsd:element ref="ns4:SharedWithUsers" minOccurs="0"/>
                <xsd:element ref="ns4:SharedWithDetails" minOccurs="0"/>
                <xsd:element ref="ns5:MediaServiceMetadata" minOccurs="0"/>
                <xsd:element ref="ns5:MediaServiceFastMetadata" minOccurs="0"/>
                <xsd:element ref="ns2:mc2267ffd0f4454ea83f81dcaf0b00f5" minOccurs="0"/>
                <xsd:element ref="ns6:i0f84bba906045b4af568ee102a52dcb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  <xsd:element ref="ns6:RecordsRelated" minOccurs="0"/>
                <xsd:element ref="ns7:lcf76f155ced4ddcb4097134ff3c332f" minOccurs="0"/>
                <xsd:element ref="ns7:MediaLengthInSeconds" minOccurs="0"/>
                <xsd:element ref="ns7:MediaServiceObjectDetectorVersion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e2a78-f90b-4f6e-8de5-5604a06cea1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oa7c68bffab04fddb6e0774c4bc067a2" ma:index="13" nillable="true" ma:taxonomy="true" ma:internalName="oa7c68bffab04fddb6e0774c4bc067a2" ma:taxonomyFieldName="Division_x0020__x0026__x0020_Branch" ma:displayName="Division &amp; Branch" ma:default="" ma:fieldId="{8a7c68bf-fab0-4fdd-b6e0-774c4bc067a2}" ma:sspId="1b66dae7-e9c8-4f72-86a4-212925ae7d92" ma:termSetId="b3e1dfb9-2273-4dcb-b215-44cb316847c2" ma:anchorId="009ae860-348d-4995-ae8c-ffb168cdc311" ma:open="false" ma:isKeyword="false">
      <xsd:complexType>
        <xsd:sequence>
          <xsd:element ref="pc:Terms" minOccurs="0" maxOccurs="1"/>
        </xsd:sequence>
      </xsd:complexType>
    </xsd:element>
    <xsd:element name="a5aa2836c62a4172b41631d6db0cb15c" ma:index="15" nillable="true" ma:taxonomy="true" ma:internalName="a5aa2836c62a4172b41631d6db0cb15c" ma:taxonomyFieldName="Document_x0020_Type" ma:displayName="Document Type" ma:default="" ma:fieldId="{a5aa2836-c62a-4172-b416-31d6db0cb15c}" ma:sspId="1b66dae7-e9c8-4f72-86a4-212925ae7d92" ma:termSetId="1b8474dd-9f98-486f-bd9c-a059424544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unction1" ma:index="17" nillable="true" ma:displayName="Function" ma:format="Dropdown" ma:internalName="Function">
      <xsd:simpleType>
        <xsd:restriction base="dms:Choice">
          <xsd:enumeration value="1.Collection Management"/>
          <xsd:enumeration value="2.Commercial Activities"/>
          <xsd:enumeration value="3.Corporate Governance &amp; Management"/>
          <xsd:enumeration value="4.External Relations"/>
          <xsd:enumeration value="5.Financial Management"/>
          <xsd:enumeration value="6.Frontline Services &amp; Programs"/>
          <xsd:enumeration value="7.Fundraising &amp; Support"/>
          <xsd:enumeration value="8.Human Resource Management"/>
          <xsd:enumeration value="9.Information &amp; Technology Management"/>
          <xsd:enumeration value="10.Legal Services"/>
          <xsd:enumeration value="11.Property &amp; Facilities"/>
          <xsd:enumeration value="12.Public Libraries Support"/>
        </xsd:restriction>
      </xsd:simpleType>
    </xsd:element>
    <xsd:element name="Own_x0020_by" ma:index="18" nillable="true" ma:displayName="Own by" ma:format="Dropdown" ma:internalName="Own_x0020_by">
      <xsd:simpleType>
        <xsd:restriction base="dms:Choice">
          <xsd:enumeration value="BI"/>
          <xsd:enumeration value="DXLab"/>
          <xsd:enumeration value="PES"/>
          <xsd:enumeration value="Manager, DSI"/>
        </xsd:restriction>
      </xsd:simpleType>
    </xsd:element>
    <xsd:element name="mc2267ffd0f4454ea83f81dcaf0b00f5" ma:index="23" nillable="true" ma:taxonomy="true" ma:internalName="mc2267ffd0f4454ea83f81dcaf0b00f5" ma:taxonomyFieldName="Activity" ma:displayName="Activity" ma:default="" ma:fieldId="{6c2267ff-d0f4-454e-a83f-81dcaf0b00f5}" ma:sspId="1b66dae7-e9c8-4f72-86a4-212925ae7d92" ma:termSetId="9fc3ef70-a995-455f-9565-59ac1a0066b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fa795-6794-48fd-8bae-46c5129570ef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f6920133-cb70-4dde-a22b-53e4c0f447ba}" ma:internalName="TaxCatchAll" ma:showField="CatchAllData" ma:web="53cf6f86-bcc9-443f-84fe-49d94c283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f6920133-cb70-4dde-a22b-53e4c0f447ba}" ma:internalName="TaxCatchAllLabel" ma:readOnly="true" ma:showField="CatchAllDataLabel" ma:web="53cf6f86-bcc9-443f-84fe-49d94c283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5002-2c55-4657-bf0a-37fa31142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73B9A-1B6F-45F1-8C2F-4C227201F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f6f86-bcc9-443f-84fe-49d94c283652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26" nillable="true" ma:taxonomy="true" ma:internalName="i0f84bba906045b4af568ee102a52dcb" ma:taxonomyFieldName="RevIMBCS" ma:displayName="Classification" ma:indexed="true" ma:default="151;#Grants ＆ Subsidies|f03fd196-827b-4edf-978e-48b03cebb7be" ma:fieldId="{20f84bba-9060-45b4-af56-8ee102a52dcb}" ma:sspId="1b66dae7-e9c8-4f72-86a4-212925ae7d92" ma:termSetId="38df7853-f644-479f-a41c-1c021c889c62" ma:anchorId="7e3bfffb-a0cb-4b08-b456-1d111c4a0e8a" ma:open="false" ma:isKeyword="false">
      <xsd:complexType>
        <xsd:sequence>
          <xsd:element ref="pc:Terms" minOccurs="0" maxOccurs="1"/>
        </xsd:sequence>
      </xsd:complexType>
    </xsd:element>
    <xsd:element name="RecordsRelated" ma:index="35" nillable="true" ma:displayName="Related Records" ma:internalName="RecordsRelated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f3c08-6ab7-4426-9054-ba0f3d1153e4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9" nillable="true" ma:displayName="Tags" ma:internalName="MediaServiceAutoTags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1b66dae7-e9c8-4f72-86a4-212925ae7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C086B0-CBAD-4E21-BCEE-ED9AB416DCD8}"/>
</file>

<file path=customXml/itemProps2.xml><?xml version="1.0" encoding="utf-8"?>
<ds:datastoreItem xmlns:ds="http://schemas.openxmlformats.org/officeDocument/2006/customXml" ds:itemID="{0C1C2360-260A-4B1E-A29B-3E326459569F}"/>
</file>

<file path=customXml/itemProps3.xml><?xml version="1.0" encoding="utf-8"?>
<ds:datastoreItem xmlns:ds="http://schemas.openxmlformats.org/officeDocument/2006/customXml" ds:itemID="{61487566-7042-4FE9-888B-C4D4634CCA41}"/>
</file>

<file path=customXml/itemProps4.xml><?xml version="1.0" encoding="utf-8"?>
<ds:datastoreItem xmlns:ds="http://schemas.openxmlformats.org/officeDocument/2006/customXml" ds:itemID="{46FF85BD-2259-4846-87D8-E4E5A0A3F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Public library statistics 2023-2024 - data tables</dc:title>
  <dc:subject/>
  <dc:creator>State Library of NSW</dc:creator>
  <cp:keywords>nsw public libraries, statistics</cp:keywords>
  <dc:description/>
  <cp:lastModifiedBy/>
  <cp:revision/>
  <dcterms:created xsi:type="dcterms:W3CDTF">2004-01-18T23:25:41Z</dcterms:created>
  <dcterms:modified xsi:type="dcterms:W3CDTF">2026-03-30T00:19:11Z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Originator_Hash_SHA1">
    <vt:lpwstr>6D48A2C492CDABFB25417E80A08C66BC97E3F7A9</vt:lpwstr>
  </property>
  <property fmtid="{D5CDD505-2E9C-101B-9397-08002B2CF9AE}" pid="3" name="PM_SecurityClassification">
    <vt:lpwstr>UNCLASSIFIED</vt:lpwstr>
  </property>
  <property fmtid="{D5CDD505-2E9C-101B-9397-08002B2CF9AE}" pid="4" name="PM_DisplayValueSecClassificationWithQualifier">
    <vt:lpwstr>UNCLASSIFIED</vt:lpwstr>
  </property>
  <property fmtid="{D5CDD505-2E9C-101B-9397-08002B2CF9AE}" pid="5" name="PM_Qualifier">
    <vt:lpwstr/>
  </property>
  <property fmtid="{D5CDD505-2E9C-101B-9397-08002B2CF9AE}" pid="6" name="PM_Hash_SHA1">
    <vt:lpwstr>83D5940E3E0D377DD1294301BC6160DA6EC54791</vt:lpwstr>
  </property>
  <property fmtid="{D5CDD505-2E9C-101B-9397-08002B2CF9AE}" pid="7" name="PM_InsertionValue">
    <vt:lpwstr>UNCLASSIFIED</vt:lpwstr>
  </property>
  <property fmtid="{D5CDD505-2E9C-101B-9397-08002B2CF9AE}" pid="8" name="PM_Hash_Salt">
    <vt:lpwstr>6D0D96FDA8FD9E4D7D45F65E71AD4D76</vt:lpwstr>
  </property>
  <property fmtid="{D5CDD505-2E9C-101B-9397-08002B2CF9AE}" pid="9" name="PM_Hash_Version">
    <vt:lpwstr>2014.2</vt:lpwstr>
  </property>
  <property fmtid="{D5CDD505-2E9C-101B-9397-08002B2CF9AE}" pid="10" name="PM_Hash_Salt_Prev">
    <vt:lpwstr>FAE64FBC46CF4DFBC9F1B5D12808739F</vt:lpwstr>
  </property>
  <property fmtid="{D5CDD505-2E9C-101B-9397-08002B2CF9AE}" pid="11" name="PM_Caveats_Count">
    <vt:lpwstr>0</vt:lpwstr>
  </property>
  <property fmtid="{D5CDD505-2E9C-101B-9397-08002B2CF9AE}" pid="12" name="PM_PrintOutPlacement_XLS">
    <vt:lpwstr/>
  </property>
  <property fmtid="{D5CDD505-2E9C-101B-9397-08002B2CF9AE}" pid="13" name="PM_LastInsertion">
    <vt:lpwstr>UNCLASSIFIED</vt:lpwstr>
  </property>
  <property fmtid="{D5CDD505-2E9C-101B-9397-08002B2CF9AE}" pid="14" name="PM_ProtectiveMarkingValue_Header">
    <vt:lpwstr>UNCLASSIFIED</vt:lpwstr>
  </property>
  <property fmtid="{D5CDD505-2E9C-101B-9397-08002B2CF9AE}" pid="15" name="PM_ProtectiveMarkingValue_Footer">
    <vt:lpwstr>UNCLASSIFIED</vt:lpwstr>
  </property>
  <property fmtid="{D5CDD505-2E9C-101B-9397-08002B2CF9AE}" pid="16" name="Division &amp; Branch">
    <vt:lpwstr/>
  </property>
  <property fmtid="{D5CDD505-2E9C-101B-9397-08002B2CF9AE}" pid="17" name="Activity">
    <vt:lpwstr/>
  </property>
  <property fmtid="{D5CDD505-2E9C-101B-9397-08002B2CF9AE}" pid="18" name="ContentTypeId">
    <vt:lpwstr>0x01010081E70D79C8F0C84F991CF0F769C38927</vt:lpwstr>
  </property>
  <property fmtid="{D5CDD505-2E9C-101B-9397-08002B2CF9AE}" pid="19" name="RevIMBCS">
    <vt:lpwstr>151;#Grants ＆ Subsidies|f03fd196-827b-4edf-978e-48b03cebb7be</vt:lpwstr>
  </property>
  <property fmtid="{D5CDD505-2E9C-101B-9397-08002B2CF9AE}" pid="20" name="Document Type">
    <vt:lpwstr/>
  </property>
  <property fmtid="{D5CDD505-2E9C-101B-9397-08002B2CF9AE}" pid="21" name="_dlc_DocIdItemGuid">
    <vt:lpwstr>77c173e6-3c7b-4d41-bf67-0b8eeb351a2d</vt:lpwstr>
  </property>
  <property fmtid="{D5CDD505-2E9C-101B-9397-08002B2CF9AE}" pid="22" name="Order">
    <vt:r8>212700</vt:r8>
  </property>
  <property fmtid="{D5CDD505-2E9C-101B-9397-08002B2CF9AE}" pid="23" name="ComplianceAssetId">
    <vt:lpwstr/>
  </property>
  <property fmtid="{D5CDD505-2E9C-101B-9397-08002B2CF9AE}" pid="24" name="_ExtendedDescription">
    <vt:lpwstr/>
  </property>
  <property fmtid="{D5CDD505-2E9C-101B-9397-08002B2CF9AE}" pid="25" name="TriggerFlowInfo">
    <vt:lpwstr/>
  </property>
  <property fmtid="{D5CDD505-2E9C-101B-9397-08002B2CF9AE}" pid="26" name="MediaServiceImageTags">
    <vt:lpwstr/>
  </property>
  <property fmtid="{D5CDD505-2E9C-101B-9397-08002B2CF9AE}" pid="27" name="Document_x0020_Type">
    <vt:lpwstr/>
  </property>
  <property fmtid="{D5CDD505-2E9C-101B-9397-08002B2CF9AE}" pid="28" name="Division_x0020__x0026__x0020_Branch">
    <vt:lpwstr/>
  </property>
</Properties>
</file>